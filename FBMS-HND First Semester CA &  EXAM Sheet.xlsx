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85443BB-1039-4503-9923-FD932BC4C413}" xr6:coauthVersionLast="36" xr6:coauthVersionMax="36" xr10:uidLastSave="{00000000-0000-0000-0000-000000000000}"/>
  <bookViews>
    <workbookView xWindow="-120" yWindow="-120" windowWidth="29040" windowHeight="15840" tabRatio="599" xr2:uid="{00000000-000D-0000-FFFF-FFFF00000000}"/>
  </bookViews>
  <sheets>
    <sheet name="FBMS-HND LEVEL TWO (2) FREQ" sheetId="12" r:id="rId1"/>
    <sheet name="Sheet1 (2)" sheetId="11" r:id="rId2"/>
    <sheet name="FBMS-HND LEVEL ONE" sheetId="2" r:id="rId3"/>
    <sheet name="FBMS-HND LEVEL TWO" sheetId="3" r:id="rId4"/>
    <sheet name="Sheet1" sheetId="4" r:id="rId5"/>
    <sheet name="RESULTS" sheetId="5" r:id="rId6"/>
    <sheet name="Sheet3" sheetId="6" r:id="rId7"/>
    <sheet name="CODDING FOR LECTURES" sheetId="10" r:id="rId8"/>
  </sheets>
  <externalReferences>
    <externalReference r:id="rId9"/>
    <externalReference r:id="rId10"/>
    <externalReference r:id="rId11"/>
  </externalReferences>
  <calcPr calcId="191029"/>
</workbook>
</file>

<file path=xl/calcChain.xml><?xml version="1.0" encoding="utf-8"?>
<calcChain xmlns="http://schemas.openxmlformats.org/spreadsheetml/2006/main">
  <c r="G29" i="3" l="1"/>
  <c r="K29" i="3" s="1"/>
  <c r="L29" i="3" s="1"/>
  <c r="M29" i="3" l="1"/>
  <c r="C16" i="11" l="1"/>
  <c r="V14" i="11"/>
  <c r="M14" i="11"/>
  <c r="L14" i="11"/>
  <c r="V12" i="11"/>
  <c r="M12" i="11"/>
  <c r="L12" i="11"/>
  <c r="G1280" i="12" l="1"/>
  <c r="K1280" i="12" s="1"/>
  <c r="L1280" i="12" s="1"/>
  <c r="G1279" i="12"/>
  <c r="K1279" i="12" s="1"/>
  <c r="L1279" i="12" s="1"/>
  <c r="G1278" i="12"/>
  <c r="K1278" i="12" s="1"/>
  <c r="G1277" i="12"/>
  <c r="K1277" i="12" s="1"/>
  <c r="L1277" i="12" s="1"/>
  <c r="G1276" i="12"/>
  <c r="K1276" i="12" s="1"/>
  <c r="G1275" i="12"/>
  <c r="K1275" i="12" s="1"/>
  <c r="G1271" i="12"/>
  <c r="K1271" i="12" s="1"/>
  <c r="K1270" i="12"/>
  <c r="G1270" i="12"/>
  <c r="O1269" i="12"/>
  <c r="G1269" i="12"/>
  <c r="K1269" i="12" s="1"/>
  <c r="M1269" i="12" s="1"/>
  <c r="G1244" i="12"/>
  <c r="K1244" i="12" s="1"/>
  <c r="K1243" i="12"/>
  <c r="L1243" i="12" s="1"/>
  <c r="G1243" i="12"/>
  <c r="K1242" i="12"/>
  <c r="G1242" i="12"/>
  <c r="G1241" i="12"/>
  <c r="K1241" i="12" s="1"/>
  <c r="G1240" i="12"/>
  <c r="K1240" i="12" s="1"/>
  <c r="G1239" i="12"/>
  <c r="K1239" i="12" s="1"/>
  <c r="G1235" i="12"/>
  <c r="K1235" i="12" s="1"/>
  <c r="G1234" i="12"/>
  <c r="K1234" i="12" s="1"/>
  <c r="O1233" i="12"/>
  <c r="G1233" i="12"/>
  <c r="K1233" i="12" s="1"/>
  <c r="M1212" i="12"/>
  <c r="K1212" i="12"/>
  <c r="L1212" i="12" s="1"/>
  <c r="G1212" i="12"/>
  <c r="K1211" i="12"/>
  <c r="L1211" i="12" s="1"/>
  <c r="G1211" i="12"/>
  <c r="G1210" i="12"/>
  <c r="K1210" i="12" s="1"/>
  <c r="G1209" i="12"/>
  <c r="K1209" i="12" s="1"/>
  <c r="L1209" i="12" s="1"/>
  <c r="K1208" i="12"/>
  <c r="L1208" i="12" s="1"/>
  <c r="G1208" i="12"/>
  <c r="G1207" i="12"/>
  <c r="K1207" i="12" s="1"/>
  <c r="G1204" i="12"/>
  <c r="G1203" i="12"/>
  <c r="K1203" i="12" s="1"/>
  <c r="G1202" i="12"/>
  <c r="K1202" i="12" s="1"/>
  <c r="M1202" i="12" s="1"/>
  <c r="O1201" i="12"/>
  <c r="G1201" i="12"/>
  <c r="K1201" i="12" s="1"/>
  <c r="G1178" i="12"/>
  <c r="K1178" i="12" s="1"/>
  <c r="G1177" i="12"/>
  <c r="K1177" i="12" s="1"/>
  <c r="G1176" i="12"/>
  <c r="K1176" i="12" s="1"/>
  <c r="G1175" i="12"/>
  <c r="K1175" i="12" s="1"/>
  <c r="G1174" i="12"/>
  <c r="K1174" i="12" s="1"/>
  <c r="G1173" i="12"/>
  <c r="K1173" i="12" s="1"/>
  <c r="G1170" i="12"/>
  <c r="G1169" i="12"/>
  <c r="K1169" i="12" s="1"/>
  <c r="M1168" i="12"/>
  <c r="G1168" i="12"/>
  <c r="K1168" i="12" s="1"/>
  <c r="L1168" i="12" s="1"/>
  <c r="O1167" i="12"/>
  <c r="G1167" i="12"/>
  <c r="K1140" i="12"/>
  <c r="G1140" i="12"/>
  <c r="K1139" i="12"/>
  <c r="G1139" i="12"/>
  <c r="G1138" i="12"/>
  <c r="K1138" i="12" s="1"/>
  <c r="G1137" i="12"/>
  <c r="K1137" i="12" s="1"/>
  <c r="M1136" i="12"/>
  <c r="K1136" i="12"/>
  <c r="L1136" i="12" s="1"/>
  <c r="G1136" i="12"/>
  <c r="G1135" i="12"/>
  <c r="K1135" i="12" s="1"/>
  <c r="K1134" i="12"/>
  <c r="G1134" i="12"/>
  <c r="G1133" i="12"/>
  <c r="K1133" i="12" s="1"/>
  <c r="G1132" i="12"/>
  <c r="K1132" i="12" s="1"/>
  <c r="O1131" i="12"/>
  <c r="G1131" i="12"/>
  <c r="G1108" i="12"/>
  <c r="K1108" i="12" s="1"/>
  <c r="G1107" i="12"/>
  <c r="K1107" i="12" s="1"/>
  <c r="K1106" i="12"/>
  <c r="G1106" i="12"/>
  <c r="L1105" i="12"/>
  <c r="G1105" i="12"/>
  <c r="K1105" i="12" s="1"/>
  <c r="M1105" i="12" s="1"/>
  <c r="K1104" i="12"/>
  <c r="G1104" i="12"/>
  <c r="G1103" i="12"/>
  <c r="K1103" i="12" s="1"/>
  <c r="K1102" i="12"/>
  <c r="G1102" i="12"/>
  <c r="G1101" i="12"/>
  <c r="K1101" i="12" s="1"/>
  <c r="K1100" i="12"/>
  <c r="L1100" i="12" s="1"/>
  <c r="G1100" i="12"/>
  <c r="O1099" i="12"/>
  <c r="G1099" i="12"/>
  <c r="G1073" i="12"/>
  <c r="K1073" i="12" s="1"/>
  <c r="G1072" i="12"/>
  <c r="K1072" i="12" s="1"/>
  <c r="G1071" i="12"/>
  <c r="K1071" i="12" s="1"/>
  <c r="G1070" i="12"/>
  <c r="K1070" i="12" s="1"/>
  <c r="M1070" i="12" s="1"/>
  <c r="G1069" i="12"/>
  <c r="K1069" i="12" s="1"/>
  <c r="G1068" i="12"/>
  <c r="K1068" i="12" s="1"/>
  <c r="G1067" i="12"/>
  <c r="K1067" i="12" s="1"/>
  <c r="G1066" i="12"/>
  <c r="K1066" i="12" s="1"/>
  <c r="G1065" i="12"/>
  <c r="K1065" i="12" s="1"/>
  <c r="O1064" i="12"/>
  <c r="G1064" i="12"/>
  <c r="K1038" i="12"/>
  <c r="G1038" i="12"/>
  <c r="K1037" i="12"/>
  <c r="G1037" i="12"/>
  <c r="G1036" i="12"/>
  <c r="K1036" i="12" s="1"/>
  <c r="G1035" i="12"/>
  <c r="K1035" i="12" s="1"/>
  <c r="M1034" i="12"/>
  <c r="K1034" i="12"/>
  <c r="L1034" i="12" s="1"/>
  <c r="G1034" i="12"/>
  <c r="G1033" i="12"/>
  <c r="K1033" i="12" s="1"/>
  <c r="K1032" i="12"/>
  <c r="G1032" i="12"/>
  <c r="G1031" i="12"/>
  <c r="K1031" i="12" s="1"/>
  <c r="G1030" i="12"/>
  <c r="K1030" i="12" s="1"/>
  <c r="O1029" i="12"/>
  <c r="K1029" i="12"/>
  <c r="G1029" i="12"/>
  <c r="K1006" i="12"/>
  <c r="G1006" i="12"/>
  <c r="G1005" i="12"/>
  <c r="K1005" i="12" s="1"/>
  <c r="K1004" i="12"/>
  <c r="M1004" i="12" s="1"/>
  <c r="G1004" i="12"/>
  <c r="G1003" i="12"/>
  <c r="K1003" i="12" s="1"/>
  <c r="G1002" i="12"/>
  <c r="K1002" i="12" s="1"/>
  <c r="L1002" i="12" s="1"/>
  <c r="G1001" i="12"/>
  <c r="K1001" i="12" s="1"/>
  <c r="L1001" i="12" s="1"/>
  <c r="G1000" i="12"/>
  <c r="K1000" i="12" s="1"/>
  <c r="M1000" i="12" s="1"/>
  <c r="G999" i="12"/>
  <c r="K999" i="12" s="1"/>
  <c r="G998" i="12"/>
  <c r="K998" i="12" s="1"/>
  <c r="O997" i="12"/>
  <c r="K997" i="12"/>
  <c r="G997" i="12"/>
  <c r="K971" i="12"/>
  <c r="G971" i="12"/>
  <c r="G970" i="12"/>
  <c r="K970" i="12" s="1"/>
  <c r="K969" i="12"/>
  <c r="M969" i="12" s="1"/>
  <c r="G969" i="12"/>
  <c r="G968" i="12"/>
  <c r="K968" i="12" s="1"/>
  <c r="L968" i="12" s="1"/>
  <c r="G967" i="12"/>
  <c r="K967" i="12" s="1"/>
  <c r="G966" i="12"/>
  <c r="K966" i="12" s="1"/>
  <c r="M966" i="12" s="1"/>
  <c r="L965" i="12"/>
  <c r="K965" i="12"/>
  <c r="M965" i="12" s="1"/>
  <c r="G965" i="12"/>
  <c r="G964" i="12"/>
  <c r="K964" i="12" s="1"/>
  <c r="O963" i="12"/>
  <c r="G963" i="12"/>
  <c r="G938" i="12"/>
  <c r="K938" i="12" s="1"/>
  <c r="G937" i="12"/>
  <c r="K937" i="12" s="1"/>
  <c r="K936" i="12"/>
  <c r="G936" i="12"/>
  <c r="G935" i="12"/>
  <c r="K935" i="12" s="1"/>
  <c r="M935" i="12" s="1"/>
  <c r="K934" i="12"/>
  <c r="G934" i="12"/>
  <c r="G933" i="12"/>
  <c r="K933" i="12" s="1"/>
  <c r="G932" i="12"/>
  <c r="K932" i="12" s="1"/>
  <c r="G931" i="12"/>
  <c r="K931" i="12" s="1"/>
  <c r="M931" i="12" s="1"/>
  <c r="O930" i="12"/>
  <c r="G930" i="12"/>
  <c r="K930" i="12" s="1"/>
  <c r="G903" i="12"/>
  <c r="K903" i="12" s="1"/>
  <c r="G902" i="12"/>
  <c r="K902" i="12" s="1"/>
  <c r="M902" i="12" s="1"/>
  <c r="G901" i="12"/>
  <c r="K901" i="12" s="1"/>
  <c r="G900" i="12"/>
  <c r="K900" i="12" s="1"/>
  <c r="G899" i="12"/>
  <c r="K899" i="12" s="1"/>
  <c r="L899" i="12" s="1"/>
  <c r="G898" i="12"/>
  <c r="K898" i="12" s="1"/>
  <c r="G897" i="12"/>
  <c r="K897" i="12" s="1"/>
  <c r="M896" i="12"/>
  <c r="G896" i="12"/>
  <c r="K896" i="12" s="1"/>
  <c r="L896" i="12" s="1"/>
  <c r="O895" i="12"/>
  <c r="G895" i="12"/>
  <c r="G870" i="12"/>
  <c r="K870" i="12" s="1"/>
  <c r="M870" i="12" s="1"/>
  <c r="K869" i="12"/>
  <c r="G869" i="12"/>
  <c r="G868" i="12"/>
  <c r="K868" i="12" s="1"/>
  <c r="M868" i="12" s="1"/>
  <c r="K867" i="12"/>
  <c r="G867" i="12"/>
  <c r="G866" i="12"/>
  <c r="K866" i="12" s="1"/>
  <c r="M866" i="12" s="1"/>
  <c r="K865" i="12"/>
  <c r="G865" i="12"/>
  <c r="G864" i="12"/>
  <c r="K864" i="12" s="1"/>
  <c r="M864" i="12" s="1"/>
  <c r="G863" i="12"/>
  <c r="K863" i="12" s="1"/>
  <c r="G862" i="12"/>
  <c r="K862" i="12" s="1"/>
  <c r="M862" i="12" s="1"/>
  <c r="K861" i="12"/>
  <c r="G861" i="12"/>
  <c r="G860" i="12"/>
  <c r="K860" i="12" s="1"/>
  <c r="M860" i="12" s="1"/>
  <c r="K859" i="12"/>
  <c r="G859" i="12"/>
  <c r="G858" i="12"/>
  <c r="K858" i="12" s="1"/>
  <c r="M858" i="12" s="1"/>
  <c r="G857" i="12"/>
  <c r="K857" i="12" s="1"/>
  <c r="G856" i="12"/>
  <c r="K856" i="12" s="1"/>
  <c r="M856" i="12" s="1"/>
  <c r="G855" i="12"/>
  <c r="K855" i="12" s="1"/>
  <c r="G854" i="12"/>
  <c r="K854" i="12" s="1"/>
  <c r="M854" i="12" s="1"/>
  <c r="G853" i="12"/>
  <c r="K853" i="12" s="1"/>
  <c r="G852" i="12"/>
  <c r="K852" i="12" s="1"/>
  <c r="M852" i="12" s="1"/>
  <c r="G851" i="12"/>
  <c r="K851" i="12" s="1"/>
  <c r="G850" i="12"/>
  <c r="K850" i="12" s="1"/>
  <c r="M850" i="12" s="1"/>
  <c r="G848" i="12"/>
  <c r="K848" i="12" s="1"/>
  <c r="G847" i="12"/>
  <c r="K847" i="12" s="1"/>
  <c r="M847" i="12" s="1"/>
  <c r="G846" i="12"/>
  <c r="K846" i="12" s="1"/>
  <c r="G845" i="12"/>
  <c r="G844" i="12"/>
  <c r="K844" i="12" s="1"/>
  <c r="G843" i="12"/>
  <c r="K843" i="12" s="1"/>
  <c r="M843" i="12" s="1"/>
  <c r="G842" i="12"/>
  <c r="K842" i="12" s="1"/>
  <c r="G841" i="12"/>
  <c r="K841" i="12" s="1"/>
  <c r="K840" i="12"/>
  <c r="L840" i="12" s="1"/>
  <c r="G840" i="12"/>
  <c r="O839" i="12"/>
  <c r="G839" i="12"/>
  <c r="K820" i="12"/>
  <c r="L820" i="12" s="1"/>
  <c r="G820" i="12"/>
  <c r="G819" i="12"/>
  <c r="K819" i="12" s="1"/>
  <c r="K818" i="12"/>
  <c r="G818" i="12"/>
  <c r="K817" i="12"/>
  <c r="L817" i="12" s="1"/>
  <c r="G817" i="12"/>
  <c r="K816" i="12"/>
  <c r="L816" i="12" s="1"/>
  <c r="G816" i="12"/>
  <c r="K815" i="12"/>
  <c r="G815" i="12"/>
  <c r="K814" i="12"/>
  <c r="G814" i="12"/>
  <c r="K813" i="12"/>
  <c r="G813" i="12"/>
  <c r="M812" i="12"/>
  <c r="G812" i="12"/>
  <c r="K812" i="12" s="1"/>
  <c r="L812" i="12" s="1"/>
  <c r="K811" i="12"/>
  <c r="G811" i="12"/>
  <c r="G810" i="12"/>
  <c r="K810" i="12" s="1"/>
  <c r="K809" i="12"/>
  <c r="G809" i="12"/>
  <c r="G807" i="12"/>
  <c r="K807" i="12" s="1"/>
  <c r="G806" i="12"/>
  <c r="K806" i="12" s="1"/>
  <c r="G805" i="12"/>
  <c r="K805" i="12" s="1"/>
  <c r="G803" i="12"/>
  <c r="K803" i="12" s="1"/>
  <c r="G802" i="12"/>
  <c r="K802" i="12" s="1"/>
  <c r="K801" i="12"/>
  <c r="L801" i="12" s="1"/>
  <c r="G801" i="12"/>
  <c r="G800" i="12"/>
  <c r="K800" i="12" s="1"/>
  <c r="M800" i="12" s="1"/>
  <c r="K799" i="12"/>
  <c r="L799" i="12" s="1"/>
  <c r="G799" i="12"/>
  <c r="O798" i="12"/>
  <c r="G798" i="12"/>
  <c r="G777" i="12"/>
  <c r="K777" i="12" s="1"/>
  <c r="K776" i="12"/>
  <c r="G776" i="12"/>
  <c r="K775" i="12"/>
  <c r="L775" i="12" s="1"/>
  <c r="G775" i="12"/>
  <c r="G774" i="12"/>
  <c r="K774" i="12" s="1"/>
  <c r="G773" i="12"/>
  <c r="K773" i="12" s="1"/>
  <c r="G772" i="12"/>
  <c r="G771" i="12"/>
  <c r="G770" i="12"/>
  <c r="K770" i="12" s="1"/>
  <c r="G769" i="12"/>
  <c r="K769" i="12" s="1"/>
  <c r="L769" i="12" s="1"/>
  <c r="G768" i="12"/>
  <c r="K768" i="12" s="1"/>
  <c r="G767" i="12"/>
  <c r="K767" i="12" s="1"/>
  <c r="G766" i="12"/>
  <c r="K766" i="12" s="1"/>
  <c r="L766" i="12" s="1"/>
  <c r="G765" i="12"/>
  <c r="K765" i="12" s="1"/>
  <c r="G764" i="12"/>
  <c r="G763" i="12"/>
  <c r="K763" i="12" s="1"/>
  <c r="G762" i="12"/>
  <c r="K762" i="12" s="1"/>
  <c r="G761" i="12"/>
  <c r="K761" i="12" s="1"/>
  <c r="M761" i="12" s="1"/>
  <c r="G759" i="12"/>
  <c r="K759" i="12" s="1"/>
  <c r="G758" i="12"/>
  <c r="K758" i="12" s="1"/>
  <c r="L758" i="12" s="1"/>
  <c r="G757" i="12"/>
  <c r="K757" i="12" s="1"/>
  <c r="M757" i="12" s="1"/>
  <c r="G756" i="12"/>
  <c r="K756" i="12" s="1"/>
  <c r="G755" i="12"/>
  <c r="K755" i="12" s="1"/>
  <c r="L755" i="12" s="1"/>
  <c r="O754" i="12"/>
  <c r="G754" i="12"/>
  <c r="L731" i="12"/>
  <c r="G731" i="12"/>
  <c r="K731" i="12" s="1"/>
  <c r="M731" i="12" s="1"/>
  <c r="L729" i="12"/>
  <c r="K729" i="12"/>
  <c r="M729" i="12" s="1"/>
  <c r="G729" i="12"/>
  <c r="K728" i="12"/>
  <c r="G728" i="12"/>
  <c r="K727" i="12"/>
  <c r="G727" i="12"/>
  <c r="G726" i="12"/>
  <c r="K726" i="12" s="1"/>
  <c r="G725" i="12"/>
  <c r="G724" i="12"/>
  <c r="K724" i="12" s="1"/>
  <c r="M723" i="12"/>
  <c r="K723" i="12"/>
  <c r="L723" i="12" s="1"/>
  <c r="G723" i="12"/>
  <c r="G722" i="12"/>
  <c r="K722" i="12" s="1"/>
  <c r="G721" i="12"/>
  <c r="K721" i="12" s="1"/>
  <c r="G720" i="12"/>
  <c r="K720" i="12" s="1"/>
  <c r="K719" i="12"/>
  <c r="L719" i="12" s="1"/>
  <c r="G719" i="12"/>
  <c r="K718" i="12"/>
  <c r="L718" i="12" s="1"/>
  <c r="G718" i="12"/>
  <c r="G717" i="12"/>
  <c r="K717" i="12" s="1"/>
  <c r="G716" i="12"/>
  <c r="K716" i="12" s="1"/>
  <c r="G715" i="12"/>
  <c r="K715" i="12" s="1"/>
  <c r="G714" i="12"/>
  <c r="K714" i="12" s="1"/>
  <c r="K713" i="12"/>
  <c r="L713" i="12" s="1"/>
  <c r="G713" i="12"/>
  <c r="G712" i="12"/>
  <c r="K712" i="12" s="1"/>
  <c r="G711" i="12"/>
  <c r="K711" i="12" s="1"/>
  <c r="K709" i="12"/>
  <c r="G709" i="12"/>
  <c r="K708" i="12"/>
  <c r="G708" i="12"/>
  <c r="K707" i="12"/>
  <c r="G707" i="12"/>
  <c r="M705" i="12"/>
  <c r="G705" i="12"/>
  <c r="K705" i="12" s="1"/>
  <c r="L705" i="12" s="1"/>
  <c r="G704" i="12"/>
  <c r="K704" i="12" s="1"/>
  <c r="K703" i="12"/>
  <c r="M703" i="12" s="1"/>
  <c r="G703" i="12"/>
  <c r="M702" i="12"/>
  <c r="G702" i="12"/>
  <c r="K702" i="12" s="1"/>
  <c r="L702" i="12" s="1"/>
  <c r="G701" i="12"/>
  <c r="K701" i="12" s="1"/>
  <c r="L701" i="12" s="1"/>
  <c r="O700" i="12"/>
  <c r="G700" i="12"/>
  <c r="G679" i="12"/>
  <c r="K679" i="12" s="1"/>
  <c r="G677" i="12"/>
  <c r="K677" i="12" s="1"/>
  <c r="K676" i="12"/>
  <c r="M676" i="12" s="1"/>
  <c r="G676" i="12"/>
  <c r="G675" i="12"/>
  <c r="K675" i="12" s="1"/>
  <c r="G674" i="12"/>
  <c r="K674" i="12" s="1"/>
  <c r="K673" i="12"/>
  <c r="M673" i="12" s="1"/>
  <c r="G673" i="12"/>
  <c r="G672" i="12"/>
  <c r="K672" i="12" s="1"/>
  <c r="K671" i="12"/>
  <c r="M671" i="12" s="1"/>
  <c r="G671" i="12"/>
  <c r="K670" i="12"/>
  <c r="M670" i="12" s="1"/>
  <c r="G670" i="12"/>
  <c r="G669" i="12"/>
  <c r="K669" i="12" s="1"/>
  <c r="G668" i="12"/>
  <c r="K668" i="12" s="1"/>
  <c r="K667" i="12"/>
  <c r="M667" i="12" s="1"/>
  <c r="G667" i="12"/>
  <c r="G666" i="12"/>
  <c r="K666" i="12" s="1"/>
  <c r="G665" i="12"/>
  <c r="K665" i="12" s="1"/>
  <c r="K664" i="12"/>
  <c r="M664" i="12" s="1"/>
  <c r="G664" i="12"/>
  <c r="G663" i="12"/>
  <c r="K663" i="12" s="1"/>
  <c r="G662" i="12"/>
  <c r="K662" i="12" s="1"/>
  <c r="K661" i="12"/>
  <c r="M661" i="12" s="1"/>
  <c r="G661" i="12"/>
  <c r="G660" i="12"/>
  <c r="K660" i="12" s="1"/>
  <c r="G659" i="12"/>
  <c r="K659" i="12" s="1"/>
  <c r="K657" i="12"/>
  <c r="M657" i="12" s="1"/>
  <c r="G657" i="12"/>
  <c r="G656" i="12"/>
  <c r="K656" i="12" s="1"/>
  <c r="M656" i="12" s="1"/>
  <c r="K655" i="12"/>
  <c r="M655" i="12" s="1"/>
  <c r="G655" i="12"/>
  <c r="M653" i="12"/>
  <c r="K653" i="12"/>
  <c r="L653" i="12" s="1"/>
  <c r="G653" i="12"/>
  <c r="G652" i="12"/>
  <c r="K652" i="12" s="1"/>
  <c r="G651" i="12"/>
  <c r="K651" i="12" s="1"/>
  <c r="L650" i="12"/>
  <c r="G650" i="12"/>
  <c r="K650" i="12" s="1"/>
  <c r="M650" i="12" s="1"/>
  <c r="G649" i="12"/>
  <c r="K649" i="12" s="1"/>
  <c r="O648" i="12"/>
  <c r="L648" i="12"/>
  <c r="K648" i="12"/>
  <c r="G648" i="12"/>
  <c r="K628" i="12"/>
  <c r="M628" i="12" s="1"/>
  <c r="G628" i="12"/>
  <c r="G627" i="12"/>
  <c r="K627" i="12" s="1"/>
  <c r="G626" i="12"/>
  <c r="K626" i="12" s="1"/>
  <c r="K625" i="12"/>
  <c r="M625" i="12" s="1"/>
  <c r="G625" i="12"/>
  <c r="K624" i="12"/>
  <c r="M624" i="12" s="1"/>
  <c r="G624" i="12"/>
  <c r="G623" i="12"/>
  <c r="K623" i="12" s="1"/>
  <c r="G619" i="12"/>
  <c r="K619" i="12" s="1"/>
  <c r="K618" i="12"/>
  <c r="M618" i="12" s="1"/>
  <c r="G618" i="12"/>
  <c r="K617" i="12"/>
  <c r="M617" i="12" s="1"/>
  <c r="G617" i="12"/>
  <c r="G616" i="12"/>
  <c r="K616" i="12" s="1"/>
  <c r="G615" i="12"/>
  <c r="K615" i="12" s="1"/>
  <c r="K614" i="12"/>
  <c r="M614" i="12" s="1"/>
  <c r="G614" i="12"/>
  <c r="K613" i="12"/>
  <c r="M613" i="12" s="1"/>
  <c r="G613" i="12"/>
  <c r="G612" i="12"/>
  <c r="K612" i="12" s="1"/>
  <c r="G611" i="12"/>
  <c r="K611" i="12" s="1"/>
  <c r="L610" i="12"/>
  <c r="K610" i="12"/>
  <c r="M610" i="12" s="1"/>
  <c r="G610" i="12"/>
  <c r="K609" i="12"/>
  <c r="M609" i="12" s="1"/>
  <c r="G609" i="12"/>
  <c r="G608" i="12"/>
  <c r="K608" i="12" s="1"/>
  <c r="G607" i="12"/>
  <c r="K607" i="12" s="1"/>
  <c r="K606" i="12"/>
  <c r="M606" i="12" s="1"/>
  <c r="G606" i="12"/>
  <c r="K605" i="12"/>
  <c r="M605" i="12" s="1"/>
  <c r="G605" i="12"/>
  <c r="G604" i="12"/>
  <c r="K604" i="12" s="1"/>
  <c r="G603" i="12"/>
  <c r="K603" i="12" s="1"/>
  <c r="K602" i="12"/>
  <c r="M602" i="12" s="1"/>
  <c r="G602" i="12"/>
  <c r="K601" i="12"/>
  <c r="M601" i="12" s="1"/>
  <c r="G601" i="12"/>
  <c r="G600" i="12"/>
  <c r="K600" i="12" s="1"/>
  <c r="G599" i="12"/>
  <c r="K599" i="12" s="1"/>
  <c r="K598" i="12"/>
  <c r="M598" i="12" s="1"/>
  <c r="G598" i="12"/>
  <c r="K597" i="12"/>
  <c r="M597" i="12" s="1"/>
  <c r="G597" i="12"/>
  <c r="G596" i="12"/>
  <c r="K596" i="12" s="1"/>
  <c r="G595" i="12"/>
  <c r="K595" i="12" s="1"/>
  <c r="K594" i="12"/>
  <c r="M594" i="12" s="1"/>
  <c r="G594" i="12"/>
  <c r="K593" i="12"/>
  <c r="M593" i="12" s="1"/>
  <c r="G593" i="12"/>
  <c r="G592" i="12"/>
  <c r="K592" i="12" s="1"/>
  <c r="G591" i="12"/>
  <c r="K591" i="12" s="1"/>
  <c r="K590" i="12"/>
  <c r="M590" i="12" s="1"/>
  <c r="G590" i="12"/>
  <c r="K589" i="12"/>
  <c r="M589" i="12" s="1"/>
  <c r="G589" i="12"/>
  <c r="G588" i="12"/>
  <c r="K588" i="12" s="1"/>
  <c r="G587" i="12"/>
  <c r="K587" i="12" s="1"/>
  <c r="K586" i="12"/>
  <c r="L586" i="12" s="1"/>
  <c r="G586" i="12"/>
  <c r="G584" i="12"/>
  <c r="K584" i="12" s="1"/>
  <c r="K583" i="12"/>
  <c r="L583" i="12" s="1"/>
  <c r="G583" i="12"/>
  <c r="G582" i="12"/>
  <c r="K582" i="12" s="1"/>
  <c r="L582" i="12" s="1"/>
  <c r="K580" i="12"/>
  <c r="L580" i="12" s="1"/>
  <c r="G580" i="12"/>
  <c r="G579" i="12"/>
  <c r="K579" i="12" s="1"/>
  <c r="M579" i="12" s="1"/>
  <c r="G578" i="12"/>
  <c r="K578" i="12" s="1"/>
  <c r="G577" i="12"/>
  <c r="K577" i="12" s="1"/>
  <c r="G576" i="12"/>
  <c r="K576" i="12" s="1"/>
  <c r="L576" i="12" s="1"/>
  <c r="O575" i="12"/>
  <c r="G575" i="12"/>
  <c r="K575" i="12" s="1"/>
  <c r="M575" i="12" s="1"/>
  <c r="G550" i="12"/>
  <c r="K550" i="12" s="1"/>
  <c r="K549" i="12"/>
  <c r="G549" i="12"/>
  <c r="K548" i="12"/>
  <c r="M548" i="12" s="1"/>
  <c r="G548" i="12"/>
  <c r="K547" i="12"/>
  <c r="M547" i="12" s="1"/>
  <c r="G547" i="12"/>
  <c r="G546" i="12"/>
  <c r="K546" i="12" s="1"/>
  <c r="G545" i="12"/>
  <c r="K545" i="12" s="1"/>
  <c r="L541" i="12"/>
  <c r="G541" i="12"/>
  <c r="K541" i="12" s="1"/>
  <c r="M541" i="12" s="1"/>
  <c r="K540" i="12"/>
  <c r="M540" i="12" s="1"/>
  <c r="G540" i="12"/>
  <c r="G539" i="12"/>
  <c r="K539" i="12" s="1"/>
  <c r="G538" i="12"/>
  <c r="K538" i="12" s="1"/>
  <c r="G537" i="12"/>
  <c r="K537" i="12" s="1"/>
  <c r="G536" i="12"/>
  <c r="K536" i="12" s="1"/>
  <c r="M536" i="12" s="1"/>
  <c r="G535" i="12"/>
  <c r="K535" i="12" s="1"/>
  <c r="G534" i="12"/>
  <c r="K534" i="12" s="1"/>
  <c r="G533" i="12"/>
  <c r="K533" i="12" s="1"/>
  <c r="G532" i="12"/>
  <c r="K532" i="12" s="1"/>
  <c r="M532" i="12" s="1"/>
  <c r="G531" i="12"/>
  <c r="K531" i="12" s="1"/>
  <c r="G530" i="12"/>
  <c r="K530" i="12" s="1"/>
  <c r="G529" i="12"/>
  <c r="K529" i="12" s="1"/>
  <c r="G528" i="12"/>
  <c r="K528" i="12" s="1"/>
  <c r="M528" i="12" s="1"/>
  <c r="G527" i="12"/>
  <c r="M526" i="12"/>
  <c r="G526" i="12"/>
  <c r="K526" i="12" s="1"/>
  <c r="L526" i="12" s="1"/>
  <c r="L525" i="12"/>
  <c r="G525" i="12"/>
  <c r="K525" i="12" s="1"/>
  <c r="M525" i="12" s="1"/>
  <c r="M524" i="12"/>
  <c r="G524" i="12"/>
  <c r="K524" i="12" s="1"/>
  <c r="L524" i="12" s="1"/>
  <c r="G523" i="12"/>
  <c r="K523" i="12" s="1"/>
  <c r="M523" i="12" s="1"/>
  <c r="G522" i="12"/>
  <c r="K522" i="12" s="1"/>
  <c r="M522" i="12" s="1"/>
  <c r="L521" i="12"/>
  <c r="G521" i="12"/>
  <c r="K521" i="12" s="1"/>
  <c r="M521" i="12" s="1"/>
  <c r="G520" i="12"/>
  <c r="K520" i="12" s="1"/>
  <c r="L520" i="12" s="1"/>
  <c r="L519" i="12"/>
  <c r="G519" i="12"/>
  <c r="K519" i="12" s="1"/>
  <c r="M519" i="12" s="1"/>
  <c r="M518" i="12"/>
  <c r="L518" i="12"/>
  <c r="G518" i="12"/>
  <c r="K518" i="12" s="1"/>
  <c r="G517" i="12"/>
  <c r="K517" i="12" s="1"/>
  <c r="M517" i="12" s="1"/>
  <c r="M516" i="12"/>
  <c r="G516" i="12"/>
  <c r="K516" i="12" s="1"/>
  <c r="L516" i="12" s="1"/>
  <c r="L515" i="12"/>
  <c r="G515" i="12"/>
  <c r="K515" i="12" s="1"/>
  <c r="M515" i="12" s="1"/>
  <c r="L514" i="12"/>
  <c r="G514" i="12"/>
  <c r="K514" i="12" s="1"/>
  <c r="M514" i="12" s="1"/>
  <c r="G513" i="12"/>
  <c r="K513" i="12" s="1"/>
  <c r="M513" i="12" s="1"/>
  <c r="M512" i="12"/>
  <c r="G512" i="12"/>
  <c r="K512" i="12" s="1"/>
  <c r="L512" i="12" s="1"/>
  <c r="M511" i="12"/>
  <c r="L511" i="12"/>
  <c r="G511" i="12"/>
  <c r="K511" i="12" s="1"/>
  <c r="M510" i="12"/>
  <c r="L510" i="12"/>
  <c r="G510" i="12"/>
  <c r="K510" i="12" s="1"/>
  <c r="L509" i="12"/>
  <c r="G509" i="12"/>
  <c r="K509" i="12" s="1"/>
  <c r="M509" i="12" s="1"/>
  <c r="G508" i="12"/>
  <c r="K508" i="12" s="1"/>
  <c r="G506" i="12"/>
  <c r="K506" i="12" s="1"/>
  <c r="M506" i="12" s="1"/>
  <c r="G505" i="12"/>
  <c r="K505" i="12" s="1"/>
  <c r="G504" i="12"/>
  <c r="K504" i="12" s="1"/>
  <c r="M504" i="12" s="1"/>
  <c r="G502" i="12"/>
  <c r="K502" i="12" s="1"/>
  <c r="M502" i="12" s="1"/>
  <c r="K501" i="12"/>
  <c r="M501" i="12" s="1"/>
  <c r="G501" i="12"/>
  <c r="G500" i="12"/>
  <c r="K500" i="12" s="1"/>
  <c r="L500" i="12" s="1"/>
  <c r="G499" i="12"/>
  <c r="K499" i="12" s="1"/>
  <c r="L499" i="12" s="1"/>
  <c r="G498" i="12"/>
  <c r="O497" i="12"/>
  <c r="M497" i="12"/>
  <c r="G497" i="12"/>
  <c r="K497" i="12" s="1"/>
  <c r="L497" i="12" s="1"/>
  <c r="G475" i="12"/>
  <c r="K475" i="12" s="1"/>
  <c r="G474" i="12"/>
  <c r="K474" i="12" s="1"/>
  <c r="M474" i="12" s="1"/>
  <c r="G473" i="12"/>
  <c r="K473" i="12" s="1"/>
  <c r="G472" i="12"/>
  <c r="K472" i="12" s="1"/>
  <c r="G471" i="12"/>
  <c r="K471" i="12" s="1"/>
  <c r="G470" i="12"/>
  <c r="K470" i="12" s="1"/>
  <c r="M470" i="12" s="1"/>
  <c r="G467" i="12"/>
  <c r="G466" i="12"/>
  <c r="K466" i="12" s="1"/>
  <c r="G465" i="12"/>
  <c r="K465" i="12" s="1"/>
  <c r="M464" i="12"/>
  <c r="K464" i="12"/>
  <c r="L464" i="12" s="1"/>
  <c r="G464" i="12"/>
  <c r="G463" i="12"/>
  <c r="K463" i="12" s="1"/>
  <c r="G462" i="12"/>
  <c r="K462" i="12" s="1"/>
  <c r="M461" i="12"/>
  <c r="L461" i="12"/>
  <c r="K461" i="12"/>
  <c r="G461" i="12"/>
  <c r="G460" i="12"/>
  <c r="K460" i="12" s="1"/>
  <c r="G459" i="12"/>
  <c r="K459" i="12" s="1"/>
  <c r="K458" i="12"/>
  <c r="L458" i="12" s="1"/>
  <c r="G458" i="12"/>
  <c r="G457" i="12"/>
  <c r="K457" i="12" s="1"/>
  <c r="G456" i="12"/>
  <c r="K456" i="12" s="1"/>
  <c r="M455" i="12"/>
  <c r="K455" i="12"/>
  <c r="L455" i="12" s="1"/>
  <c r="G455" i="12"/>
  <c r="G454" i="12"/>
  <c r="K454" i="12" s="1"/>
  <c r="G453" i="12"/>
  <c r="K453" i="12" s="1"/>
  <c r="G452" i="12"/>
  <c r="G451" i="12"/>
  <c r="K451" i="12" s="1"/>
  <c r="M450" i="12"/>
  <c r="G450" i="12"/>
  <c r="K450" i="12" s="1"/>
  <c r="L450" i="12" s="1"/>
  <c r="M449" i="12"/>
  <c r="G449" i="12"/>
  <c r="K449" i="12" s="1"/>
  <c r="L449" i="12" s="1"/>
  <c r="L448" i="12"/>
  <c r="G448" i="12"/>
  <c r="K448" i="12" s="1"/>
  <c r="M448" i="12" s="1"/>
  <c r="G447" i="12"/>
  <c r="K447" i="12" s="1"/>
  <c r="G446" i="12"/>
  <c r="K446" i="12" s="1"/>
  <c r="M446" i="12" s="1"/>
  <c r="M445" i="12"/>
  <c r="G445" i="12"/>
  <c r="K445" i="12" s="1"/>
  <c r="L445" i="12" s="1"/>
  <c r="G444" i="12"/>
  <c r="K444" i="12" s="1"/>
  <c r="M444" i="12" s="1"/>
  <c r="G443" i="12"/>
  <c r="K443" i="12" s="1"/>
  <c r="L442" i="12"/>
  <c r="G442" i="12"/>
  <c r="K442" i="12" s="1"/>
  <c r="M442" i="12" s="1"/>
  <c r="G441" i="12"/>
  <c r="K441" i="12" s="1"/>
  <c r="L441" i="12" s="1"/>
  <c r="G440" i="12"/>
  <c r="K440" i="12" s="1"/>
  <c r="M440" i="12" s="1"/>
  <c r="G438" i="12"/>
  <c r="K438" i="12" s="1"/>
  <c r="M437" i="12"/>
  <c r="G437" i="12"/>
  <c r="K437" i="12" s="1"/>
  <c r="L437" i="12" s="1"/>
  <c r="G436" i="12"/>
  <c r="K436" i="12" s="1"/>
  <c r="L436" i="12" s="1"/>
  <c r="L435" i="12"/>
  <c r="G435" i="12"/>
  <c r="K435" i="12" s="1"/>
  <c r="M435" i="12" s="1"/>
  <c r="G434" i="12"/>
  <c r="K434" i="12" s="1"/>
  <c r="G433" i="12"/>
  <c r="K433" i="12" s="1"/>
  <c r="M433" i="12" s="1"/>
  <c r="G431" i="12"/>
  <c r="K431" i="12" s="1"/>
  <c r="M430" i="12"/>
  <c r="L430" i="12"/>
  <c r="G430" i="12"/>
  <c r="K430" i="12" s="1"/>
  <c r="M429" i="12"/>
  <c r="G429" i="12"/>
  <c r="K429" i="12" s="1"/>
  <c r="L429" i="12" s="1"/>
  <c r="G427" i="12"/>
  <c r="K427" i="12" s="1"/>
  <c r="M427" i="12" s="1"/>
  <c r="G426" i="12"/>
  <c r="K426" i="12" s="1"/>
  <c r="M425" i="12"/>
  <c r="G425" i="12"/>
  <c r="K425" i="12" s="1"/>
  <c r="L425" i="12" s="1"/>
  <c r="K424" i="12"/>
  <c r="L424" i="12" s="1"/>
  <c r="G424" i="12"/>
  <c r="K423" i="12"/>
  <c r="M423" i="12" s="1"/>
  <c r="G423" i="12"/>
  <c r="O422" i="12"/>
  <c r="G422" i="12"/>
  <c r="K422" i="12" s="1"/>
  <c r="G405" i="12"/>
  <c r="K405" i="12" s="1"/>
  <c r="M404" i="12"/>
  <c r="L404" i="12"/>
  <c r="G404" i="12"/>
  <c r="K404" i="12" s="1"/>
  <c r="G403" i="12"/>
  <c r="K403" i="12" s="1"/>
  <c r="L403" i="12" s="1"/>
  <c r="G402" i="12"/>
  <c r="K402" i="12" s="1"/>
  <c r="M402" i="12" s="1"/>
  <c r="G401" i="12"/>
  <c r="K401" i="12" s="1"/>
  <c r="G400" i="12"/>
  <c r="K400" i="12" s="1"/>
  <c r="M400" i="12" s="1"/>
  <c r="G396" i="12"/>
  <c r="K396" i="12" s="1"/>
  <c r="L396" i="12" s="1"/>
  <c r="L395" i="12"/>
  <c r="G395" i="12"/>
  <c r="K395" i="12" s="1"/>
  <c r="M395" i="12" s="1"/>
  <c r="G394" i="12"/>
  <c r="K394" i="12" s="1"/>
  <c r="M393" i="12"/>
  <c r="G393" i="12"/>
  <c r="K393" i="12" s="1"/>
  <c r="L393" i="12" s="1"/>
  <c r="M392" i="12"/>
  <c r="G392" i="12"/>
  <c r="K392" i="12" s="1"/>
  <c r="L392" i="12" s="1"/>
  <c r="G391" i="12"/>
  <c r="K391" i="12" s="1"/>
  <c r="M391" i="12" s="1"/>
  <c r="G390" i="12"/>
  <c r="K390" i="12" s="1"/>
  <c r="G388" i="12"/>
  <c r="K388" i="12" s="1"/>
  <c r="L388" i="12" s="1"/>
  <c r="G387" i="12"/>
  <c r="K387" i="12" s="1"/>
  <c r="L387" i="12" s="1"/>
  <c r="G386" i="12"/>
  <c r="K386" i="12" s="1"/>
  <c r="M386" i="12" s="1"/>
  <c r="G385" i="12"/>
  <c r="K385" i="12" s="1"/>
  <c r="G384" i="12"/>
  <c r="K384" i="12" s="1"/>
  <c r="G383" i="12"/>
  <c r="K383" i="12" s="1"/>
  <c r="G382" i="12"/>
  <c r="K382" i="12" s="1"/>
  <c r="G380" i="12"/>
  <c r="K380" i="12" s="1"/>
  <c r="G379" i="12"/>
  <c r="K379" i="12" s="1"/>
  <c r="G378" i="12"/>
  <c r="K378" i="12" s="1"/>
  <c r="L376" i="12"/>
  <c r="G376" i="12"/>
  <c r="K376" i="12" s="1"/>
  <c r="M376" i="12" s="1"/>
  <c r="G375" i="12"/>
  <c r="K375" i="12" s="1"/>
  <c r="G374" i="12"/>
  <c r="K374" i="12" s="1"/>
  <c r="G373" i="12"/>
  <c r="K373" i="12" s="1"/>
  <c r="G372" i="12"/>
  <c r="O371" i="12"/>
  <c r="M371" i="12"/>
  <c r="K371" i="12"/>
  <c r="G371" i="12"/>
  <c r="G349" i="12"/>
  <c r="K349" i="12" s="1"/>
  <c r="G348" i="12"/>
  <c r="K348" i="12" s="1"/>
  <c r="G347" i="12"/>
  <c r="K347" i="12" s="1"/>
  <c r="G346" i="12"/>
  <c r="K346" i="12" s="1"/>
  <c r="G345" i="12"/>
  <c r="K345" i="12" s="1"/>
  <c r="G344" i="12"/>
  <c r="K344" i="12" s="1"/>
  <c r="G341" i="12"/>
  <c r="G340" i="12"/>
  <c r="K340" i="12" s="1"/>
  <c r="K339" i="12"/>
  <c r="G339" i="12"/>
  <c r="K338" i="12"/>
  <c r="G338" i="12"/>
  <c r="G337" i="12"/>
  <c r="K337" i="12" s="1"/>
  <c r="G336" i="12"/>
  <c r="K336" i="12" s="1"/>
  <c r="K335" i="12"/>
  <c r="G335" i="12"/>
  <c r="G334" i="12"/>
  <c r="K334" i="12" s="1"/>
  <c r="K333" i="12"/>
  <c r="G333" i="12"/>
  <c r="K332" i="12"/>
  <c r="G332" i="12"/>
  <c r="G331" i="12"/>
  <c r="K331" i="12" s="1"/>
  <c r="G330" i="12"/>
  <c r="K330" i="12" s="1"/>
  <c r="G329" i="12"/>
  <c r="K329" i="12" s="1"/>
  <c r="K328" i="12"/>
  <c r="G328" i="12"/>
  <c r="K327" i="12"/>
  <c r="G327" i="12"/>
  <c r="K326" i="12"/>
  <c r="G326" i="12"/>
  <c r="G325" i="12"/>
  <c r="K325" i="12" s="1"/>
  <c r="G324" i="12"/>
  <c r="K324" i="12" s="1"/>
  <c r="G323" i="12"/>
  <c r="K323" i="12" s="1"/>
  <c r="G322" i="12"/>
  <c r="K322" i="12" s="1"/>
  <c r="K321" i="12"/>
  <c r="G321" i="12"/>
  <c r="K320" i="12"/>
  <c r="G320" i="12"/>
  <c r="G319" i="12"/>
  <c r="K319" i="12" s="1"/>
  <c r="G318" i="12"/>
  <c r="K318" i="12" s="1"/>
  <c r="K317" i="12"/>
  <c r="G317" i="12"/>
  <c r="G316" i="12"/>
  <c r="K316" i="12" s="1"/>
  <c r="K315" i="12"/>
  <c r="G315" i="12"/>
  <c r="K314" i="12"/>
  <c r="G314" i="12"/>
  <c r="G313" i="12"/>
  <c r="K313" i="12" s="1"/>
  <c r="G312" i="12"/>
  <c r="K312" i="12" s="1"/>
  <c r="G311" i="12"/>
  <c r="K311" i="12" s="1"/>
  <c r="K310" i="12"/>
  <c r="G310" i="12"/>
  <c r="K309" i="12"/>
  <c r="G309" i="12"/>
  <c r="K308" i="12"/>
  <c r="G308" i="12"/>
  <c r="G307" i="12"/>
  <c r="K307" i="12" s="1"/>
  <c r="G305" i="12"/>
  <c r="K305" i="12" s="1"/>
  <c r="G304" i="12"/>
  <c r="K304" i="12" s="1"/>
  <c r="G303" i="12"/>
  <c r="K303" i="12" s="1"/>
  <c r="M301" i="12"/>
  <c r="G301" i="12"/>
  <c r="K301" i="12" s="1"/>
  <c r="L301" i="12" s="1"/>
  <c r="G300" i="12"/>
  <c r="K300" i="12" s="1"/>
  <c r="G299" i="12"/>
  <c r="K299" i="12" s="1"/>
  <c r="G298" i="12"/>
  <c r="K298" i="12" s="1"/>
  <c r="K297" i="12"/>
  <c r="L297" i="12" s="1"/>
  <c r="G297" i="12"/>
  <c r="O296" i="12"/>
  <c r="G296" i="12"/>
  <c r="K275" i="12"/>
  <c r="G275" i="12"/>
  <c r="A275" i="12"/>
  <c r="G274" i="12"/>
  <c r="K274" i="12" s="1"/>
  <c r="M274" i="12" s="1"/>
  <c r="A274" i="12"/>
  <c r="G273" i="12"/>
  <c r="K273" i="12" s="1"/>
  <c r="A273" i="12"/>
  <c r="G272" i="12"/>
  <c r="K272" i="12" s="1"/>
  <c r="A272" i="12"/>
  <c r="K271" i="12"/>
  <c r="G271" i="12"/>
  <c r="A271" i="12"/>
  <c r="G270" i="12"/>
  <c r="K270" i="12" s="1"/>
  <c r="M270" i="12" s="1"/>
  <c r="A270" i="12"/>
  <c r="A269" i="12"/>
  <c r="A268" i="12"/>
  <c r="G267" i="12"/>
  <c r="A267" i="12"/>
  <c r="K266" i="12"/>
  <c r="L266" i="12" s="1"/>
  <c r="G266" i="12"/>
  <c r="A266" i="12"/>
  <c r="G265" i="12"/>
  <c r="K265" i="12" s="1"/>
  <c r="A265" i="12"/>
  <c r="G264" i="12"/>
  <c r="K264" i="12" s="1"/>
  <c r="A264" i="12"/>
  <c r="G263" i="12"/>
  <c r="K263" i="12" s="1"/>
  <c r="M263" i="12" s="1"/>
  <c r="A263" i="12"/>
  <c r="G262" i="12"/>
  <c r="K262" i="12" s="1"/>
  <c r="A262" i="12"/>
  <c r="G261" i="12"/>
  <c r="K261" i="12" s="1"/>
  <c r="A261" i="12"/>
  <c r="G260" i="12"/>
  <c r="K260" i="12" s="1"/>
  <c r="A260" i="12"/>
  <c r="L259" i="12"/>
  <c r="G259" i="12"/>
  <c r="K259" i="12" s="1"/>
  <c r="M259" i="12" s="1"/>
  <c r="A259" i="12"/>
  <c r="G258" i="12"/>
  <c r="K258" i="12" s="1"/>
  <c r="A258" i="12"/>
  <c r="G257" i="12"/>
  <c r="K257" i="12" s="1"/>
  <c r="A257" i="12"/>
  <c r="G256" i="12"/>
  <c r="K256" i="12" s="1"/>
  <c r="A256" i="12"/>
  <c r="G255" i="12"/>
  <c r="K255" i="12" s="1"/>
  <c r="M255" i="12" s="1"/>
  <c r="A255" i="12"/>
  <c r="G254" i="12"/>
  <c r="K254" i="12" s="1"/>
  <c r="A254" i="12"/>
  <c r="G253" i="12"/>
  <c r="K253" i="12" s="1"/>
  <c r="A253" i="12"/>
  <c r="G252" i="12"/>
  <c r="K252" i="12" s="1"/>
  <c r="A252" i="12"/>
  <c r="G251" i="12"/>
  <c r="K251" i="12" s="1"/>
  <c r="M251" i="12" s="1"/>
  <c r="A251" i="12"/>
  <c r="G250" i="12"/>
  <c r="K250" i="12" s="1"/>
  <c r="A250" i="12"/>
  <c r="G249" i="12"/>
  <c r="K249" i="12" s="1"/>
  <c r="A249" i="12"/>
  <c r="G248" i="12"/>
  <c r="K248" i="12" s="1"/>
  <c r="A248" i="12"/>
  <c r="L247" i="12"/>
  <c r="G247" i="12"/>
  <c r="K247" i="12" s="1"/>
  <c r="M247" i="12" s="1"/>
  <c r="A247" i="12"/>
  <c r="G246" i="12"/>
  <c r="K246" i="12" s="1"/>
  <c r="A246" i="12"/>
  <c r="G245" i="12"/>
  <c r="K245" i="12" s="1"/>
  <c r="A245" i="12"/>
  <c r="G244" i="12"/>
  <c r="K244" i="12" s="1"/>
  <c r="A244" i="12"/>
  <c r="G243" i="12"/>
  <c r="K243" i="12" s="1"/>
  <c r="M243" i="12" s="1"/>
  <c r="A243" i="12"/>
  <c r="K242" i="12"/>
  <c r="L242" i="12" s="1"/>
  <c r="G242" i="12"/>
  <c r="A242" i="12"/>
  <c r="G241" i="12"/>
  <c r="K241" i="12" s="1"/>
  <c r="A241" i="12"/>
  <c r="G240" i="12"/>
  <c r="K240" i="12" s="1"/>
  <c r="A240" i="12"/>
  <c r="G239" i="12"/>
  <c r="K239" i="12" s="1"/>
  <c r="M239" i="12" s="1"/>
  <c r="A239" i="12"/>
  <c r="G238" i="12"/>
  <c r="K238" i="12" s="1"/>
  <c r="A238" i="12"/>
  <c r="G237" i="12"/>
  <c r="K237" i="12" s="1"/>
  <c r="A237" i="12"/>
  <c r="G236" i="12"/>
  <c r="K236" i="12" s="1"/>
  <c r="A236" i="12"/>
  <c r="L235" i="12"/>
  <c r="G235" i="12"/>
  <c r="K235" i="12" s="1"/>
  <c r="M235" i="12" s="1"/>
  <c r="A235" i="12"/>
  <c r="G234" i="12"/>
  <c r="K234" i="12" s="1"/>
  <c r="A234" i="12"/>
  <c r="G233" i="12"/>
  <c r="K233" i="12" s="1"/>
  <c r="A233" i="12"/>
  <c r="A232" i="12"/>
  <c r="L231" i="12"/>
  <c r="G231" i="12"/>
  <c r="K231" i="12" s="1"/>
  <c r="M231" i="12" s="1"/>
  <c r="A231" i="12"/>
  <c r="G230" i="12"/>
  <c r="K230" i="12" s="1"/>
  <c r="A230" i="12"/>
  <c r="G229" i="12"/>
  <c r="K229" i="12" s="1"/>
  <c r="A229" i="12"/>
  <c r="A228" i="12"/>
  <c r="G227" i="12"/>
  <c r="K227" i="12" s="1"/>
  <c r="A227" i="12"/>
  <c r="L226" i="12"/>
  <c r="G226" i="12"/>
  <c r="K226" i="12" s="1"/>
  <c r="M226" i="12" s="1"/>
  <c r="A226" i="12"/>
  <c r="G225" i="12"/>
  <c r="K225" i="12" s="1"/>
  <c r="A225" i="12"/>
  <c r="G224" i="12"/>
  <c r="K224" i="12" s="1"/>
  <c r="M224" i="12" s="1"/>
  <c r="A224" i="12"/>
  <c r="G223" i="12"/>
  <c r="A223" i="12"/>
  <c r="O222" i="12"/>
  <c r="G222" i="12"/>
  <c r="K222" i="12" s="1"/>
  <c r="A222" i="12"/>
  <c r="M219" i="12"/>
  <c r="L219" i="12"/>
  <c r="L203" i="12"/>
  <c r="G203" i="12"/>
  <c r="K203" i="12" s="1"/>
  <c r="M203" i="12" s="1"/>
  <c r="A203" i="12"/>
  <c r="G202" i="12"/>
  <c r="K202" i="12" s="1"/>
  <c r="A202" i="12"/>
  <c r="G201" i="12"/>
  <c r="K201" i="12" s="1"/>
  <c r="A201" i="12"/>
  <c r="G200" i="12"/>
  <c r="K200" i="12" s="1"/>
  <c r="A200" i="12"/>
  <c r="G199" i="12"/>
  <c r="K199" i="12" s="1"/>
  <c r="M199" i="12" s="1"/>
  <c r="A199" i="12"/>
  <c r="K198" i="12"/>
  <c r="L198" i="12" s="1"/>
  <c r="G198" i="12"/>
  <c r="A198" i="12"/>
  <c r="A197" i="12"/>
  <c r="G196" i="12"/>
  <c r="A196" i="12"/>
  <c r="G195" i="12"/>
  <c r="A195" i="12"/>
  <c r="G194" i="12"/>
  <c r="K194" i="12" s="1"/>
  <c r="A194" i="12"/>
  <c r="G193" i="12"/>
  <c r="K193" i="12" s="1"/>
  <c r="M193" i="12" s="1"/>
  <c r="A193" i="12"/>
  <c r="K192" i="12"/>
  <c r="L192" i="12" s="1"/>
  <c r="G192" i="12"/>
  <c r="A192" i="12"/>
  <c r="G191" i="12"/>
  <c r="K191" i="12" s="1"/>
  <c r="A191" i="12"/>
  <c r="G190" i="12"/>
  <c r="K190" i="12" s="1"/>
  <c r="A190" i="12"/>
  <c r="G189" i="12"/>
  <c r="K189" i="12" s="1"/>
  <c r="M189" i="12" s="1"/>
  <c r="A189" i="12"/>
  <c r="K188" i="12"/>
  <c r="L188" i="12" s="1"/>
  <c r="G188" i="12"/>
  <c r="A188" i="12"/>
  <c r="G187" i="12"/>
  <c r="K187" i="12" s="1"/>
  <c r="A187" i="12"/>
  <c r="G186" i="12"/>
  <c r="K186" i="12" s="1"/>
  <c r="A186" i="12"/>
  <c r="L185" i="12"/>
  <c r="G185" i="12"/>
  <c r="K185" i="12" s="1"/>
  <c r="M185" i="12" s="1"/>
  <c r="A185" i="12"/>
  <c r="K184" i="12"/>
  <c r="L184" i="12" s="1"/>
  <c r="G184" i="12"/>
  <c r="A184" i="12"/>
  <c r="G183" i="12"/>
  <c r="K183" i="12" s="1"/>
  <c r="A183" i="12"/>
  <c r="G182" i="12"/>
  <c r="K182" i="12" s="1"/>
  <c r="A182" i="12"/>
  <c r="L181" i="12"/>
  <c r="G181" i="12"/>
  <c r="K181" i="12" s="1"/>
  <c r="M181" i="12" s="1"/>
  <c r="A181" i="12"/>
  <c r="G180" i="12"/>
  <c r="K180" i="12" s="1"/>
  <c r="A180" i="12"/>
  <c r="G179" i="12"/>
  <c r="K179" i="12" s="1"/>
  <c r="A179" i="12"/>
  <c r="G178" i="12"/>
  <c r="K178" i="12" s="1"/>
  <c r="A178" i="12"/>
  <c r="G177" i="12"/>
  <c r="K177" i="12" s="1"/>
  <c r="A177" i="12"/>
  <c r="G176" i="12"/>
  <c r="K176" i="12" s="1"/>
  <c r="A176" i="12"/>
  <c r="G175" i="12"/>
  <c r="K175" i="12" s="1"/>
  <c r="A175" i="12"/>
  <c r="G174" i="12"/>
  <c r="K174" i="12" s="1"/>
  <c r="A174" i="12"/>
  <c r="G173" i="12"/>
  <c r="K173" i="12" s="1"/>
  <c r="M173" i="12" s="1"/>
  <c r="A173" i="12"/>
  <c r="G172" i="12"/>
  <c r="K172" i="12" s="1"/>
  <c r="L172" i="12" s="1"/>
  <c r="A172" i="12"/>
  <c r="G171" i="12"/>
  <c r="K171" i="12" s="1"/>
  <c r="M171" i="12" s="1"/>
  <c r="A171" i="12"/>
  <c r="G170" i="12"/>
  <c r="K170" i="12" s="1"/>
  <c r="A170" i="12"/>
  <c r="G169" i="12"/>
  <c r="K169" i="12" s="1"/>
  <c r="A169" i="12"/>
  <c r="G168" i="12"/>
  <c r="K168" i="12" s="1"/>
  <c r="A168" i="12"/>
  <c r="G167" i="12"/>
  <c r="K167" i="12" s="1"/>
  <c r="A167" i="12"/>
  <c r="K166" i="12"/>
  <c r="L166" i="12" s="1"/>
  <c r="G166" i="12"/>
  <c r="A166" i="12"/>
  <c r="G165" i="12"/>
  <c r="K165" i="12" s="1"/>
  <c r="M165" i="12" s="1"/>
  <c r="A165" i="12"/>
  <c r="K164" i="12"/>
  <c r="L164" i="12" s="1"/>
  <c r="G164" i="12"/>
  <c r="A164" i="12"/>
  <c r="G163" i="12"/>
  <c r="K163" i="12" s="1"/>
  <c r="M163" i="12" s="1"/>
  <c r="A163" i="12"/>
  <c r="G162" i="12"/>
  <c r="K162" i="12" s="1"/>
  <c r="A162" i="12"/>
  <c r="G161" i="12"/>
  <c r="K161" i="12" s="1"/>
  <c r="A161" i="12"/>
  <c r="A160" i="12"/>
  <c r="G159" i="12"/>
  <c r="K159" i="12" s="1"/>
  <c r="M159" i="12" s="1"/>
  <c r="A159" i="12"/>
  <c r="G158" i="12"/>
  <c r="K158" i="12" s="1"/>
  <c r="L158" i="12" s="1"/>
  <c r="A158" i="12"/>
  <c r="G157" i="12"/>
  <c r="K157" i="12" s="1"/>
  <c r="M157" i="12" s="1"/>
  <c r="A157" i="12"/>
  <c r="A156" i="12"/>
  <c r="G155" i="12"/>
  <c r="K155" i="12" s="1"/>
  <c r="A155" i="12"/>
  <c r="K154" i="12"/>
  <c r="M154" i="12" s="1"/>
  <c r="G154" i="12"/>
  <c r="A154" i="12"/>
  <c r="G153" i="12"/>
  <c r="K153" i="12" s="1"/>
  <c r="L153" i="12" s="1"/>
  <c r="A153" i="12"/>
  <c r="K152" i="12"/>
  <c r="L152" i="12" s="1"/>
  <c r="G152" i="12"/>
  <c r="A152" i="12"/>
  <c r="G151" i="12"/>
  <c r="K151" i="12" s="1"/>
  <c r="A151" i="12"/>
  <c r="G150" i="12"/>
  <c r="A150" i="12"/>
  <c r="O149" i="12"/>
  <c r="G134" i="12"/>
  <c r="K134" i="12" s="1"/>
  <c r="A134" i="12"/>
  <c r="G133" i="12"/>
  <c r="K133" i="12" s="1"/>
  <c r="M133" i="12" s="1"/>
  <c r="A133" i="12"/>
  <c r="G132" i="12"/>
  <c r="K132" i="12" s="1"/>
  <c r="L132" i="12" s="1"/>
  <c r="A132" i="12"/>
  <c r="G131" i="12"/>
  <c r="K131" i="12" s="1"/>
  <c r="A131" i="12"/>
  <c r="G130" i="12"/>
  <c r="K130" i="12" s="1"/>
  <c r="A130" i="12"/>
  <c r="K129" i="12"/>
  <c r="L129" i="12" s="1"/>
  <c r="G129" i="12"/>
  <c r="A129" i="12"/>
  <c r="A128" i="12"/>
  <c r="A127" i="12"/>
  <c r="G126" i="12"/>
  <c r="A126" i="12"/>
  <c r="M125" i="12"/>
  <c r="G125" i="12"/>
  <c r="K125" i="12" s="1"/>
  <c r="L125" i="12" s="1"/>
  <c r="A125" i="12"/>
  <c r="G124" i="12"/>
  <c r="K124" i="12" s="1"/>
  <c r="L124" i="12" s="1"/>
  <c r="A124" i="12"/>
  <c r="G123" i="12"/>
  <c r="K123" i="12" s="1"/>
  <c r="M123" i="12" s="1"/>
  <c r="A123" i="12"/>
  <c r="L122" i="12"/>
  <c r="K122" i="12"/>
  <c r="M122" i="12" s="1"/>
  <c r="G122" i="12"/>
  <c r="A122" i="12"/>
  <c r="G121" i="12"/>
  <c r="K121" i="12" s="1"/>
  <c r="L121" i="12" s="1"/>
  <c r="A121" i="12"/>
  <c r="G120" i="12"/>
  <c r="K120" i="12" s="1"/>
  <c r="L120" i="12" s="1"/>
  <c r="A120" i="12"/>
  <c r="G119" i="12"/>
  <c r="K119" i="12" s="1"/>
  <c r="M119" i="12" s="1"/>
  <c r="A119" i="12"/>
  <c r="G118" i="12"/>
  <c r="K118" i="12" s="1"/>
  <c r="L118" i="12" s="1"/>
  <c r="A118" i="12"/>
  <c r="G117" i="12"/>
  <c r="K117" i="12" s="1"/>
  <c r="M117" i="12" s="1"/>
  <c r="A117" i="12"/>
  <c r="G116" i="12"/>
  <c r="K116" i="12" s="1"/>
  <c r="A116" i="12"/>
  <c r="G115" i="12"/>
  <c r="K115" i="12" s="1"/>
  <c r="A115" i="12"/>
  <c r="K114" i="12"/>
  <c r="M114" i="12" s="1"/>
  <c r="G114" i="12"/>
  <c r="A114" i="12"/>
  <c r="M113" i="12"/>
  <c r="G113" i="12"/>
  <c r="K113" i="12" s="1"/>
  <c r="L113" i="12" s="1"/>
  <c r="A113" i="12"/>
  <c r="G112" i="12"/>
  <c r="K112" i="12" s="1"/>
  <c r="A112" i="12"/>
  <c r="G111" i="12"/>
  <c r="A111" i="12"/>
  <c r="G110" i="12"/>
  <c r="K110" i="12" s="1"/>
  <c r="L110" i="12" s="1"/>
  <c r="A110" i="12"/>
  <c r="G109" i="12"/>
  <c r="K109" i="12" s="1"/>
  <c r="L109" i="12" s="1"/>
  <c r="A109" i="12"/>
  <c r="G108" i="12"/>
  <c r="K108" i="12" s="1"/>
  <c r="M108" i="12" s="1"/>
  <c r="A108" i="12"/>
  <c r="G107" i="12"/>
  <c r="K107" i="12" s="1"/>
  <c r="L107" i="12" s="1"/>
  <c r="A107" i="12"/>
  <c r="G106" i="12"/>
  <c r="K106" i="12" s="1"/>
  <c r="M106" i="12" s="1"/>
  <c r="A106" i="12"/>
  <c r="G105" i="12"/>
  <c r="K105" i="12" s="1"/>
  <c r="A105" i="12"/>
  <c r="G104" i="12"/>
  <c r="K104" i="12" s="1"/>
  <c r="A104" i="12"/>
  <c r="G103" i="12"/>
  <c r="K103" i="12" s="1"/>
  <c r="A103" i="12"/>
  <c r="M102" i="12"/>
  <c r="G102" i="12"/>
  <c r="K102" i="12" s="1"/>
  <c r="L102" i="12" s="1"/>
  <c r="A102" i="12"/>
  <c r="G101" i="12"/>
  <c r="K101" i="12" s="1"/>
  <c r="A101" i="12"/>
  <c r="G100" i="12"/>
  <c r="K100" i="12" s="1"/>
  <c r="A100" i="12"/>
  <c r="G99" i="12"/>
  <c r="K99" i="12" s="1"/>
  <c r="A99" i="12"/>
  <c r="M98" i="12"/>
  <c r="L98" i="12"/>
  <c r="G98" i="12"/>
  <c r="K98" i="12" s="1"/>
  <c r="A98" i="12"/>
  <c r="K97" i="12"/>
  <c r="L97" i="12" s="1"/>
  <c r="G97" i="12"/>
  <c r="A97" i="12"/>
  <c r="G96" i="12"/>
  <c r="K96" i="12" s="1"/>
  <c r="M96" i="12" s="1"/>
  <c r="A96" i="12"/>
  <c r="L95" i="12"/>
  <c r="G95" i="12"/>
  <c r="K95" i="12" s="1"/>
  <c r="M95" i="12" s="1"/>
  <c r="A95" i="12"/>
  <c r="G94" i="12"/>
  <c r="K94" i="12" s="1"/>
  <c r="L94" i="12" s="1"/>
  <c r="A94" i="12"/>
  <c r="G93" i="12"/>
  <c r="K93" i="12" s="1"/>
  <c r="L93" i="12" s="1"/>
  <c r="A93" i="12"/>
  <c r="G92" i="12"/>
  <c r="K92" i="12" s="1"/>
  <c r="M92" i="12" s="1"/>
  <c r="A92" i="12"/>
  <c r="A91" i="12"/>
  <c r="M90" i="12"/>
  <c r="G90" i="12"/>
  <c r="K90" i="12" s="1"/>
  <c r="L90" i="12" s="1"/>
  <c r="A90" i="12"/>
  <c r="K89" i="12"/>
  <c r="G89" i="12"/>
  <c r="A89" i="12"/>
  <c r="K88" i="12"/>
  <c r="M88" i="12" s="1"/>
  <c r="G88" i="12"/>
  <c r="A88" i="12"/>
  <c r="A87" i="12"/>
  <c r="G86" i="12"/>
  <c r="K86" i="12" s="1"/>
  <c r="A86" i="12"/>
  <c r="G85" i="12"/>
  <c r="K85" i="12" s="1"/>
  <c r="M85" i="12" s="1"/>
  <c r="A85" i="12"/>
  <c r="G84" i="12"/>
  <c r="K84" i="12" s="1"/>
  <c r="L84" i="12" s="1"/>
  <c r="A84" i="12"/>
  <c r="K83" i="12"/>
  <c r="M83" i="12" s="1"/>
  <c r="G83" i="12"/>
  <c r="A83" i="12"/>
  <c r="K82" i="12"/>
  <c r="G82" i="12"/>
  <c r="A82" i="12"/>
  <c r="K81" i="12"/>
  <c r="M81" i="12" s="1"/>
  <c r="G81" i="12"/>
  <c r="A81" i="12"/>
  <c r="O80" i="12"/>
  <c r="G65" i="12"/>
  <c r="K65" i="12" s="1"/>
  <c r="M65" i="12" s="1"/>
  <c r="A65" i="12"/>
  <c r="G64" i="12"/>
  <c r="K64" i="12" s="1"/>
  <c r="L64" i="12" s="1"/>
  <c r="A64" i="12"/>
  <c r="G63" i="12"/>
  <c r="K63" i="12" s="1"/>
  <c r="A63" i="12"/>
  <c r="G62" i="12"/>
  <c r="K62" i="12" s="1"/>
  <c r="A62" i="12"/>
  <c r="G61" i="12"/>
  <c r="K61" i="12" s="1"/>
  <c r="A61" i="12"/>
  <c r="G60" i="12"/>
  <c r="K60" i="12" s="1"/>
  <c r="M60" i="12" s="1"/>
  <c r="A60" i="12"/>
  <c r="G59" i="12"/>
  <c r="A59" i="12"/>
  <c r="G58" i="12"/>
  <c r="A58" i="12"/>
  <c r="G57" i="12"/>
  <c r="A57" i="12"/>
  <c r="G56" i="12"/>
  <c r="K56" i="12" s="1"/>
  <c r="M56" i="12" s="1"/>
  <c r="A56" i="12"/>
  <c r="G55" i="12"/>
  <c r="K55" i="12" s="1"/>
  <c r="L55" i="12" s="1"/>
  <c r="A55" i="12"/>
  <c r="G54" i="12"/>
  <c r="K54" i="12" s="1"/>
  <c r="M54" i="12" s="1"/>
  <c r="A54" i="12"/>
  <c r="G53" i="12"/>
  <c r="K53" i="12" s="1"/>
  <c r="A53" i="12"/>
  <c r="K52" i="12"/>
  <c r="G52" i="12"/>
  <c r="A52" i="12"/>
  <c r="G51" i="12"/>
  <c r="K51" i="12" s="1"/>
  <c r="M51" i="12" s="1"/>
  <c r="A51" i="12"/>
  <c r="M50" i="12"/>
  <c r="L50" i="12"/>
  <c r="G50" i="12"/>
  <c r="K50" i="12" s="1"/>
  <c r="A50" i="12"/>
  <c r="G49" i="12"/>
  <c r="K49" i="12" s="1"/>
  <c r="L49" i="12" s="1"/>
  <c r="A49" i="12"/>
  <c r="G48" i="12"/>
  <c r="K48" i="12" s="1"/>
  <c r="M48" i="12" s="1"/>
  <c r="A48" i="12"/>
  <c r="G47" i="12"/>
  <c r="K47" i="12" s="1"/>
  <c r="A47" i="12"/>
  <c r="M46" i="12"/>
  <c r="G46" i="12"/>
  <c r="K46" i="12" s="1"/>
  <c r="L46" i="12" s="1"/>
  <c r="A46" i="12"/>
  <c r="G45" i="12"/>
  <c r="K45" i="12" s="1"/>
  <c r="A45" i="12"/>
  <c r="K44" i="12"/>
  <c r="M44" i="12" s="1"/>
  <c r="G44" i="12"/>
  <c r="A44" i="12"/>
  <c r="A43" i="12"/>
  <c r="A42" i="12"/>
  <c r="G41" i="12"/>
  <c r="K41" i="12" s="1"/>
  <c r="A41" i="12"/>
  <c r="G40" i="12"/>
  <c r="K40" i="12" s="1"/>
  <c r="A40" i="12"/>
  <c r="G39" i="12"/>
  <c r="K39" i="12" s="1"/>
  <c r="A39" i="12"/>
  <c r="M38" i="12"/>
  <c r="G38" i="12"/>
  <c r="K38" i="12" s="1"/>
  <c r="L38" i="12" s="1"/>
  <c r="A38" i="12"/>
  <c r="G37" i="12"/>
  <c r="K37" i="12" s="1"/>
  <c r="A37" i="12"/>
  <c r="G36" i="12"/>
  <c r="K36" i="12" s="1"/>
  <c r="A36" i="12"/>
  <c r="K35" i="12"/>
  <c r="L35" i="12" s="1"/>
  <c r="G35" i="12"/>
  <c r="A35" i="12"/>
  <c r="M34" i="12"/>
  <c r="L34" i="12"/>
  <c r="G34" i="12"/>
  <c r="K34" i="12" s="1"/>
  <c r="A34" i="12"/>
  <c r="G33" i="12"/>
  <c r="K33" i="12" s="1"/>
  <c r="L33" i="12" s="1"/>
  <c r="A33" i="12"/>
  <c r="G32" i="12"/>
  <c r="K32" i="12" s="1"/>
  <c r="M32" i="12" s="1"/>
  <c r="A32" i="12"/>
  <c r="G31" i="12"/>
  <c r="K31" i="12" s="1"/>
  <c r="A31" i="12"/>
  <c r="A30" i="12"/>
  <c r="A29" i="12"/>
  <c r="G28" i="12"/>
  <c r="K28" i="12" s="1"/>
  <c r="A28" i="12"/>
  <c r="G27" i="12"/>
  <c r="K27" i="12" s="1"/>
  <c r="L27" i="12" s="1"/>
  <c r="A27" i="12"/>
  <c r="G26" i="12"/>
  <c r="K26" i="12" s="1"/>
  <c r="M26" i="12" s="1"/>
  <c r="A26" i="12"/>
  <c r="G25" i="12"/>
  <c r="K25" i="12" s="1"/>
  <c r="G24" i="12"/>
  <c r="K24" i="12" s="1"/>
  <c r="L24" i="12" s="1"/>
  <c r="A24" i="12"/>
  <c r="G23" i="12"/>
  <c r="K23" i="12" s="1"/>
  <c r="M23" i="12" s="1"/>
  <c r="A23" i="12"/>
  <c r="A22" i="12"/>
  <c r="G21" i="12"/>
  <c r="K21" i="12" s="1"/>
  <c r="M21" i="12" s="1"/>
  <c r="A21" i="12"/>
  <c r="G20" i="12"/>
  <c r="K20" i="12" s="1"/>
  <c r="L20" i="12" s="1"/>
  <c r="A20" i="12"/>
  <c r="K19" i="12"/>
  <c r="M19" i="12" s="1"/>
  <c r="G19" i="12"/>
  <c r="A19" i="12"/>
  <c r="A18" i="12"/>
  <c r="G17" i="12"/>
  <c r="K17" i="12" s="1"/>
  <c r="A17" i="12"/>
  <c r="K16" i="12"/>
  <c r="M16" i="12" s="1"/>
  <c r="G16" i="12"/>
  <c r="A16" i="12"/>
  <c r="K15" i="12"/>
  <c r="L15" i="12" s="1"/>
  <c r="G15" i="12"/>
  <c r="A15" i="12"/>
  <c r="K14" i="12"/>
  <c r="G14" i="12"/>
  <c r="A14" i="12"/>
  <c r="G13" i="12"/>
  <c r="A13" i="12"/>
  <c r="G12" i="12"/>
  <c r="K12" i="12" s="1"/>
  <c r="M12" i="12" s="1"/>
  <c r="A12" i="12"/>
  <c r="O11" i="12"/>
  <c r="M31" i="12" l="1"/>
  <c r="L31" i="12"/>
  <c r="M47" i="12"/>
  <c r="L47" i="12"/>
  <c r="M465" i="12"/>
  <c r="L465" i="12"/>
  <c r="M595" i="12"/>
  <c r="L595" i="12"/>
  <c r="M665" i="12"/>
  <c r="L665" i="12"/>
  <c r="L773" i="12"/>
  <c r="M773" i="12"/>
  <c r="M611" i="12"/>
  <c r="L611" i="12"/>
  <c r="M619" i="12"/>
  <c r="L619" i="12"/>
  <c r="L99" i="12"/>
  <c r="M99" i="12"/>
  <c r="L254" i="12"/>
  <c r="M254" i="12"/>
  <c r="M533" i="12"/>
  <c r="L533" i="12"/>
  <c r="M546" i="12"/>
  <c r="L546" i="12"/>
  <c r="L182" i="12"/>
  <c r="M182" i="12"/>
  <c r="L649" i="12"/>
  <c r="M649" i="12"/>
  <c r="L238" i="12"/>
  <c r="M238" i="12"/>
  <c r="M453" i="12"/>
  <c r="L453" i="12"/>
  <c r="L668" i="12"/>
  <c r="M668" i="12"/>
  <c r="L715" i="12"/>
  <c r="M715" i="12"/>
  <c r="L273" i="12"/>
  <c r="M273" i="12"/>
  <c r="M660" i="12"/>
  <c r="L660" i="12"/>
  <c r="L677" i="12"/>
  <c r="M677" i="12"/>
  <c r="L1065" i="12"/>
  <c r="M1065" i="12"/>
  <c r="M587" i="12"/>
  <c r="L587" i="12"/>
  <c r="M603" i="12"/>
  <c r="L603" i="12"/>
  <c r="M459" i="12"/>
  <c r="L459" i="12"/>
  <c r="M674" i="12"/>
  <c r="L674" i="12"/>
  <c r="L250" i="12"/>
  <c r="M250" i="12"/>
  <c r="M591" i="12"/>
  <c r="L591" i="12"/>
  <c r="L1241" i="12"/>
  <c r="M1241" i="12"/>
  <c r="L262" i="12"/>
  <c r="M262" i="12"/>
  <c r="M615" i="12"/>
  <c r="L615" i="12"/>
  <c r="M39" i="12"/>
  <c r="L39" i="12"/>
  <c r="L662" i="12"/>
  <c r="M662" i="12"/>
  <c r="M537" i="12"/>
  <c r="L537" i="12"/>
  <c r="M607" i="12"/>
  <c r="L607" i="12"/>
  <c r="L777" i="12"/>
  <c r="M777" i="12"/>
  <c r="M652" i="12"/>
  <c r="L652" i="12"/>
  <c r="L246" i="12"/>
  <c r="M246" i="12"/>
  <c r="M456" i="12"/>
  <c r="L456" i="12"/>
  <c r="M550" i="12"/>
  <c r="L550" i="12"/>
  <c r="M663" i="12"/>
  <c r="L663" i="12"/>
  <c r="L426" i="12"/>
  <c r="M426" i="12"/>
  <c r="L767" i="12"/>
  <c r="M767" i="12"/>
  <c r="L807" i="12"/>
  <c r="M807" i="12"/>
  <c r="L45" i="12"/>
  <c r="M45" i="12"/>
  <c r="M462" i="12"/>
  <c r="L462" i="12"/>
  <c r="L174" i="12"/>
  <c r="M174" i="12"/>
  <c r="L258" i="12"/>
  <c r="M258" i="12"/>
  <c r="M422" i="12"/>
  <c r="L422" i="12"/>
  <c r="M529" i="12"/>
  <c r="L529" i="12"/>
  <c r="L1201" i="12"/>
  <c r="M1201" i="12"/>
  <c r="M599" i="12"/>
  <c r="L599" i="12"/>
  <c r="L234" i="12"/>
  <c r="M234" i="12"/>
  <c r="M626" i="12"/>
  <c r="L626" i="12"/>
  <c r="M103" i="12"/>
  <c r="L103" i="12"/>
  <c r="L202" i="12"/>
  <c r="M202" i="12"/>
  <c r="L230" i="12"/>
  <c r="M230" i="12"/>
  <c r="M897" i="12"/>
  <c r="L897" i="12"/>
  <c r="M672" i="12"/>
  <c r="L672" i="12"/>
  <c r="L21" i="12"/>
  <c r="L83" i="12"/>
  <c r="O148" i="12"/>
  <c r="O150" i="12" s="1"/>
  <c r="M719" i="12"/>
  <c r="M756" i="12"/>
  <c r="L756" i="12"/>
  <c r="O79" i="12"/>
  <c r="O81" i="12" s="1"/>
  <c r="K150" i="12"/>
  <c r="M150" i="12" s="1"/>
  <c r="M586" i="12"/>
  <c r="O10" i="12"/>
  <c r="O12" i="12" s="1"/>
  <c r="M167" i="12"/>
  <c r="L167" i="12"/>
  <c r="L446" i="12"/>
  <c r="L1240" i="12"/>
  <c r="U1243" i="12" s="1"/>
  <c r="M1240" i="12"/>
  <c r="M499" i="12"/>
  <c r="M801" i="12"/>
  <c r="M132" i="12"/>
  <c r="L168" i="12"/>
  <c r="M168" i="12"/>
  <c r="L263" i="12"/>
  <c r="L391" i="12"/>
  <c r="L440" i="12"/>
  <c r="M454" i="12"/>
  <c r="L454" i="12"/>
  <c r="M458" i="12"/>
  <c r="M463" i="12"/>
  <c r="L463" i="12"/>
  <c r="L598" i="12"/>
  <c r="L614" i="12"/>
  <c r="M669" i="12"/>
  <c r="L669" i="12"/>
  <c r="L722" i="12"/>
  <c r="M722" i="12"/>
  <c r="M802" i="12"/>
  <c r="L802" i="12"/>
  <c r="L1003" i="12"/>
  <c r="M1003" i="12"/>
  <c r="M531" i="12"/>
  <c r="L531" i="12"/>
  <c r="L1069" i="12"/>
  <c r="M1069" i="12"/>
  <c r="L88" i="12"/>
  <c r="M166" i="12"/>
  <c r="L199" i="12"/>
  <c r="L774" i="12"/>
  <c r="M774" i="12"/>
  <c r="M1208" i="12"/>
  <c r="M539" i="12"/>
  <c r="L539" i="12"/>
  <c r="M1209" i="12"/>
  <c r="M758" i="12"/>
  <c r="M604" i="12"/>
  <c r="L604" i="12"/>
  <c r="M612" i="12"/>
  <c r="L612" i="12"/>
  <c r="L16" i="12"/>
  <c r="M388" i="12"/>
  <c r="L618" i="12"/>
  <c r="M679" i="12"/>
  <c r="L679" i="12"/>
  <c r="L810" i="12"/>
  <c r="M810" i="12"/>
  <c r="O1200" i="12"/>
  <c r="O1202" i="12" s="1"/>
  <c r="L89" i="12"/>
  <c r="M89" i="12"/>
  <c r="L721" i="12"/>
  <c r="M721" i="12"/>
  <c r="M588" i="12"/>
  <c r="L588" i="12"/>
  <c r="L803" i="12"/>
  <c r="M803" i="12"/>
  <c r="L818" i="12"/>
  <c r="M818" i="12"/>
  <c r="L108" i="12"/>
  <c r="M179" i="12"/>
  <c r="L179" i="12"/>
  <c r="M242" i="12"/>
  <c r="L255" i="12"/>
  <c r="M441" i="12"/>
  <c r="M535" i="12"/>
  <c r="L535" i="12"/>
  <c r="M675" i="12"/>
  <c r="L675" i="12"/>
  <c r="L761" i="12"/>
  <c r="L770" i="12"/>
  <c r="M770" i="12"/>
  <c r="L805" i="12"/>
  <c r="M805" i="12"/>
  <c r="M1169" i="12"/>
  <c r="L1169" i="12"/>
  <c r="L1269" i="12"/>
  <c r="M396" i="12"/>
  <c r="L602" i="12"/>
  <c r="M1030" i="12"/>
  <c r="L1030" i="12"/>
  <c r="M28" i="12"/>
  <c r="L28" i="12"/>
  <c r="M592" i="12"/>
  <c r="L592" i="12"/>
  <c r="M608" i="12"/>
  <c r="L608" i="12"/>
  <c r="M651" i="12"/>
  <c r="L651" i="12"/>
  <c r="T659" i="12" s="1"/>
  <c r="M841" i="12"/>
  <c r="L841" i="12"/>
  <c r="L1104" i="12"/>
  <c r="M1104" i="12"/>
  <c r="L579" i="12"/>
  <c r="M1002" i="12"/>
  <c r="L1210" i="12"/>
  <c r="M1210" i="12"/>
  <c r="M623" i="12"/>
  <c r="L623" i="12"/>
  <c r="L844" i="12"/>
  <c r="M844" i="12"/>
  <c r="L44" i="12"/>
  <c r="M63" i="12"/>
  <c r="L63" i="12"/>
  <c r="L133" i="12"/>
  <c r="L251" i="12"/>
  <c r="K372" i="12"/>
  <c r="O377" i="12" s="1"/>
  <c r="O370" i="12"/>
  <c r="O372" i="12" s="1"/>
  <c r="L433" i="12"/>
  <c r="M473" i="12"/>
  <c r="L473" i="12"/>
  <c r="L522" i="12"/>
  <c r="L594" i="12"/>
  <c r="L717" i="12"/>
  <c r="M717" i="12"/>
  <c r="L1242" i="12"/>
  <c r="M1242" i="12"/>
  <c r="M460" i="12"/>
  <c r="L460" i="12"/>
  <c r="M600" i="12"/>
  <c r="L600" i="12"/>
  <c r="M616" i="12"/>
  <c r="L616" i="12"/>
  <c r="M1137" i="12"/>
  <c r="L1137" i="12"/>
  <c r="M596" i="12"/>
  <c r="L596" i="12"/>
  <c r="M297" i="12"/>
  <c r="M466" i="12"/>
  <c r="L466" i="12"/>
  <c r="M840" i="12"/>
  <c r="M627" i="12"/>
  <c r="L627" i="12"/>
  <c r="L180" i="12"/>
  <c r="M180" i="12"/>
  <c r="L114" i="12"/>
  <c r="M175" i="12"/>
  <c r="L175" i="12"/>
  <c r="L193" i="12"/>
  <c r="M198" i="12"/>
  <c r="L243" i="12"/>
  <c r="L504" i="12"/>
  <c r="L517" i="12"/>
  <c r="L523" i="12"/>
  <c r="M666" i="12"/>
  <c r="L666" i="12"/>
  <c r="L671" i="12"/>
  <c r="L703" i="12"/>
  <c r="L814" i="12"/>
  <c r="M814" i="12"/>
  <c r="M998" i="12"/>
  <c r="L998" i="12"/>
  <c r="M1035" i="12"/>
  <c r="L1035" i="12"/>
  <c r="M1233" i="12"/>
  <c r="L1233" i="12"/>
  <c r="L176" i="12"/>
  <c r="M176" i="12"/>
  <c r="L375" i="12"/>
  <c r="M375" i="12"/>
  <c r="M726" i="12"/>
  <c r="L726" i="12"/>
  <c r="M266" i="12"/>
  <c r="M457" i="12"/>
  <c r="L457" i="12"/>
  <c r="L1132" i="12"/>
  <c r="M1132" i="12"/>
  <c r="L513" i="12"/>
  <c r="L714" i="12"/>
  <c r="M714" i="12"/>
  <c r="L657" i="12"/>
  <c r="L400" i="12"/>
  <c r="L842" i="12"/>
  <c r="M842" i="12"/>
  <c r="M14" i="12"/>
  <c r="L14" i="12"/>
  <c r="M35" i="12"/>
  <c r="L119" i="12"/>
  <c r="M64" i="12"/>
  <c r="L92" i="12"/>
  <c r="L189" i="12"/>
  <c r="L239" i="12"/>
  <c r="L590" i="12"/>
  <c r="L606" i="12"/>
  <c r="L625" i="12"/>
  <c r="M901" i="12"/>
  <c r="L901" i="12"/>
  <c r="L935" i="12"/>
  <c r="L999" i="12"/>
  <c r="M999" i="12"/>
  <c r="L1244" i="12"/>
  <c r="M1244" i="12"/>
  <c r="M755" i="12"/>
  <c r="L931" i="12"/>
  <c r="L1202" i="12"/>
  <c r="M129" i="12"/>
  <c r="M164" i="12"/>
  <c r="L501" i="12"/>
  <c r="M583" i="12"/>
  <c r="L655" i="12"/>
  <c r="U659" i="12" s="1"/>
  <c r="M713" i="12"/>
  <c r="M799" i="12"/>
  <c r="M820" i="12"/>
  <c r="L843" i="12"/>
  <c r="L969" i="12"/>
  <c r="M1243" i="12"/>
  <c r="L270" i="12"/>
  <c r="L274" i="12"/>
  <c r="L386" i="12"/>
  <c r="L402" i="12"/>
  <c r="M436" i="12"/>
  <c r="O581" i="12"/>
  <c r="M520" i="12"/>
  <c r="L548" i="12"/>
  <c r="L589" i="12"/>
  <c r="L593" i="12"/>
  <c r="L597" i="12"/>
  <c r="L601" i="12"/>
  <c r="L605" i="12"/>
  <c r="L609" i="12"/>
  <c r="L613" i="12"/>
  <c r="L617" i="12"/>
  <c r="L624" i="12"/>
  <c r="L628" i="12"/>
  <c r="L661" i="12"/>
  <c r="L664" i="12"/>
  <c r="L667" i="12"/>
  <c r="L670" i="12"/>
  <c r="L673" i="12"/>
  <c r="L676" i="12"/>
  <c r="M718" i="12"/>
  <c r="M775" i="12"/>
  <c r="L800" i="12"/>
  <c r="M816" i="12"/>
  <c r="M1100" i="12"/>
  <c r="M1211" i="12"/>
  <c r="M24" i="12"/>
  <c r="L165" i="12"/>
  <c r="L173" i="12"/>
  <c r="M184" i="12"/>
  <c r="M188" i="12"/>
  <c r="M192" i="12"/>
  <c r="M387" i="12"/>
  <c r="M403" i="12"/>
  <c r="L444" i="12"/>
  <c r="L502" i="12"/>
  <c r="O647" i="12"/>
  <c r="O649" i="12" s="1"/>
  <c r="L902" i="12"/>
  <c r="L1070" i="12"/>
  <c r="L25" i="12"/>
  <c r="M25" i="12"/>
  <c r="M40" i="12"/>
  <c r="L40" i="12"/>
  <c r="L162" i="12"/>
  <c r="M162" i="12"/>
  <c r="M36" i="12"/>
  <c r="L36" i="12"/>
  <c r="M61" i="12"/>
  <c r="L61" i="12"/>
  <c r="L86" i="12"/>
  <c r="M86" i="12"/>
  <c r="L101" i="12"/>
  <c r="M101" i="12"/>
  <c r="M115" i="12"/>
  <c r="L115" i="12"/>
  <c r="L17" i="12"/>
  <c r="M17" i="12"/>
  <c r="L41" i="12"/>
  <c r="M41" i="12"/>
  <c r="M104" i="12"/>
  <c r="L104" i="12"/>
  <c r="L131" i="12"/>
  <c r="M131" i="12"/>
  <c r="L151" i="12"/>
  <c r="M151" i="12"/>
  <c r="M161" i="12"/>
  <c r="L161" i="12"/>
  <c r="L37" i="12"/>
  <c r="M37" i="12"/>
  <c r="L53" i="12"/>
  <c r="M53" i="12"/>
  <c r="L62" i="12"/>
  <c r="M62" i="12"/>
  <c r="M100" i="12"/>
  <c r="L100" i="12"/>
  <c r="L116" i="12"/>
  <c r="M116" i="12"/>
  <c r="M134" i="12"/>
  <c r="L134" i="12"/>
  <c r="L105" i="12"/>
  <c r="M105" i="12"/>
  <c r="L112" i="12"/>
  <c r="M112" i="12"/>
  <c r="L155" i="12"/>
  <c r="M155" i="12"/>
  <c r="M130" i="12"/>
  <c r="L130" i="12"/>
  <c r="K13" i="12"/>
  <c r="L19" i="12"/>
  <c r="L48" i="12"/>
  <c r="M49" i="12"/>
  <c r="L56" i="12"/>
  <c r="M118" i="12"/>
  <c r="M153" i="12"/>
  <c r="L163" i="12"/>
  <c r="M169" i="12"/>
  <c r="L169" i="12"/>
  <c r="M55" i="12"/>
  <c r="M94" i="12"/>
  <c r="M110" i="12"/>
  <c r="M121" i="12"/>
  <c r="M152" i="12"/>
  <c r="L154" i="12"/>
  <c r="L159" i="12"/>
  <c r="L178" i="12"/>
  <c r="M178" i="12"/>
  <c r="L224" i="12"/>
  <c r="M227" i="12"/>
  <c r="L227" i="12"/>
  <c r="M15" i="12"/>
  <c r="L32" i="12"/>
  <c r="M33" i="12"/>
  <c r="L60" i="12"/>
  <c r="L65" i="12"/>
  <c r="L85" i="12"/>
  <c r="O86" i="12"/>
  <c r="M93" i="12"/>
  <c r="L96" i="12"/>
  <c r="M97" i="12"/>
  <c r="M109" i="12"/>
  <c r="M120" i="12"/>
  <c r="L123" i="12"/>
  <c r="M124" i="12"/>
  <c r="L157" i="12"/>
  <c r="L171" i="12"/>
  <c r="M172" i="12"/>
  <c r="M177" i="12"/>
  <c r="L177" i="12"/>
  <c r="K223" i="12"/>
  <c r="O228" i="12" s="1"/>
  <c r="O221" i="12"/>
  <c r="O223" i="12" s="1"/>
  <c r="M299" i="12"/>
  <c r="L299" i="12"/>
  <c r="M304" i="12"/>
  <c r="L304" i="12"/>
  <c r="M307" i="12"/>
  <c r="L307" i="12"/>
  <c r="M382" i="12"/>
  <c r="L382" i="12"/>
  <c r="O155" i="12"/>
  <c r="L170" i="12"/>
  <c r="M170" i="12"/>
  <c r="M186" i="12"/>
  <c r="L186" i="12"/>
  <c r="M190" i="12"/>
  <c r="L190" i="12"/>
  <c r="M194" i="12"/>
  <c r="L194" i="12"/>
  <c r="M222" i="12"/>
  <c r="L222" i="12"/>
  <c r="O295" i="12"/>
  <c r="O297" i="12" s="1"/>
  <c r="K296" i="12"/>
  <c r="M300" i="12"/>
  <c r="L300" i="12"/>
  <c r="M345" i="12"/>
  <c r="L345" i="12"/>
  <c r="M349" i="12"/>
  <c r="L349" i="12"/>
  <c r="M20" i="12"/>
  <c r="L23" i="12"/>
  <c r="L26" i="12"/>
  <c r="L51" i="12"/>
  <c r="M201" i="12"/>
  <c r="L201" i="12"/>
  <c r="M229" i="12"/>
  <c r="L229" i="12"/>
  <c r="M237" i="12"/>
  <c r="L237" i="12"/>
  <c r="M241" i="12"/>
  <c r="L241" i="12"/>
  <c r="M245" i="12"/>
  <c r="L245" i="12"/>
  <c r="M249" i="12"/>
  <c r="L249" i="12"/>
  <c r="M253" i="12"/>
  <c r="L253" i="12"/>
  <c r="M257" i="12"/>
  <c r="L257" i="12"/>
  <c r="M261" i="12"/>
  <c r="L261" i="12"/>
  <c r="M265" i="12"/>
  <c r="L265" i="12"/>
  <c r="M272" i="12"/>
  <c r="L272" i="12"/>
  <c r="M298" i="12"/>
  <c r="L298" i="12"/>
  <c r="M308" i="12"/>
  <c r="L308" i="12"/>
  <c r="M310" i="12"/>
  <c r="L310" i="12"/>
  <c r="M312" i="12"/>
  <c r="L312" i="12"/>
  <c r="M314" i="12"/>
  <c r="L314" i="12"/>
  <c r="M316" i="12"/>
  <c r="L316" i="12"/>
  <c r="M318" i="12"/>
  <c r="L318" i="12"/>
  <c r="M320" i="12"/>
  <c r="L320" i="12"/>
  <c r="M322" i="12"/>
  <c r="L322" i="12"/>
  <c r="M324" i="12"/>
  <c r="L324" i="12"/>
  <c r="M326" i="12"/>
  <c r="L326" i="12"/>
  <c r="M328" i="12"/>
  <c r="L328" i="12"/>
  <c r="M330" i="12"/>
  <c r="L330" i="12"/>
  <c r="M332" i="12"/>
  <c r="L332" i="12"/>
  <c r="M334" i="12"/>
  <c r="L334" i="12"/>
  <c r="M336" i="12"/>
  <c r="L336" i="12"/>
  <c r="M338" i="12"/>
  <c r="L338" i="12"/>
  <c r="M340" i="12"/>
  <c r="L340" i="12"/>
  <c r="M346" i="12"/>
  <c r="L346" i="12"/>
  <c r="M373" i="12"/>
  <c r="L373" i="12"/>
  <c r="M384" i="12"/>
  <c r="L384" i="12"/>
  <c r="M52" i="12"/>
  <c r="L52" i="12"/>
  <c r="L82" i="12"/>
  <c r="M82" i="12"/>
  <c r="M27" i="12"/>
  <c r="L81" i="12"/>
  <c r="L106" i="12"/>
  <c r="M107" i="12"/>
  <c r="L117" i="12"/>
  <c r="L12" i="12"/>
  <c r="L54" i="12"/>
  <c r="M84" i="12"/>
  <c r="M158" i="12"/>
  <c r="M385" i="12"/>
  <c r="L385" i="12"/>
  <c r="M390" i="12"/>
  <c r="L390" i="12"/>
  <c r="M471" i="12"/>
  <c r="L471" i="12"/>
  <c r="M183" i="12"/>
  <c r="L183" i="12"/>
  <c r="M187" i="12"/>
  <c r="L187" i="12"/>
  <c r="M191" i="12"/>
  <c r="L191" i="12"/>
  <c r="M347" i="12"/>
  <c r="L347" i="12"/>
  <c r="M374" i="12"/>
  <c r="L374" i="12"/>
  <c r="M379" i="12"/>
  <c r="L379" i="12"/>
  <c r="M508" i="12"/>
  <c r="L508" i="12"/>
  <c r="M530" i="12"/>
  <c r="L530" i="12"/>
  <c r="M538" i="12"/>
  <c r="L538" i="12"/>
  <c r="M549" i="12"/>
  <c r="L549" i="12"/>
  <c r="M708" i="12"/>
  <c r="L708" i="12"/>
  <c r="M711" i="12"/>
  <c r="L711" i="12"/>
  <c r="L724" i="12"/>
  <c r="M724" i="12"/>
  <c r="M200" i="12"/>
  <c r="L200" i="12"/>
  <c r="M225" i="12"/>
  <c r="L225" i="12"/>
  <c r="M233" i="12"/>
  <c r="L233" i="12"/>
  <c r="M236" i="12"/>
  <c r="L236" i="12"/>
  <c r="M240" i="12"/>
  <c r="L240" i="12"/>
  <c r="M244" i="12"/>
  <c r="L244" i="12"/>
  <c r="M248" i="12"/>
  <c r="L248" i="12"/>
  <c r="M252" i="12"/>
  <c r="L252" i="12"/>
  <c r="M256" i="12"/>
  <c r="L256" i="12"/>
  <c r="M260" i="12"/>
  <c r="L260" i="12"/>
  <c r="M264" i="12"/>
  <c r="L264" i="12"/>
  <c r="M271" i="12"/>
  <c r="L271" i="12"/>
  <c r="M275" i="12"/>
  <c r="L275" i="12"/>
  <c r="M303" i="12"/>
  <c r="L303" i="12"/>
  <c r="M305" i="12"/>
  <c r="L305" i="12"/>
  <c r="M309" i="12"/>
  <c r="L309" i="12"/>
  <c r="M311" i="12"/>
  <c r="L311" i="12"/>
  <c r="M313" i="12"/>
  <c r="L313" i="12"/>
  <c r="M315" i="12"/>
  <c r="L315" i="12"/>
  <c r="M317" i="12"/>
  <c r="L317" i="12"/>
  <c r="M319" i="12"/>
  <c r="L319" i="12"/>
  <c r="M321" i="12"/>
  <c r="L321" i="12"/>
  <c r="M323" i="12"/>
  <c r="L323" i="12"/>
  <c r="M325" i="12"/>
  <c r="L325" i="12"/>
  <c r="M327" i="12"/>
  <c r="L327" i="12"/>
  <c r="M329" i="12"/>
  <c r="L329" i="12"/>
  <c r="M331" i="12"/>
  <c r="L331" i="12"/>
  <c r="M333" i="12"/>
  <c r="L333" i="12"/>
  <c r="M335" i="12"/>
  <c r="L335" i="12"/>
  <c r="M337" i="12"/>
  <c r="L337" i="12"/>
  <c r="M339" i="12"/>
  <c r="L339" i="12"/>
  <c r="M344" i="12"/>
  <c r="L344" i="12"/>
  <c r="M348" i="12"/>
  <c r="L348" i="12"/>
  <c r="M380" i="12"/>
  <c r="L380" i="12"/>
  <c r="M383" i="12"/>
  <c r="L383" i="12"/>
  <c r="O428" i="12"/>
  <c r="M472" i="12"/>
  <c r="L472" i="12"/>
  <c r="M577" i="12"/>
  <c r="L577" i="12"/>
  <c r="M659" i="12"/>
  <c r="L659" i="12"/>
  <c r="L720" i="12"/>
  <c r="M720" i="12"/>
  <c r="K754" i="12"/>
  <c r="O753" i="12"/>
  <c r="O755" i="12" s="1"/>
  <c r="L759" i="12"/>
  <c r="M759" i="12"/>
  <c r="M431" i="12"/>
  <c r="L431" i="12"/>
  <c r="M434" i="12"/>
  <c r="L434" i="12"/>
  <c r="M438" i="12"/>
  <c r="L438" i="12"/>
  <c r="M443" i="12"/>
  <c r="L443" i="12"/>
  <c r="M447" i="12"/>
  <c r="L447" i="12"/>
  <c r="M451" i="12"/>
  <c r="L451" i="12"/>
  <c r="M475" i="12"/>
  <c r="L475" i="12"/>
  <c r="L505" i="12"/>
  <c r="M505" i="12"/>
  <c r="M534" i="12"/>
  <c r="L534" i="12"/>
  <c r="M545" i="12"/>
  <c r="L545" i="12"/>
  <c r="M704" i="12"/>
  <c r="L704" i="12"/>
  <c r="M707" i="12"/>
  <c r="L707" i="12"/>
  <c r="M709" i="12"/>
  <c r="L709" i="12"/>
  <c r="L716" i="12"/>
  <c r="M716" i="12"/>
  <c r="L765" i="12"/>
  <c r="M765" i="12"/>
  <c r="L768" i="12"/>
  <c r="M768" i="12"/>
  <c r="M378" i="12"/>
  <c r="L378" i="12"/>
  <c r="M394" i="12"/>
  <c r="L394" i="12"/>
  <c r="M401" i="12"/>
  <c r="L401" i="12"/>
  <c r="M405" i="12"/>
  <c r="L405" i="12"/>
  <c r="K498" i="12"/>
  <c r="O496" i="12"/>
  <c r="O498" i="12" s="1"/>
  <c r="M578" i="12"/>
  <c r="L578" i="12"/>
  <c r="L584" i="12"/>
  <c r="M584" i="12"/>
  <c r="L712" i="12"/>
  <c r="M712" i="12"/>
  <c r="M728" i="12"/>
  <c r="L728" i="12"/>
  <c r="M763" i="12"/>
  <c r="L763" i="12"/>
  <c r="L809" i="12"/>
  <c r="M809" i="12"/>
  <c r="L813" i="12"/>
  <c r="M813" i="12"/>
  <c r="M851" i="12"/>
  <c r="L851" i="12"/>
  <c r="K895" i="12"/>
  <c r="O894" i="12"/>
  <c r="O896" i="12" s="1"/>
  <c r="M903" i="12"/>
  <c r="L903" i="12"/>
  <c r="L932" i="12"/>
  <c r="M932" i="12"/>
  <c r="M938" i="12"/>
  <c r="L938" i="12"/>
  <c r="L964" i="12"/>
  <c r="M964" i="12"/>
  <c r="M970" i="12"/>
  <c r="L970" i="12"/>
  <c r="O574" i="12"/>
  <c r="O576" i="12" s="1"/>
  <c r="L815" i="12"/>
  <c r="M815" i="12"/>
  <c r="M848" i="12"/>
  <c r="L848" i="12"/>
  <c r="L900" i="12"/>
  <c r="M900" i="12"/>
  <c r="O929" i="12"/>
  <c r="O931" i="12" s="1"/>
  <c r="L936" i="12"/>
  <c r="M936" i="12"/>
  <c r="M727" i="12"/>
  <c r="L727" i="12"/>
  <c r="M762" i="12"/>
  <c r="L762" i="12"/>
  <c r="M853" i="12"/>
  <c r="L853" i="12"/>
  <c r="L967" i="12"/>
  <c r="M967" i="12"/>
  <c r="L371" i="12"/>
  <c r="O421" i="12"/>
  <c r="O423" i="12" s="1"/>
  <c r="L423" i="12"/>
  <c r="M424" i="12"/>
  <c r="L427" i="12"/>
  <c r="L470" i="12"/>
  <c r="L474" i="12"/>
  <c r="M500" i="12"/>
  <c r="L506" i="12"/>
  <c r="L528" i="12"/>
  <c r="L532" i="12"/>
  <c r="L536" i="12"/>
  <c r="L540" i="12"/>
  <c r="L547" i="12"/>
  <c r="L575" i="12"/>
  <c r="M576" i="12"/>
  <c r="M580" i="12"/>
  <c r="M582" i="12"/>
  <c r="M648" i="12"/>
  <c r="O654" i="12"/>
  <c r="L656" i="12"/>
  <c r="O699" i="12"/>
  <c r="O701" i="12" s="1"/>
  <c r="K700" i="12"/>
  <c r="M701" i="12"/>
  <c r="L757" i="12"/>
  <c r="M766" i="12"/>
  <c r="M769" i="12"/>
  <c r="L776" i="12"/>
  <c r="M776" i="12"/>
  <c r="L806" i="12"/>
  <c r="M806" i="12"/>
  <c r="L811" i="12"/>
  <c r="M811" i="12"/>
  <c r="L819" i="12"/>
  <c r="M819" i="12"/>
  <c r="M846" i="12"/>
  <c r="L846" i="12"/>
  <c r="M898" i="12"/>
  <c r="L898" i="12"/>
  <c r="K798" i="12"/>
  <c r="O797" i="12"/>
  <c r="O799" i="12" s="1"/>
  <c r="K839" i="12"/>
  <c r="O838" i="12"/>
  <c r="O840" i="12" s="1"/>
  <c r="M855" i="12"/>
  <c r="L855" i="12"/>
  <c r="M857" i="12"/>
  <c r="L857" i="12"/>
  <c r="M859" i="12"/>
  <c r="L859" i="12"/>
  <c r="M861" i="12"/>
  <c r="L861" i="12"/>
  <c r="M863" i="12"/>
  <c r="L863" i="12"/>
  <c r="M865" i="12"/>
  <c r="L865" i="12"/>
  <c r="M867" i="12"/>
  <c r="L867" i="12"/>
  <c r="M869" i="12"/>
  <c r="L869" i="12"/>
  <c r="O962" i="12"/>
  <c r="O964" i="12" s="1"/>
  <c r="K963" i="12"/>
  <c r="O996" i="12"/>
  <c r="O998" i="12" s="1"/>
  <c r="M1006" i="12"/>
  <c r="L1006" i="12"/>
  <c r="O1063" i="12"/>
  <c r="O1065" i="12" s="1"/>
  <c r="K1064" i="12"/>
  <c r="M1068" i="12"/>
  <c r="L1068" i="12"/>
  <c r="M1102" i="12"/>
  <c r="L1102" i="12"/>
  <c r="M1106" i="12"/>
  <c r="L1106" i="12"/>
  <c r="M1108" i="12"/>
  <c r="L1108" i="12"/>
  <c r="M1271" i="12"/>
  <c r="L1271" i="12"/>
  <c r="L1278" i="12"/>
  <c r="M1278" i="12"/>
  <c r="O936" i="12"/>
  <c r="L930" i="12"/>
  <c r="M930" i="12"/>
  <c r="L934" i="12"/>
  <c r="M934" i="12"/>
  <c r="M1031" i="12"/>
  <c r="L1031" i="12"/>
  <c r="M1037" i="12"/>
  <c r="L1037" i="12"/>
  <c r="M1173" i="12"/>
  <c r="L1173" i="12"/>
  <c r="M1177" i="12"/>
  <c r="L1177" i="12"/>
  <c r="M817" i="12"/>
  <c r="L847" i="12"/>
  <c r="L850" i="12"/>
  <c r="L852" i="12"/>
  <c r="L854" i="12"/>
  <c r="L856" i="12"/>
  <c r="L858" i="12"/>
  <c r="L860" i="12"/>
  <c r="L862" i="12"/>
  <c r="L864" i="12"/>
  <c r="L866" i="12"/>
  <c r="L868" i="12"/>
  <c r="L870" i="12"/>
  <c r="M899" i="12"/>
  <c r="M933" i="12"/>
  <c r="L933" i="12"/>
  <c r="M937" i="12"/>
  <c r="L937" i="12"/>
  <c r="L966" i="12"/>
  <c r="M968" i="12"/>
  <c r="M971" i="12"/>
  <c r="L971" i="12"/>
  <c r="M1005" i="12"/>
  <c r="L1005" i="12"/>
  <c r="O1028" i="12"/>
  <c r="O1030" i="12" s="1"/>
  <c r="M1066" i="12"/>
  <c r="L1066" i="12"/>
  <c r="M1072" i="12"/>
  <c r="L1072" i="12"/>
  <c r="O1098" i="12"/>
  <c r="O1100" i="12" s="1"/>
  <c r="K1099" i="12"/>
  <c r="M1103" i="12"/>
  <c r="L1103" i="12"/>
  <c r="M1134" i="12"/>
  <c r="L1134" i="12"/>
  <c r="M1138" i="12"/>
  <c r="L1138" i="12"/>
  <c r="M1140" i="12"/>
  <c r="L1140" i="12"/>
  <c r="M1178" i="12"/>
  <c r="L1178" i="12"/>
  <c r="O1205" i="12"/>
  <c r="O1206" i="12" s="1"/>
  <c r="O1003" i="12"/>
  <c r="L997" i="12"/>
  <c r="O1035" i="12"/>
  <c r="L1029" i="12"/>
  <c r="M1032" i="12"/>
  <c r="L1032" i="12"/>
  <c r="M1036" i="12"/>
  <c r="L1036" i="12"/>
  <c r="M1038" i="12"/>
  <c r="L1038" i="12"/>
  <c r="M1101" i="12"/>
  <c r="L1101" i="12"/>
  <c r="M1107" i="12"/>
  <c r="L1107" i="12"/>
  <c r="O1130" i="12"/>
  <c r="O1132" i="12" s="1"/>
  <c r="K1131" i="12"/>
  <c r="M1135" i="12"/>
  <c r="L1135" i="12"/>
  <c r="M1175" i="12"/>
  <c r="L1175" i="12"/>
  <c r="M1203" i="12"/>
  <c r="O1203" i="12" s="1"/>
  <c r="O1204" i="12" s="1"/>
  <c r="L1203" i="12"/>
  <c r="Q1211" i="12" s="1"/>
  <c r="O1207" i="12"/>
  <c r="L1276" i="12"/>
  <c r="S1279" i="12" s="1"/>
  <c r="M1276" i="12"/>
  <c r="M997" i="12"/>
  <c r="L1000" i="12"/>
  <c r="M1001" i="12"/>
  <c r="L1004" i="12"/>
  <c r="M1029" i="12"/>
  <c r="M1033" i="12"/>
  <c r="L1033" i="12"/>
  <c r="M1067" i="12"/>
  <c r="L1067" i="12"/>
  <c r="M1071" i="12"/>
  <c r="L1071" i="12"/>
  <c r="M1073" i="12"/>
  <c r="L1073" i="12"/>
  <c r="M1133" i="12"/>
  <c r="L1133" i="12"/>
  <c r="M1139" i="12"/>
  <c r="L1139" i="12"/>
  <c r="O1166" i="12"/>
  <c r="O1168" i="12" s="1"/>
  <c r="K1167" i="12"/>
  <c r="M1176" i="12"/>
  <c r="L1176" i="12"/>
  <c r="M1239" i="12"/>
  <c r="L1239" i="12"/>
  <c r="R1243" i="12" s="1"/>
  <c r="M1174" i="12"/>
  <c r="L1174" i="12"/>
  <c r="M1234" i="12"/>
  <c r="L1234" i="12"/>
  <c r="O1239" i="12"/>
  <c r="M1207" i="12"/>
  <c r="L1207" i="12"/>
  <c r="V1211" i="12" s="1"/>
  <c r="S1243" i="12"/>
  <c r="M1235" i="12"/>
  <c r="O1237" i="12" s="1"/>
  <c r="O1238" i="12" s="1"/>
  <c r="L1235" i="12"/>
  <c r="M1275" i="12"/>
  <c r="L1275" i="12"/>
  <c r="M1270" i="12"/>
  <c r="L1270" i="12"/>
  <c r="O1275" i="12"/>
  <c r="M1277" i="12"/>
  <c r="M1279" i="12"/>
  <c r="M1280" i="12"/>
  <c r="O1232" i="12"/>
  <c r="O1234" i="12" s="1"/>
  <c r="O1268" i="12"/>
  <c r="O1270" i="12" s="1"/>
  <c r="O84" i="12" l="1"/>
  <c r="O85" i="12" s="1"/>
  <c r="O1273" i="12"/>
  <c r="O1274" i="12" s="1"/>
  <c r="R659" i="12"/>
  <c r="S659" i="12"/>
  <c r="O1211" i="12"/>
  <c r="O1271" i="12"/>
  <c r="O1272" i="12" s="1"/>
  <c r="U1211" i="12"/>
  <c r="S1211" i="12"/>
  <c r="O426" i="12"/>
  <c r="O427" i="12" s="1"/>
  <c r="M372" i="12"/>
  <c r="O375" i="12" s="1"/>
  <c r="O376" i="12" s="1"/>
  <c r="L372" i="12"/>
  <c r="S382" i="12" s="1"/>
  <c r="O373" i="12"/>
  <c r="O374" i="12" s="1"/>
  <c r="T1279" i="12"/>
  <c r="T1243" i="12"/>
  <c r="O1235" i="12"/>
  <c r="O1236" i="12" s="1"/>
  <c r="S433" i="12"/>
  <c r="L150" i="12"/>
  <c r="Q1243" i="12"/>
  <c r="R1279" i="12"/>
  <c r="O579" i="12"/>
  <c r="O580" i="12" s="1"/>
  <c r="O151" i="12"/>
  <c r="O152" i="12" s="1"/>
  <c r="M1131" i="12"/>
  <c r="O1137" i="12"/>
  <c r="L1131" i="12"/>
  <c r="M1099" i="12"/>
  <c r="O1105" i="12"/>
  <c r="L1099" i="12"/>
  <c r="U1279" i="12"/>
  <c r="O652" i="12"/>
  <c r="O653" i="12" s="1"/>
  <c r="O650" i="12"/>
  <c r="O651" i="12" s="1"/>
  <c r="V1243" i="12"/>
  <c r="P1243" i="12"/>
  <c r="P1211" i="12"/>
  <c r="P1279" i="12"/>
  <c r="O845" i="12"/>
  <c r="M839" i="12"/>
  <c r="L839" i="12"/>
  <c r="O424" i="12"/>
  <c r="O425" i="12" s="1"/>
  <c r="O659" i="12"/>
  <c r="T1211" i="12"/>
  <c r="O1031" i="12"/>
  <c r="O1032" i="12" s="1"/>
  <c r="O1033" i="12"/>
  <c r="O1034" i="12" s="1"/>
  <c r="O999" i="12"/>
  <c r="O1000" i="12" s="1"/>
  <c r="O1001" i="12"/>
  <c r="O1002" i="12" s="1"/>
  <c r="R1211" i="12"/>
  <c r="V1007" i="12"/>
  <c r="R1007" i="12"/>
  <c r="U1007" i="12"/>
  <c r="P1007" i="12"/>
  <c r="T1007" i="12"/>
  <c r="O1007" i="12"/>
  <c r="S1007" i="12"/>
  <c r="Q1007" i="12"/>
  <c r="O932" i="12"/>
  <c r="O933" i="12" s="1"/>
  <c r="O934" i="12"/>
  <c r="O935" i="12" s="1"/>
  <c r="V1279" i="12"/>
  <c r="O969" i="12"/>
  <c r="L963" i="12"/>
  <c r="M963" i="12"/>
  <c r="V433" i="12"/>
  <c r="R433" i="12"/>
  <c r="O577" i="12"/>
  <c r="O578" i="12" s="1"/>
  <c r="O433" i="12"/>
  <c r="V659" i="12"/>
  <c r="S91" i="12"/>
  <c r="O91" i="12"/>
  <c r="U91" i="12"/>
  <c r="P91" i="12"/>
  <c r="Q91" i="12"/>
  <c r="T91" i="12"/>
  <c r="R91" i="12"/>
  <c r="V91" i="12"/>
  <c r="M296" i="12"/>
  <c r="O302" i="12"/>
  <c r="L296" i="12"/>
  <c r="O1243" i="12"/>
  <c r="V940" i="12"/>
  <c r="R940" i="12"/>
  <c r="Q940" i="12"/>
  <c r="T940" i="12"/>
  <c r="O940" i="12"/>
  <c r="S940" i="12"/>
  <c r="P940" i="12"/>
  <c r="U940" i="12"/>
  <c r="O1279" i="12"/>
  <c r="Q1279" i="12"/>
  <c r="M798" i="12"/>
  <c r="O804" i="12"/>
  <c r="L798" i="12"/>
  <c r="Q433" i="12"/>
  <c r="P433" i="12"/>
  <c r="O901" i="12"/>
  <c r="L895" i="12"/>
  <c r="M895" i="12"/>
  <c r="Q659" i="12"/>
  <c r="O1173" i="12"/>
  <c r="M1167" i="12"/>
  <c r="L1167" i="12"/>
  <c r="S586" i="12"/>
  <c r="O586" i="12"/>
  <c r="R586" i="12"/>
  <c r="T586" i="12"/>
  <c r="Q586" i="12"/>
  <c r="V586" i="12"/>
  <c r="P586" i="12"/>
  <c r="U586" i="12"/>
  <c r="M498" i="12"/>
  <c r="L498" i="12"/>
  <c r="O503" i="12"/>
  <c r="U158" i="12"/>
  <c r="Q158" i="12"/>
  <c r="R158" i="12"/>
  <c r="S158" i="12"/>
  <c r="P158" i="12"/>
  <c r="V158" i="12"/>
  <c r="O158" i="12"/>
  <c r="T158" i="12"/>
  <c r="O82" i="12"/>
  <c r="O83" i="12" s="1"/>
  <c r="O153" i="12"/>
  <c r="O154" i="12" s="1"/>
  <c r="S1040" i="12"/>
  <c r="O1040" i="12"/>
  <c r="V1040" i="12"/>
  <c r="R1040" i="12"/>
  <c r="U1040" i="12"/>
  <c r="Q1040" i="12"/>
  <c r="P1040" i="12"/>
  <c r="T1040" i="12"/>
  <c r="M700" i="12"/>
  <c r="O706" i="12"/>
  <c r="L700" i="12"/>
  <c r="T433" i="12"/>
  <c r="M1064" i="12"/>
  <c r="O1070" i="12"/>
  <c r="L1064" i="12"/>
  <c r="O382" i="12"/>
  <c r="U433" i="12"/>
  <c r="P659" i="12"/>
  <c r="O760" i="12"/>
  <c r="L754" i="12"/>
  <c r="M754" i="12"/>
  <c r="M223" i="12"/>
  <c r="O224" i="12" s="1"/>
  <c r="O225" i="12" s="1"/>
  <c r="L223" i="12"/>
  <c r="V233" i="12" s="1"/>
  <c r="L13" i="12"/>
  <c r="O22" i="12" s="1"/>
  <c r="M13" i="12"/>
  <c r="O17" i="12"/>
  <c r="V21" i="11"/>
  <c r="D13" i="6"/>
  <c r="E13" i="6"/>
  <c r="F13" i="6"/>
  <c r="G13" i="6"/>
  <c r="H13" i="6"/>
  <c r="Q382" i="12" l="1"/>
  <c r="U382" i="12"/>
  <c r="P382" i="12"/>
  <c r="R382" i="12"/>
  <c r="T382" i="12"/>
  <c r="V382" i="12"/>
  <c r="O233" i="12"/>
  <c r="Q233" i="12"/>
  <c r="O226" i="12"/>
  <c r="O227" i="12" s="1"/>
  <c r="O1066" i="12"/>
  <c r="O1067" i="12" s="1"/>
  <c r="O1068" i="12"/>
  <c r="O1069" i="12" s="1"/>
  <c r="O702" i="12"/>
  <c r="O703" i="12" s="1"/>
  <c r="O704" i="12"/>
  <c r="O705" i="12" s="1"/>
  <c r="S233" i="12"/>
  <c r="U233" i="12"/>
  <c r="Q508" i="12"/>
  <c r="V508" i="12"/>
  <c r="R508" i="12"/>
  <c r="U508" i="12"/>
  <c r="O508" i="12"/>
  <c r="T508" i="12"/>
  <c r="S508" i="12"/>
  <c r="P508" i="12"/>
  <c r="V22" i="12"/>
  <c r="S22" i="12"/>
  <c r="T850" i="12"/>
  <c r="P850" i="12"/>
  <c r="V850" i="12"/>
  <c r="R850" i="12"/>
  <c r="U850" i="12"/>
  <c r="S850" i="12"/>
  <c r="Q850" i="12"/>
  <c r="O850" i="12"/>
  <c r="O1101" i="12"/>
  <c r="O1102" i="12" s="1"/>
  <c r="O1103" i="12"/>
  <c r="O1104" i="12" s="1"/>
  <c r="S765" i="12"/>
  <c r="O765" i="12"/>
  <c r="U765" i="12"/>
  <c r="Q765" i="12"/>
  <c r="P765" i="12"/>
  <c r="T765" i="12"/>
  <c r="R765" i="12"/>
  <c r="V765" i="12"/>
  <c r="O15" i="12"/>
  <c r="O16" i="12" s="1"/>
  <c r="O13" i="12"/>
  <c r="O14" i="12" s="1"/>
  <c r="O756" i="12"/>
  <c r="O757" i="12" s="1"/>
  <c r="O758" i="12"/>
  <c r="O759" i="12" s="1"/>
  <c r="P233" i="12"/>
  <c r="R233" i="12"/>
  <c r="O499" i="12"/>
  <c r="O500" i="12" s="1"/>
  <c r="O501" i="12"/>
  <c r="O502" i="12" s="1"/>
  <c r="O802" i="12"/>
  <c r="O803" i="12" s="1"/>
  <c r="O800" i="12"/>
  <c r="O801" i="12" s="1"/>
  <c r="S307" i="12"/>
  <c r="O307" i="12"/>
  <c r="V307" i="12"/>
  <c r="R307" i="12"/>
  <c r="U307" i="12"/>
  <c r="Q307" i="12"/>
  <c r="T307" i="12"/>
  <c r="P307" i="12"/>
  <c r="Q22" i="12"/>
  <c r="P22" i="12"/>
  <c r="O843" i="12"/>
  <c r="O844" i="12" s="1"/>
  <c r="O841" i="12"/>
  <c r="O842" i="12" s="1"/>
  <c r="S1141" i="12"/>
  <c r="O1141" i="12"/>
  <c r="V1141" i="12"/>
  <c r="R1141" i="12"/>
  <c r="U1141" i="12"/>
  <c r="Q1141" i="12"/>
  <c r="P1141" i="12"/>
  <c r="T1141" i="12"/>
  <c r="S1074" i="12"/>
  <c r="O1074" i="12"/>
  <c r="V1074" i="12"/>
  <c r="R1074" i="12"/>
  <c r="U1074" i="12"/>
  <c r="Q1074" i="12"/>
  <c r="P1074" i="12"/>
  <c r="T1074" i="12"/>
  <c r="S711" i="12"/>
  <c r="O711" i="12"/>
  <c r="U711" i="12"/>
  <c r="P711" i="12"/>
  <c r="Q711" i="12"/>
  <c r="V711" i="12"/>
  <c r="T711" i="12"/>
  <c r="R711" i="12"/>
  <c r="T233" i="12"/>
  <c r="V1177" i="12"/>
  <c r="R1177" i="12"/>
  <c r="U1177" i="12"/>
  <c r="Q1177" i="12"/>
  <c r="T1177" i="12"/>
  <c r="P1177" i="12"/>
  <c r="S1177" i="12"/>
  <c r="O1177" i="12"/>
  <c r="O897" i="12"/>
  <c r="O898" i="12" s="1"/>
  <c r="O899" i="12"/>
  <c r="O900" i="12" s="1"/>
  <c r="R22" i="12"/>
  <c r="U22" i="12"/>
  <c r="O965" i="12"/>
  <c r="O966" i="12" s="1"/>
  <c r="O967" i="12"/>
  <c r="O968" i="12" s="1"/>
  <c r="S1109" i="12"/>
  <c r="O1109" i="12"/>
  <c r="V1109" i="12"/>
  <c r="R1109" i="12"/>
  <c r="U1109" i="12"/>
  <c r="Q1109" i="12"/>
  <c r="P1109" i="12"/>
  <c r="T1109" i="12"/>
  <c r="O1169" i="12"/>
  <c r="O1170" i="12" s="1"/>
  <c r="O1171" i="12"/>
  <c r="O1172" i="12" s="1"/>
  <c r="V905" i="12"/>
  <c r="R905" i="12"/>
  <c r="S905" i="12"/>
  <c r="U905" i="12"/>
  <c r="P905" i="12"/>
  <c r="T905" i="12"/>
  <c r="Q905" i="12"/>
  <c r="O905" i="12"/>
  <c r="U809" i="12"/>
  <c r="Q809" i="12"/>
  <c r="S809" i="12"/>
  <c r="O809" i="12"/>
  <c r="V809" i="12"/>
  <c r="R809" i="12"/>
  <c r="T809" i="12"/>
  <c r="P809" i="12"/>
  <c r="O298" i="12"/>
  <c r="O299" i="12" s="1"/>
  <c r="O300" i="12"/>
  <c r="O301" i="12" s="1"/>
  <c r="T22" i="12"/>
  <c r="V973" i="12"/>
  <c r="R973" i="12"/>
  <c r="U973" i="12"/>
  <c r="P973" i="12"/>
  <c r="T973" i="12"/>
  <c r="O973" i="12"/>
  <c r="S973" i="12"/>
  <c r="Q973" i="12"/>
  <c r="O1133" i="12"/>
  <c r="O1134" i="12" s="1"/>
  <c r="O1135" i="12"/>
  <c r="O1136" i="12" s="1"/>
  <c r="C7" i="6" l="1"/>
  <c r="C206" i="11" l="1"/>
  <c r="D19" i="11"/>
  <c r="C19" i="11"/>
  <c r="B19" i="11"/>
  <c r="D20" i="11"/>
  <c r="B20" i="11"/>
  <c r="D17" i="11"/>
  <c r="C17" i="11"/>
  <c r="B17" i="11"/>
  <c r="D16" i="11"/>
  <c r="B16" i="11"/>
  <c r="N167" i="11"/>
  <c r="C167" i="11"/>
  <c r="D157" i="11"/>
  <c r="C157" i="11"/>
  <c r="B157" i="11"/>
  <c r="F156" i="11"/>
  <c r="D156" i="11"/>
  <c r="C156" i="11"/>
  <c r="B156" i="11"/>
  <c r="D154" i="11"/>
  <c r="C154" i="11"/>
  <c r="B154" i="11"/>
  <c r="D153" i="11"/>
  <c r="C153" i="11"/>
  <c r="B153" i="11"/>
  <c r="C137" i="11"/>
  <c r="D123" i="11"/>
  <c r="C123" i="11"/>
  <c r="B123" i="11"/>
  <c r="C103" i="11"/>
  <c r="C99" i="11"/>
  <c r="F95" i="11"/>
  <c r="D95" i="11"/>
  <c r="C95" i="11"/>
  <c r="B95" i="11"/>
  <c r="F94" i="11"/>
  <c r="H103" i="11" s="1"/>
  <c r="D94" i="11"/>
  <c r="C94" i="11"/>
  <c r="B94" i="11"/>
  <c r="F93" i="11"/>
  <c r="D93" i="11"/>
  <c r="C93" i="11"/>
  <c r="B93" i="11"/>
  <c r="F92" i="11"/>
  <c r="N103" i="11" s="1"/>
  <c r="D92" i="11"/>
  <c r="C92" i="11"/>
  <c r="B92" i="11"/>
  <c r="F91" i="11"/>
  <c r="F103" i="11" s="1"/>
  <c r="D91" i="11"/>
  <c r="C91" i="11"/>
  <c r="B91" i="11"/>
  <c r="D90" i="11"/>
  <c r="C90" i="11"/>
  <c r="B90" i="11"/>
  <c r="K73" i="11"/>
  <c r="F73" i="11"/>
  <c r="C73" i="11"/>
  <c r="D65" i="11"/>
  <c r="C65" i="11"/>
  <c r="B65" i="11"/>
  <c r="F64" i="11"/>
  <c r="C64" i="11"/>
  <c r="B64" i="11"/>
  <c r="F63" i="11"/>
  <c r="D63" i="11"/>
  <c r="C63" i="11"/>
  <c r="B63" i="11"/>
  <c r="F62" i="11"/>
  <c r="D62" i="11"/>
  <c r="C62" i="11"/>
  <c r="B62" i="11"/>
  <c r="D61" i="11"/>
  <c r="C61" i="11"/>
  <c r="B61" i="11"/>
  <c r="D60" i="11"/>
  <c r="C60" i="11"/>
  <c r="B60" i="11"/>
  <c r="F59" i="11"/>
  <c r="D59" i="11"/>
  <c r="C59" i="11"/>
  <c r="C58" i="11"/>
  <c r="B58" i="11"/>
  <c r="C31" i="11"/>
  <c r="F15" i="11"/>
  <c r="P31" i="11" s="1"/>
  <c r="D15" i="11"/>
  <c r="C15" i="11"/>
  <c r="B15" i="11"/>
  <c r="V13" i="11"/>
  <c r="L13" i="11"/>
  <c r="M13" i="11"/>
  <c r="F13" i="11"/>
  <c r="D13" i="11"/>
  <c r="C13" i="11"/>
  <c r="B13" i="11"/>
  <c r="V11" i="11"/>
  <c r="M11" i="11"/>
  <c r="L11" i="11"/>
  <c r="F11" i="11"/>
  <c r="K31" i="11" s="1"/>
  <c r="D11" i="11"/>
  <c r="C11" i="11"/>
  <c r="B11" i="11"/>
  <c r="D10" i="11"/>
  <c r="C10" i="11"/>
  <c r="B10" i="11"/>
  <c r="L11" i="4"/>
  <c r="F88" i="4"/>
  <c r="O234" i="2"/>
  <c r="I90" i="11" s="1"/>
  <c r="O754" i="3"/>
  <c r="O814" i="2"/>
  <c r="I60" i="11" s="1"/>
  <c r="I64" i="11" l="1"/>
  <c r="BL189" i="5"/>
  <c r="O80" i="3" l="1"/>
  <c r="N189" i="5" s="1"/>
  <c r="O530" i="2" l="1"/>
  <c r="I17" i="11" s="1"/>
  <c r="O164" i="2"/>
  <c r="O84" i="2"/>
  <c r="I154" i="11" s="1"/>
  <c r="I10" i="4" l="1"/>
  <c r="I10" i="11"/>
  <c r="G576" i="3"/>
  <c r="K576" i="3" s="1"/>
  <c r="G577" i="3"/>
  <c r="K577" i="3" s="1"/>
  <c r="G578" i="3"/>
  <c r="K578" i="3" s="1"/>
  <c r="G579" i="3"/>
  <c r="K579" i="3" s="1"/>
  <c r="G580" i="3"/>
  <c r="K580" i="3" s="1"/>
  <c r="G582" i="3"/>
  <c r="K582" i="3" s="1"/>
  <c r="G583" i="3"/>
  <c r="K583" i="3" s="1"/>
  <c r="G584" i="3"/>
  <c r="K584" i="3" s="1"/>
  <c r="G586" i="3"/>
  <c r="K586" i="3" s="1"/>
  <c r="G587" i="3"/>
  <c r="K587" i="3" s="1"/>
  <c r="G588" i="3"/>
  <c r="K588" i="3" s="1"/>
  <c r="G589" i="3"/>
  <c r="K589" i="3" s="1"/>
  <c r="G590" i="3"/>
  <c r="K590" i="3" s="1"/>
  <c r="G591" i="3"/>
  <c r="K591" i="3" s="1"/>
  <c r="G592" i="3"/>
  <c r="K592" i="3" s="1"/>
  <c r="G593" i="3"/>
  <c r="K593" i="3" s="1"/>
  <c r="G594" i="3"/>
  <c r="K594" i="3" s="1"/>
  <c r="G595" i="3"/>
  <c r="K595" i="3" s="1"/>
  <c r="G596" i="3"/>
  <c r="K596" i="3" s="1"/>
  <c r="G597" i="3"/>
  <c r="K597" i="3" s="1"/>
  <c r="G598" i="3"/>
  <c r="K598" i="3" s="1"/>
  <c r="G599" i="3"/>
  <c r="K599" i="3" s="1"/>
  <c r="G600" i="3"/>
  <c r="K600" i="3" s="1"/>
  <c r="G601" i="3"/>
  <c r="K601" i="3" s="1"/>
  <c r="G602" i="3"/>
  <c r="K602" i="3" s="1"/>
  <c r="G603" i="3"/>
  <c r="K603" i="3" s="1"/>
  <c r="G604" i="3"/>
  <c r="K604" i="3" s="1"/>
  <c r="G605" i="3"/>
  <c r="K605" i="3" s="1"/>
  <c r="G606" i="3"/>
  <c r="K606" i="3" s="1"/>
  <c r="G607" i="3"/>
  <c r="K607" i="3" s="1"/>
  <c r="G608" i="3"/>
  <c r="K608" i="3" s="1"/>
  <c r="G609" i="3"/>
  <c r="K609" i="3" s="1"/>
  <c r="G610" i="3"/>
  <c r="K610" i="3" s="1"/>
  <c r="G611" i="3"/>
  <c r="K611" i="3" s="1"/>
  <c r="G612" i="3"/>
  <c r="K612" i="3" s="1"/>
  <c r="G613" i="3"/>
  <c r="K613" i="3" s="1"/>
  <c r="G614" i="3"/>
  <c r="K614" i="3" s="1"/>
  <c r="G615" i="3"/>
  <c r="K615" i="3" s="1"/>
  <c r="G616" i="3"/>
  <c r="K616" i="3" s="1"/>
  <c r="G617" i="3"/>
  <c r="K617" i="3" s="1"/>
  <c r="G618" i="3"/>
  <c r="K618" i="3" s="1"/>
  <c r="G619" i="3"/>
  <c r="K619" i="3" s="1"/>
  <c r="G623" i="3"/>
  <c r="K623" i="3" s="1"/>
  <c r="G624" i="3"/>
  <c r="K624" i="3" s="1"/>
  <c r="G625" i="3"/>
  <c r="K625" i="3" s="1"/>
  <c r="G626" i="3"/>
  <c r="K626" i="3" s="1"/>
  <c r="G627" i="3"/>
  <c r="K627" i="3" s="1"/>
  <c r="G628" i="3"/>
  <c r="K628" i="3" s="1"/>
  <c r="BJ74" i="5" l="1"/>
  <c r="BH74" i="5"/>
  <c r="BI74" i="5"/>
  <c r="G866" i="2"/>
  <c r="K866" i="2"/>
  <c r="L866" i="2" s="1"/>
  <c r="BL74" i="5" s="1"/>
  <c r="BK74" i="5" l="1"/>
  <c r="M866" i="2"/>
  <c r="BJ181" i="5" l="1"/>
  <c r="BH181" i="5"/>
  <c r="BI181" i="5"/>
  <c r="G777" i="3"/>
  <c r="K777" i="3" s="1"/>
  <c r="M777" i="3" s="1"/>
  <c r="L777" i="3" l="1"/>
  <c r="BL181" i="5" s="1"/>
  <c r="BK181" i="5"/>
  <c r="AZ78" i="5"/>
  <c r="AZ79" i="5"/>
  <c r="AX78" i="5"/>
  <c r="AY78" i="5"/>
  <c r="AX79" i="5"/>
  <c r="AY79" i="5"/>
  <c r="G723" i="2"/>
  <c r="K723" i="2" s="1"/>
  <c r="L723" i="2" s="1"/>
  <c r="BB79" i="5" s="1"/>
  <c r="G722" i="2"/>
  <c r="K722" i="2"/>
  <c r="L722" i="2" s="1"/>
  <c r="BB78" i="5" s="1"/>
  <c r="A722" i="2"/>
  <c r="A723" i="2"/>
  <c r="G726" i="3"/>
  <c r="BA79" i="5" l="1"/>
  <c r="BA78" i="5"/>
  <c r="M723" i="2"/>
  <c r="M722" i="2"/>
  <c r="BJ77" i="5"/>
  <c r="BH77" i="5"/>
  <c r="BI77" i="5"/>
  <c r="G865" i="2"/>
  <c r="AF76" i="5"/>
  <c r="AD76" i="5"/>
  <c r="AE76" i="5"/>
  <c r="G427" i="2"/>
  <c r="AP74" i="5"/>
  <c r="AP75" i="5"/>
  <c r="AN74" i="5"/>
  <c r="AO74" i="5"/>
  <c r="AN75" i="5"/>
  <c r="AO75" i="5"/>
  <c r="G581" i="2"/>
  <c r="K581" i="2" s="1"/>
  <c r="G582" i="2"/>
  <c r="L68" i="5"/>
  <c r="L69" i="5"/>
  <c r="L70" i="5"/>
  <c r="L71" i="5"/>
  <c r="L72" i="5"/>
  <c r="L73" i="5"/>
  <c r="J68" i="5"/>
  <c r="K68" i="5"/>
  <c r="J69" i="5"/>
  <c r="K69" i="5"/>
  <c r="J70" i="5"/>
  <c r="K70" i="5"/>
  <c r="J71" i="5"/>
  <c r="K71" i="5"/>
  <c r="J72" i="5"/>
  <c r="K72" i="5"/>
  <c r="J73" i="5"/>
  <c r="K73" i="5"/>
  <c r="N71" i="5"/>
  <c r="G139" i="2"/>
  <c r="G140" i="2"/>
  <c r="K140" i="2" s="1"/>
  <c r="G141" i="2"/>
  <c r="G142" i="2"/>
  <c r="G143" i="2"/>
  <c r="K143" i="2" s="1"/>
  <c r="M143" i="2" s="1"/>
  <c r="G144" i="2"/>
  <c r="K144" i="2" s="1"/>
  <c r="BK77" i="5" l="1"/>
  <c r="AQ75" i="5"/>
  <c r="AR75" i="5"/>
  <c r="M581" i="2"/>
  <c r="AQ74" i="5"/>
  <c r="L581" i="2"/>
  <c r="AR74" i="5" s="1"/>
  <c r="M140" i="2"/>
  <c r="M69" i="5"/>
  <c r="L140" i="2"/>
  <c r="N69" i="5" s="1"/>
  <c r="N68" i="5"/>
  <c r="M68" i="5"/>
  <c r="AG76" i="5"/>
  <c r="AH76" i="5"/>
  <c r="N70" i="5"/>
  <c r="M70" i="5"/>
  <c r="M73" i="5"/>
  <c r="L144" i="2"/>
  <c r="N73" i="5" s="1"/>
  <c r="M71" i="5"/>
  <c r="M144" i="2"/>
  <c r="M72" i="5"/>
  <c r="L143" i="2"/>
  <c r="N72" i="5" s="1"/>
  <c r="BL77" i="5" l="1"/>
  <c r="G537" i="2"/>
  <c r="V67" i="5"/>
  <c r="T67" i="5"/>
  <c r="U67" i="5"/>
  <c r="G284" i="2"/>
  <c r="G162" i="2"/>
  <c r="K162" i="2" s="1"/>
  <c r="W67" i="5" l="1"/>
  <c r="X67" i="5"/>
  <c r="L65" i="5" l="1"/>
  <c r="L66" i="5"/>
  <c r="J65" i="5"/>
  <c r="K65" i="5"/>
  <c r="J66" i="5"/>
  <c r="K66" i="5"/>
  <c r="G137" i="2"/>
  <c r="K137" i="2" s="1"/>
  <c r="M65" i="5" s="1"/>
  <c r="G138" i="2"/>
  <c r="K138" i="2" s="1"/>
  <c r="M66" i="5" s="1"/>
  <c r="L63" i="5"/>
  <c r="L64" i="5"/>
  <c r="J63" i="5"/>
  <c r="K63" i="5"/>
  <c r="J64" i="5"/>
  <c r="K64" i="5"/>
  <c r="G136" i="2"/>
  <c r="G135" i="2"/>
  <c r="N63" i="5" s="1"/>
  <c r="N64" i="5" l="1"/>
  <c r="M64" i="5"/>
  <c r="M63" i="5"/>
  <c r="M137" i="2"/>
  <c r="L137" i="2"/>
  <c r="N65" i="5" s="1"/>
  <c r="M138" i="2"/>
  <c r="L138" i="2"/>
  <c r="N66" i="5" s="1"/>
  <c r="G12" i="2"/>
  <c r="K12" i="2" s="1"/>
  <c r="G1006" i="3" l="1"/>
  <c r="K1006" i="3" s="1"/>
  <c r="G532" i="3"/>
  <c r="K532" i="3" s="1"/>
  <c r="G847" i="2"/>
  <c r="G335" i="2"/>
  <c r="K335" i="2" s="1"/>
  <c r="G308" i="2"/>
  <c r="K308" i="2" s="1"/>
  <c r="G642" i="2" l="1"/>
  <c r="K642" i="2" s="1"/>
  <c r="G641" i="2"/>
  <c r="G811" i="3"/>
  <c r="I55" i="4" l="1"/>
  <c r="EB169" i="5" l="1"/>
  <c r="EB170" i="5"/>
  <c r="EB171" i="5"/>
  <c r="EB172" i="5"/>
  <c r="EC172" i="5"/>
  <c r="ED172" i="5"/>
  <c r="EB173" i="5"/>
  <c r="EC173" i="5"/>
  <c r="ED173" i="5"/>
  <c r="EB174" i="5"/>
  <c r="EC174" i="5"/>
  <c r="ED174" i="5"/>
  <c r="EB175" i="5"/>
  <c r="EB176" i="5"/>
  <c r="EB177" i="5"/>
  <c r="EB178" i="5"/>
  <c r="EB179" i="5"/>
  <c r="EB180" i="5"/>
  <c r="DZ169" i="5"/>
  <c r="EA169" i="5"/>
  <c r="DZ170" i="5"/>
  <c r="EA170" i="5"/>
  <c r="DZ171" i="5"/>
  <c r="EA171" i="5"/>
  <c r="DZ172" i="5"/>
  <c r="EA172" i="5"/>
  <c r="DZ173" i="5"/>
  <c r="EA173" i="5"/>
  <c r="DZ174" i="5"/>
  <c r="EA174" i="5"/>
  <c r="DZ175" i="5"/>
  <c r="EA175" i="5"/>
  <c r="DZ176" i="5"/>
  <c r="EA176" i="5"/>
  <c r="DZ177" i="5"/>
  <c r="EA177" i="5"/>
  <c r="DZ178" i="5"/>
  <c r="EA178" i="5"/>
  <c r="DZ179" i="5"/>
  <c r="EA179" i="5"/>
  <c r="DZ180" i="5"/>
  <c r="EA180" i="5"/>
  <c r="DW169" i="5"/>
  <c r="DW170" i="5"/>
  <c r="DW171" i="5"/>
  <c r="DW172" i="5"/>
  <c r="DX172" i="5"/>
  <c r="DY172" i="5"/>
  <c r="DW173" i="5"/>
  <c r="DX173" i="5"/>
  <c r="DY173" i="5"/>
  <c r="DW174" i="5"/>
  <c r="DX174" i="5"/>
  <c r="DY174" i="5"/>
  <c r="DW175" i="5"/>
  <c r="DW176" i="5"/>
  <c r="DW177" i="5"/>
  <c r="DW178" i="5"/>
  <c r="DW179" i="5"/>
  <c r="DW180" i="5"/>
  <c r="DU169" i="5"/>
  <c r="DV169" i="5"/>
  <c r="DU170" i="5"/>
  <c r="DV170" i="5"/>
  <c r="DU171" i="5"/>
  <c r="DV171" i="5"/>
  <c r="DU172" i="5"/>
  <c r="DV172" i="5"/>
  <c r="DU173" i="5"/>
  <c r="DV173" i="5"/>
  <c r="DU174" i="5"/>
  <c r="DV174" i="5"/>
  <c r="DU175" i="5"/>
  <c r="DV175" i="5"/>
  <c r="DU176" i="5"/>
  <c r="DV176" i="5"/>
  <c r="DU177" i="5"/>
  <c r="DV177" i="5"/>
  <c r="DU178" i="5"/>
  <c r="DV178" i="5"/>
  <c r="DU179" i="5"/>
  <c r="DV179" i="5"/>
  <c r="DU180" i="5"/>
  <c r="DV180" i="5"/>
  <c r="DR169" i="5"/>
  <c r="DR170" i="5"/>
  <c r="DR171" i="5"/>
  <c r="DR172" i="5"/>
  <c r="DR173" i="5"/>
  <c r="DS173" i="5"/>
  <c r="DT173" i="5"/>
  <c r="DR174" i="5"/>
  <c r="DS174" i="5"/>
  <c r="DT174" i="5"/>
  <c r="DR175" i="5"/>
  <c r="DR176" i="5"/>
  <c r="DR177" i="5"/>
  <c r="DR178" i="5"/>
  <c r="DR179" i="5"/>
  <c r="DR180" i="5"/>
  <c r="DP169" i="5"/>
  <c r="DQ169" i="5"/>
  <c r="DP170" i="5"/>
  <c r="DQ170" i="5"/>
  <c r="DP171" i="5"/>
  <c r="DQ171" i="5"/>
  <c r="DP172" i="5"/>
  <c r="DQ172" i="5"/>
  <c r="DP173" i="5"/>
  <c r="DQ173" i="5"/>
  <c r="DP174" i="5"/>
  <c r="DQ174" i="5"/>
  <c r="DP175" i="5"/>
  <c r="DQ175" i="5"/>
  <c r="DP176" i="5"/>
  <c r="DQ176" i="5"/>
  <c r="DP177" i="5"/>
  <c r="DQ177" i="5"/>
  <c r="DP178" i="5"/>
  <c r="DQ178" i="5"/>
  <c r="DP179" i="5"/>
  <c r="DQ179" i="5"/>
  <c r="DP180" i="5"/>
  <c r="DQ180" i="5"/>
  <c r="DM169" i="5"/>
  <c r="DM170" i="5"/>
  <c r="DM171" i="5"/>
  <c r="DM172" i="5"/>
  <c r="DM173" i="5"/>
  <c r="DN173" i="5"/>
  <c r="DO173" i="5"/>
  <c r="DM174" i="5"/>
  <c r="DN174" i="5"/>
  <c r="DO174" i="5"/>
  <c r="DM175" i="5"/>
  <c r="DM176" i="5"/>
  <c r="DM177" i="5"/>
  <c r="DM178" i="5"/>
  <c r="DM179" i="5"/>
  <c r="DM180" i="5"/>
  <c r="DK169" i="5"/>
  <c r="DL169" i="5"/>
  <c r="DK170" i="5"/>
  <c r="DL170" i="5"/>
  <c r="DK171" i="5"/>
  <c r="DL171" i="5"/>
  <c r="DK172" i="5"/>
  <c r="DL172" i="5"/>
  <c r="DK173" i="5"/>
  <c r="DL173" i="5"/>
  <c r="DK174" i="5"/>
  <c r="DL174" i="5"/>
  <c r="DK175" i="5"/>
  <c r="DL175" i="5"/>
  <c r="DK176" i="5"/>
  <c r="DL176" i="5"/>
  <c r="DK177" i="5"/>
  <c r="DL177" i="5"/>
  <c r="DK178" i="5"/>
  <c r="DL178" i="5"/>
  <c r="DK179" i="5"/>
  <c r="DL179" i="5"/>
  <c r="DK180" i="5"/>
  <c r="DL180" i="5"/>
  <c r="DH159" i="5"/>
  <c r="DH160" i="5"/>
  <c r="DH161" i="5"/>
  <c r="DH162" i="5"/>
  <c r="DH163" i="5"/>
  <c r="DH164" i="5"/>
  <c r="DH165" i="5"/>
  <c r="DH166" i="5"/>
  <c r="DH167" i="5"/>
  <c r="DH168" i="5"/>
  <c r="DF159" i="5"/>
  <c r="DG159" i="5"/>
  <c r="DF160" i="5"/>
  <c r="DG160" i="5"/>
  <c r="DF161" i="5"/>
  <c r="DG161" i="5"/>
  <c r="DF162" i="5"/>
  <c r="DG162" i="5"/>
  <c r="DF163" i="5"/>
  <c r="DG163" i="5"/>
  <c r="DF164" i="5"/>
  <c r="DG164" i="5"/>
  <c r="DF165" i="5"/>
  <c r="DG165" i="5"/>
  <c r="DF166" i="5"/>
  <c r="DG166" i="5"/>
  <c r="DF167" i="5"/>
  <c r="DG167" i="5"/>
  <c r="DF168" i="5"/>
  <c r="DG168" i="5"/>
  <c r="DC159" i="5"/>
  <c r="DC160" i="5"/>
  <c r="DC161" i="5"/>
  <c r="DC162" i="5"/>
  <c r="DC163" i="5"/>
  <c r="DC164" i="5"/>
  <c r="DC165" i="5"/>
  <c r="DC166" i="5"/>
  <c r="DC167" i="5"/>
  <c r="DC168" i="5"/>
  <c r="DA159" i="5"/>
  <c r="DB159" i="5"/>
  <c r="DA160" i="5"/>
  <c r="DB160" i="5"/>
  <c r="DA161" i="5"/>
  <c r="DB161" i="5"/>
  <c r="DA162" i="5"/>
  <c r="DB162" i="5"/>
  <c r="DA163" i="5"/>
  <c r="DB163" i="5"/>
  <c r="DA164" i="5"/>
  <c r="DB164" i="5"/>
  <c r="DA165" i="5"/>
  <c r="DB165" i="5"/>
  <c r="DA166" i="5"/>
  <c r="DB166" i="5"/>
  <c r="DA167" i="5"/>
  <c r="DB167" i="5"/>
  <c r="DA168" i="5"/>
  <c r="DB168" i="5"/>
  <c r="CX159" i="5"/>
  <c r="CX160" i="5"/>
  <c r="CX161" i="5"/>
  <c r="CX162" i="5"/>
  <c r="CX163" i="5"/>
  <c r="CX164" i="5"/>
  <c r="CX165" i="5"/>
  <c r="CX166" i="5"/>
  <c r="CX167" i="5"/>
  <c r="CX168" i="5"/>
  <c r="CV159" i="5"/>
  <c r="CW159" i="5"/>
  <c r="CV160" i="5"/>
  <c r="CW160" i="5"/>
  <c r="CV161" i="5"/>
  <c r="CW161" i="5"/>
  <c r="CV162" i="5"/>
  <c r="CW162" i="5"/>
  <c r="CV163" i="5"/>
  <c r="CW163" i="5"/>
  <c r="CV164" i="5"/>
  <c r="CW164" i="5"/>
  <c r="CV165" i="5"/>
  <c r="CW165" i="5"/>
  <c r="CV166" i="5"/>
  <c r="CW166" i="5"/>
  <c r="CV167" i="5"/>
  <c r="CW167" i="5"/>
  <c r="CV168" i="5"/>
  <c r="CW168" i="5"/>
  <c r="CS159" i="5"/>
  <c r="CS160" i="5"/>
  <c r="CS161" i="5"/>
  <c r="CS162" i="5"/>
  <c r="CS163" i="5"/>
  <c r="CS164" i="5"/>
  <c r="CS165" i="5"/>
  <c r="CS166" i="5"/>
  <c r="CS167" i="5"/>
  <c r="CS168" i="5"/>
  <c r="CQ159" i="5"/>
  <c r="CR159" i="5"/>
  <c r="CQ160" i="5"/>
  <c r="CR160" i="5"/>
  <c r="CQ161" i="5"/>
  <c r="CR161" i="5"/>
  <c r="CQ162" i="5"/>
  <c r="CR162" i="5"/>
  <c r="CQ163" i="5"/>
  <c r="CR163" i="5"/>
  <c r="CQ164" i="5"/>
  <c r="CR164" i="5"/>
  <c r="CQ165" i="5"/>
  <c r="CR165" i="5"/>
  <c r="CQ166" i="5"/>
  <c r="CR166" i="5"/>
  <c r="CQ167" i="5"/>
  <c r="CR167" i="5"/>
  <c r="CQ168" i="5"/>
  <c r="CR168" i="5"/>
  <c r="CN159" i="5"/>
  <c r="CN160" i="5"/>
  <c r="CN161" i="5"/>
  <c r="CN162" i="5"/>
  <c r="CN163" i="5"/>
  <c r="CN164" i="5"/>
  <c r="CN165" i="5"/>
  <c r="CN166" i="5"/>
  <c r="CN167" i="5"/>
  <c r="CN168" i="5"/>
  <c r="CL159" i="5"/>
  <c r="CM159" i="5"/>
  <c r="CL160" i="5"/>
  <c r="CM160" i="5"/>
  <c r="CL161" i="5"/>
  <c r="CM161" i="5"/>
  <c r="CL162" i="5"/>
  <c r="CM162" i="5"/>
  <c r="CL163" i="5"/>
  <c r="CM163" i="5"/>
  <c r="CL164" i="5"/>
  <c r="CM164" i="5"/>
  <c r="CL165" i="5"/>
  <c r="CM165" i="5"/>
  <c r="CL166" i="5"/>
  <c r="CM166" i="5"/>
  <c r="CL167" i="5"/>
  <c r="CM167" i="5"/>
  <c r="CL168" i="5"/>
  <c r="CM168" i="5"/>
  <c r="CI150" i="5"/>
  <c r="CI151" i="5"/>
  <c r="CI152" i="5"/>
  <c r="CI153" i="5"/>
  <c r="CI154" i="5"/>
  <c r="CI155" i="5"/>
  <c r="CI156" i="5"/>
  <c r="CI157" i="5"/>
  <c r="CI158" i="5"/>
  <c r="CG150" i="5"/>
  <c r="CH150" i="5"/>
  <c r="CG151" i="5"/>
  <c r="CH151" i="5"/>
  <c r="CG152" i="5"/>
  <c r="CH152" i="5"/>
  <c r="CG153" i="5"/>
  <c r="CH153" i="5"/>
  <c r="CG154" i="5"/>
  <c r="CH154" i="5"/>
  <c r="CG155" i="5"/>
  <c r="CH155" i="5"/>
  <c r="CG156" i="5"/>
  <c r="CH156" i="5"/>
  <c r="CG157" i="5"/>
  <c r="CH157" i="5"/>
  <c r="CG158" i="5"/>
  <c r="CH158" i="5"/>
  <c r="CD150" i="5"/>
  <c r="CD151" i="5"/>
  <c r="CD152" i="5"/>
  <c r="CD153" i="5"/>
  <c r="CD154" i="5"/>
  <c r="CD155" i="5"/>
  <c r="CD156" i="5"/>
  <c r="CD157" i="5"/>
  <c r="CD158" i="5"/>
  <c r="CB150" i="5"/>
  <c r="CC150" i="5"/>
  <c r="CB151" i="5"/>
  <c r="CC151" i="5"/>
  <c r="CB152" i="5"/>
  <c r="CC152" i="5"/>
  <c r="CB153" i="5"/>
  <c r="CC153" i="5"/>
  <c r="CB154" i="5"/>
  <c r="CC154" i="5"/>
  <c r="CB155" i="5"/>
  <c r="CC155" i="5"/>
  <c r="CB156" i="5"/>
  <c r="CC156" i="5"/>
  <c r="CB157" i="5"/>
  <c r="CC157" i="5"/>
  <c r="CB158" i="5"/>
  <c r="CC158" i="5"/>
  <c r="BY150" i="5"/>
  <c r="BY151" i="5"/>
  <c r="BY152" i="5"/>
  <c r="BY153" i="5"/>
  <c r="BY154" i="5"/>
  <c r="BY155" i="5"/>
  <c r="BY156" i="5"/>
  <c r="BY157" i="5"/>
  <c r="BY158" i="5"/>
  <c r="BW150" i="5"/>
  <c r="BX150" i="5"/>
  <c r="BW151" i="5"/>
  <c r="BX151" i="5"/>
  <c r="BW152" i="5"/>
  <c r="BX152" i="5"/>
  <c r="BW153" i="5"/>
  <c r="BX153" i="5"/>
  <c r="BW154" i="5"/>
  <c r="BX154" i="5"/>
  <c r="BW155" i="5"/>
  <c r="BX155" i="5"/>
  <c r="BW156" i="5"/>
  <c r="BX156" i="5"/>
  <c r="BW157" i="5"/>
  <c r="BX157" i="5"/>
  <c r="BW158" i="5"/>
  <c r="BX158" i="5"/>
  <c r="BT127" i="5"/>
  <c r="BT128" i="5"/>
  <c r="BT129" i="5"/>
  <c r="BT130" i="5"/>
  <c r="BT131" i="5"/>
  <c r="BT132" i="5"/>
  <c r="BT133" i="5"/>
  <c r="BT134" i="5"/>
  <c r="BT135" i="5"/>
  <c r="BT136" i="5"/>
  <c r="BT137" i="5"/>
  <c r="BU137" i="5"/>
  <c r="BV137" i="5"/>
  <c r="BT138" i="5"/>
  <c r="BT139" i="5"/>
  <c r="BT140" i="5"/>
  <c r="BT141" i="5"/>
  <c r="BT142" i="5"/>
  <c r="BT143" i="5"/>
  <c r="BT144" i="5"/>
  <c r="BT145" i="5"/>
  <c r="BT146" i="5"/>
  <c r="BT147" i="5"/>
  <c r="BT148" i="5"/>
  <c r="BT149" i="5"/>
  <c r="BT150" i="5"/>
  <c r="BT151" i="5"/>
  <c r="BT152" i="5"/>
  <c r="BT153" i="5"/>
  <c r="BT154" i="5"/>
  <c r="BT155" i="5"/>
  <c r="BT156" i="5"/>
  <c r="BT157" i="5"/>
  <c r="BT158" i="5"/>
  <c r="BR127" i="5"/>
  <c r="BS127" i="5"/>
  <c r="BR128" i="5"/>
  <c r="BS128" i="5"/>
  <c r="BR129" i="5"/>
  <c r="BS129" i="5"/>
  <c r="BR130" i="5"/>
  <c r="BS130" i="5"/>
  <c r="BR131" i="5"/>
  <c r="BS131" i="5"/>
  <c r="BR132" i="5"/>
  <c r="BS132" i="5"/>
  <c r="BR133" i="5"/>
  <c r="BS133" i="5"/>
  <c r="BR134" i="5"/>
  <c r="BS134" i="5"/>
  <c r="BR135" i="5"/>
  <c r="BS135" i="5"/>
  <c r="BR136" i="5"/>
  <c r="BS136" i="5"/>
  <c r="BR137" i="5"/>
  <c r="BS137" i="5"/>
  <c r="BR138" i="5"/>
  <c r="BS138" i="5"/>
  <c r="BR139" i="5"/>
  <c r="BS139" i="5"/>
  <c r="BR140" i="5"/>
  <c r="BS140" i="5"/>
  <c r="BR141" i="5"/>
  <c r="BS141" i="5"/>
  <c r="BR142" i="5"/>
  <c r="BS142" i="5"/>
  <c r="BR143" i="5"/>
  <c r="BS143" i="5"/>
  <c r="BR144" i="5"/>
  <c r="BS144" i="5"/>
  <c r="BR145" i="5"/>
  <c r="BS145" i="5"/>
  <c r="BR146" i="5"/>
  <c r="BS146" i="5"/>
  <c r="BR147" i="5"/>
  <c r="BS147" i="5"/>
  <c r="BR148" i="5"/>
  <c r="BS148" i="5"/>
  <c r="BR149" i="5"/>
  <c r="BS149" i="5"/>
  <c r="BR150" i="5"/>
  <c r="BS150" i="5"/>
  <c r="BR151" i="5"/>
  <c r="BS151" i="5"/>
  <c r="BR152" i="5"/>
  <c r="BS152" i="5"/>
  <c r="BR153" i="5"/>
  <c r="BS153" i="5"/>
  <c r="BR154" i="5"/>
  <c r="BS154" i="5"/>
  <c r="BR155" i="5"/>
  <c r="BS155" i="5"/>
  <c r="BR156" i="5"/>
  <c r="BS156" i="5"/>
  <c r="BR157" i="5"/>
  <c r="BS157" i="5"/>
  <c r="BR158" i="5"/>
  <c r="BS158" i="5"/>
  <c r="BO127" i="5"/>
  <c r="BO128" i="5"/>
  <c r="BO129" i="5"/>
  <c r="BO130" i="5"/>
  <c r="BO131" i="5"/>
  <c r="BO132" i="5"/>
  <c r="BO133" i="5"/>
  <c r="BP133" i="5"/>
  <c r="BQ133" i="5"/>
  <c r="BO134" i="5"/>
  <c r="BO135" i="5"/>
  <c r="BO136" i="5"/>
  <c r="BO137" i="5"/>
  <c r="BP137" i="5"/>
  <c r="BQ137" i="5"/>
  <c r="BO138" i="5"/>
  <c r="BO139" i="5"/>
  <c r="BO140" i="5"/>
  <c r="BO141" i="5"/>
  <c r="BO142" i="5"/>
  <c r="BO143" i="5"/>
  <c r="BO144" i="5"/>
  <c r="BO145" i="5"/>
  <c r="BO146" i="5"/>
  <c r="BO147" i="5"/>
  <c r="BO148" i="5"/>
  <c r="BO149" i="5"/>
  <c r="BM127" i="5"/>
  <c r="BN127" i="5"/>
  <c r="BM128" i="5"/>
  <c r="BN128" i="5"/>
  <c r="BM129" i="5"/>
  <c r="BN129" i="5"/>
  <c r="BM130" i="5"/>
  <c r="BN130" i="5"/>
  <c r="BM131" i="5"/>
  <c r="BN131" i="5"/>
  <c r="BM132" i="5"/>
  <c r="BN132" i="5"/>
  <c r="BM133" i="5"/>
  <c r="BN133" i="5"/>
  <c r="BM134" i="5"/>
  <c r="BN134" i="5"/>
  <c r="BM135" i="5"/>
  <c r="BN135" i="5"/>
  <c r="BM136" i="5"/>
  <c r="BN136" i="5"/>
  <c r="BM137" i="5"/>
  <c r="BN137" i="5"/>
  <c r="BM138" i="5"/>
  <c r="BN138" i="5"/>
  <c r="BM139" i="5"/>
  <c r="BN139" i="5"/>
  <c r="BM140" i="5"/>
  <c r="BN140" i="5"/>
  <c r="BM141" i="5"/>
  <c r="BN141" i="5"/>
  <c r="BM142" i="5"/>
  <c r="BN142" i="5"/>
  <c r="BM143" i="5"/>
  <c r="BN143" i="5"/>
  <c r="BM144" i="5"/>
  <c r="BN144" i="5"/>
  <c r="BM145" i="5"/>
  <c r="BN145" i="5"/>
  <c r="BM146" i="5"/>
  <c r="BN146" i="5"/>
  <c r="BM147" i="5"/>
  <c r="BN147" i="5"/>
  <c r="BM148" i="5"/>
  <c r="BN148" i="5"/>
  <c r="BM149" i="5"/>
  <c r="BN149" i="5"/>
  <c r="BJ127" i="5"/>
  <c r="BJ128" i="5"/>
  <c r="BJ129" i="5"/>
  <c r="BJ130" i="5"/>
  <c r="BJ131" i="5"/>
  <c r="BJ132" i="5"/>
  <c r="BJ133" i="5"/>
  <c r="BK133" i="5"/>
  <c r="BJ134" i="5"/>
  <c r="BJ135" i="5"/>
  <c r="BJ136" i="5"/>
  <c r="BJ137" i="5"/>
  <c r="BJ138" i="5"/>
  <c r="BJ139" i="5"/>
  <c r="BJ140" i="5"/>
  <c r="BJ141" i="5"/>
  <c r="BJ142" i="5"/>
  <c r="BJ143" i="5"/>
  <c r="BJ144" i="5"/>
  <c r="BJ145" i="5"/>
  <c r="BJ146" i="5"/>
  <c r="BJ147" i="5"/>
  <c r="BJ148" i="5"/>
  <c r="BJ149" i="5"/>
  <c r="BH127" i="5"/>
  <c r="BI127" i="5"/>
  <c r="BH128" i="5"/>
  <c r="BI128" i="5"/>
  <c r="BH129" i="5"/>
  <c r="BI129" i="5"/>
  <c r="BH130" i="5"/>
  <c r="BI130" i="5"/>
  <c r="BH131" i="5"/>
  <c r="BI131" i="5"/>
  <c r="BH132" i="5"/>
  <c r="BI132" i="5"/>
  <c r="BH133" i="5"/>
  <c r="BI133" i="5"/>
  <c r="BH134" i="5"/>
  <c r="BI134" i="5"/>
  <c r="BH135" i="5"/>
  <c r="BI135" i="5"/>
  <c r="BH136" i="5"/>
  <c r="BI136" i="5"/>
  <c r="BH137" i="5"/>
  <c r="BI137" i="5"/>
  <c r="BH138" i="5"/>
  <c r="BI138" i="5"/>
  <c r="BH139" i="5"/>
  <c r="BI139" i="5"/>
  <c r="BH140" i="5"/>
  <c r="BI140" i="5"/>
  <c r="BH141" i="5"/>
  <c r="BI141" i="5"/>
  <c r="BH142" i="5"/>
  <c r="BI142" i="5"/>
  <c r="BH143" i="5"/>
  <c r="BI143" i="5"/>
  <c r="BH144" i="5"/>
  <c r="BI144" i="5"/>
  <c r="BH145" i="5"/>
  <c r="BI145" i="5"/>
  <c r="BH146" i="5"/>
  <c r="BI146" i="5"/>
  <c r="BH147" i="5"/>
  <c r="BI147" i="5"/>
  <c r="BH148" i="5"/>
  <c r="BI148" i="5"/>
  <c r="BH149" i="5"/>
  <c r="BI149" i="5"/>
  <c r="BE127" i="5"/>
  <c r="BE128" i="5"/>
  <c r="BE129" i="5"/>
  <c r="BE130" i="5"/>
  <c r="BE131" i="5"/>
  <c r="BE132" i="5"/>
  <c r="BE133" i="5"/>
  <c r="BF133" i="5"/>
  <c r="BG133" i="5"/>
  <c r="BE134" i="5"/>
  <c r="BE135" i="5"/>
  <c r="BE136" i="5"/>
  <c r="BE137" i="5"/>
  <c r="BF137" i="5"/>
  <c r="BG137" i="5"/>
  <c r="BE138" i="5"/>
  <c r="BE139" i="5"/>
  <c r="BE140" i="5"/>
  <c r="BE141" i="5"/>
  <c r="BE142" i="5"/>
  <c r="BE143" i="5"/>
  <c r="BE144" i="5"/>
  <c r="BE145" i="5"/>
  <c r="BE146" i="5"/>
  <c r="BE147" i="5"/>
  <c r="BE148" i="5"/>
  <c r="BE149" i="5"/>
  <c r="BE150" i="5"/>
  <c r="BE151" i="5"/>
  <c r="BE152" i="5"/>
  <c r="BE153" i="5"/>
  <c r="BE154" i="5"/>
  <c r="BE155" i="5"/>
  <c r="BE156" i="5"/>
  <c r="BE157" i="5"/>
  <c r="BF157" i="5"/>
  <c r="BG157" i="5"/>
  <c r="BE158" i="5"/>
  <c r="BC127" i="5"/>
  <c r="BD127" i="5"/>
  <c r="BC128" i="5"/>
  <c r="BD128" i="5"/>
  <c r="BC129" i="5"/>
  <c r="BD129" i="5"/>
  <c r="BC130" i="5"/>
  <c r="BD130" i="5"/>
  <c r="BC131" i="5"/>
  <c r="BD131" i="5"/>
  <c r="BC132" i="5"/>
  <c r="BD132" i="5"/>
  <c r="BC133" i="5"/>
  <c r="BD133" i="5"/>
  <c r="BC134" i="5"/>
  <c r="BD134" i="5"/>
  <c r="BC135" i="5"/>
  <c r="BD135" i="5"/>
  <c r="BC136" i="5"/>
  <c r="BD136" i="5"/>
  <c r="BC137" i="5"/>
  <c r="BD137" i="5"/>
  <c r="BC138" i="5"/>
  <c r="BD138" i="5"/>
  <c r="BC139" i="5"/>
  <c r="BD139" i="5"/>
  <c r="BC140" i="5"/>
  <c r="BD140" i="5"/>
  <c r="BC141" i="5"/>
  <c r="BD141" i="5"/>
  <c r="BC142" i="5"/>
  <c r="BD142" i="5"/>
  <c r="BC143" i="5"/>
  <c r="BD143" i="5"/>
  <c r="BC144" i="5"/>
  <c r="BD144" i="5"/>
  <c r="BC145" i="5"/>
  <c r="BD145" i="5"/>
  <c r="BC146" i="5"/>
  <c r="BD146" i="5"/>
  <c r="BC147" i="5"/>
  <c r="BD147" i="5"/>
  <c r="BC148" i="5"/>
  <c r="BD148" i="5"/>
  <c r="BC149" i="5"/>
  <c r="BD149" i="5"/>
  <c r="BC150" i="5"/>
  <c r="BD150" i="5"/>
  <c r="BC151" i="5"/>
  <c r="BD151" i="5"/>
  <c r="BC152" i="5"/>
  <c r="BD152" i="5"/>
  <c r="BC153" i="5"/>
  <c r="BD153" i="5"/>
  <c r="BC154" i="5"/>
  <c r="BD154" i="5"/>
  <c r="BC155" i="5"/>
  <c r="BD155" i="5"/>
  <c r="BC156" i="5"/>
  <c r="BD156" i="5"/>
  <c r="BC157" i="5"/>
  <c r="BD157" i="5"/>
  <c r="BC158" i="5"/>
  <c r="BD158" i="5"/>
  <c r="AZ150" i="5"/>
  <c r="AZ151" i="5"/>
  <c r="AZ152" i="5"/>
  <c r="AZ153" i="5"/>
  <c r="AZ154" i="5"/>
  <c r="AZ155" i="5"/>
  <c r="AZ156" i="5"/>
  <c r="AZ157" i="5"/>
  <c r="BA157" i="5"/>
  <c r="BB157" i="5"/>
  <c r="AZ158" i="5"/>
  <c r="AX150" i="5"/>
  <c r="AY150" i="5"/>
  <c r="AX151" i="5"/>
  <c r="AY151" i="5"/>
  <c r="AX152" i="5"/>
  <c r="AY152" i="5"/>
  <c r="AX153" i="5"/>
  <c r="AY153" i="5"/>
  <c r="AX154" i="5"/>
  <c r="AY154" i="5"/>
  <c r="AX155" i="5"/>
  <c r="AY155" i="5"/>
  <c r="AX156" i="5"/>
  <c r="AY156" i="5"/>
  <c r="AX157" i="5"/>
  <c r="AY157" i="5"/>
  <c r="AX158" i="5"/>
  <c r="AY158" i="5"/>
  <c r="AZ127" i="5"/>
  <c r="AZ128" i="5"/>
  <c r="AZ129" i="5"/>
  <c r="AZ130" i="5"/>
  <c r="AZ131" i="5"/>
  <c r="AZ132" i="5"/>
  <c r="AZ133" i="5"/>
  <c r="BA133" i="5"/>
  <c r="BB133" i="5"/>
  <c r="AZ134" i="5"/>
  <c r="AZ135" i="5"/>
  <c r="AZ136" i="5"/>
  <c r="AZ137" i="5"/>
  <c r="BA137" i="5"/>
  <c r="BB137" i="5"/>
  <c r="AZ138" i="5"/>
  <c r="AZ139" i="5"/>
  <c r="AZ140" i="5"/>
  <c r="AZ141" i="5"/>
  <c r="AZ142" i="5"/>
  <c r="AZ143" i="5"/>
  <c r="AZ144" i="5"/>
  <c r="AZ145" i="5"/>
  <c r="AZ146" i="5"/>
  <c r="AZ147" i="5"/>
  <c r="AZ148" i="5"/>
  <c r="AZ149" i="5"/>
  <c r="AX127" i="5"/>
  <c r="AY127" i="5"/>
  <c r="AX128" i="5"/>
  <c r="AY128" i="5"/>
  <c r="AX129" i="5"/>
  <c r="AY129" i="5"/>
  <c r="AX130" i="5"/>
  <c r="AY130" i="5"/>
  <c r="AX131" i="5"/>
  <c r="AY131" i="5"/>
  <c r="AX132" i="5"/>
  <c r="AY132" i="5"/>
  <c r="AX133" i="5"/>
  <c r="AY133" i="5"/>
  <c r="AX134" i="5"/>
  <c r="AY134" i="5"/>
  <c r="AX135" i="5"/>
  <c r="AY135" i="5"/>
  <c r="AX136" i="5"/>
  <c r="AY136" i="5"/>
  <c r="AX137" i="5"/>
  <c r="AY137" i="5"/>
  <c r="AX138" i="5"/>
  <c r="AY138" i="5"/>
  <c r="AX139" i="5"/>
  <c r="AY139" i="5"/>
  <c r="AX140" i="5"/>
  <c r="AY140" i="5"/>
  <c r="AX141" i="5"/>
  <c r="AY141" i="5"/>
  <c r="AX142" i="5"/>
  <c r="AY142" i="5"/>
  <c r="AX143" i="5"/>
  <c r="AY143" i="5"/>
  <c r="AX144" i="5"/>
  <c r="AY144" i="5"/>
  <c r="AX145" i="5"/>
  <c r="AY145" i="5"/>
  <c r="AX146" i="5"/>
  <c r="AY146" i="5"/>
  <c r="AX147" i="5"/>
  <c r="AY147" i="5"/>
  <c r="AX148" i="5"/>
  <c r="AY148" i="5"/>
  <c r="AX149" i="5"/>
  <c r="AY149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S127" i="5"/>
  <c r="AT127" i="5"/>
  <c r="AS128" i="5"/>
  <c r="AT128" i="5"/>
  <c r="AS129" i="5"/>
  <c r="AT129" i="5"/>
  <c r="AS130" i="5"/>
  <c r="AT130" i="5"/>
  <c r="AS131" i="5"/>
  <c r="AT131" i="5"/>
  <c r="AS132" i="5"/>
  <c r="AT132" i="5"/>
  <c r="AS133" i="5"/>
  <c r="AT133" i="5"/>
  <c r="AS134" i="5"/>
  <c r="AT134" i="5"/>
  <c r="AS135" i="5"/>
  <c r="AT135" i="5"/>
  <c r="AS136" i="5"/>
  <c r="AT136" i="5"/>
  <c r="AS137" i="5"/>
  <c r="AT137" i="5"/>
  <c r="AS138" i="5"/>
  <c r="AT138" i="5"/>
  <c r="AS139" i="5"/>
  <c r="AT139" i="5"/>
  <c r="AS140" i="5"/>
  <c r="AT140" i="5"/>
  <c r="AS141" i="5"/>
  <c r="AT141" i="5"/>
  <c r="AS142" i="5"/>
  <c r="AT142" i="5"/>
  <c r="AS143" i="5"/>
  <c r="AT143" i="5"/>
  <c r="AS144" i="5"/>
  <c r="AT144" i="5"/>
  <c r="AS145" i="5"/>
  <c r="AT145" i="5"/>
  <c r="AS146" i="5"/>
  <c r="AT146" i="5"/>
  <c r="AS147" i="5"/>
  <c r="AT147" i="5"/>
  <c r="AS148" i="5"/>
  <c r="AT148" i="5"/>
  <c r="AS149" i="5"/>
  <c r="AT149" i="5"/>
  <c r="AS150" i="5"/>
  <c r="AT150" i="5"/>
  <c r="AS151" i="5"/>
  <c r="AT151" i="5"/>
  <c r="AS152" i="5"/>
  <c r="AT152" i="5"/>
  <c r="AS153" i="5"/>
  <c r="AT153" i="5"/>
  <c r="AS154" i="5"/>
  <c r="AT154" i="5"/>
  <c r="AS155" i="5"/>
  <c r="AT155" i="5"/>
  <c r="AS156" i="5"/>
  <c r="AT156" i="5"/>
  <c r="AS157" i="5"/>
  <c r="AT157" i="5"/>
  <c r="AS158" i="5"/>
  <c r="AT158" i="5"/>
  <c r="AS159" i="5"/>
  <c r="AT159" i="5"/>
  <c r="AS160" i="5"/>
  <c r="AT160" i="5"/>
  <c r="AS161" i="5"/>
  <c r="AT161" i="5"/>
  <c r="AS162" i="5"/>
  <c r="AT162" i="5"/>
  <c r="AS163" i="5"/>
  <c r="AT163" i="5"/>
  <c r="AS164" i="5"/>
  <c r="AT164" i="5"/>
  <c r="AS165" i="5"/>
  <c r="AT165" i="5"/>
  <c r="AS166" i="5"/>
  <c r="AT166" i="5"/>
  <c r="AS167" i="5"/>
  <c r="AT167" i="5"/>
  <c r="AS168" i="5"/>
  <c r="AT168" i="5"/>
  <c r="AS169" i="5"/>
  <c r="AT169" i="5"/>
  <c r="AS170" i="5"/>
  <c r="AT170" i="5"/>
  <c r="AS171" i="5"/>
  <c r="AT171" i="5"/>
  <c r="AS172" i="5"/>
  <c r="AT172" i="5"/>
  <c r="AS173" i="5"/>
  <c r="AT173" i="5"/>
  <c r="AS174" i="5"/>
  <c r="AT174" i="5"/>
  <c r="AS175" i="5"/>
  <c r="AT175" i="5"/>
  <c r="AS176" i="5"/>
  <c r="AT176" i="5"/>
  <c r="AS177" i="5"/>
  <c r="AT177" i="5"/>
  <c r="AS178" i="5"/>
  <c r="AT178" i="5"/>
  <c r="AS179" i="5"/>
  <c r="AT179" i="5"/>
  <c r="AS180" i="5"/>
  <c r="AT180" i="5"/>
  <c r="AP127" i="5"/>
  <c r="AP128" i="5"/>
  <c r="AP129" i="5"/>
  <c r="AP130" i="5"/>
  <c r="AP131" i="5"/>
  <c r="AP132" i="5"/>
  <c r="AP133" i="5"/>
  <c r="AQ133" i="5"/>
  <c r="AR133" i="5"/>
  <c r="AP134" i="5"/>
  <c r="AP135" i="5"/>
  <c r="AP136" i="5"/>
  <c r="AP137" i="5"/>
  <c r="AQ137" i="5"/>
  <c r="AR137" i="5"/>
  <c r="AP138" i="5"/>
  <c r="AP139" i="5"/>
  <c r="AP140" i="5"/>
  <c r="AP141" i="5"/>
  <c r="AP142" i="5"/>
  <c r="AP143" i="5"/>
  <c r="AP144" i="5"/>
  <c r="AP145" i="5"/>
  <c r="AP146" i="5"/>
  <c r="AP147" i="5"/>
  <c r="AP148" i="5"/>
  <c r="AP149" i="5"/>
  <c r="AP150" i="5"/>
  <c r="AP151" i="5"/>
  <c r="AP152" i="5"/>
  <c r="AP153" i="5"/>
  <c r="AP154" i="5"/>
  <c r="AP155" i="5"/>
  <c r="AP156" i="5"/>
  <c r="AP157" i="5"/>
  <c r="AP158" i="5"/>
  <c r="AP159" i="5"/>
  <c r="AP160" i="5"/>
  <c r="AP161" i="5"/>
  <c r="AP162" i="5"/>
  <c r="AP163" i="5"/>
  <c r="AP164" i="5"/>
  <c r="AP165" i="5"/>
  <c r="AP166" i="5"/>
  <c r="AP167" i="5"/>
  <c r="AP168" i="5"/>
  <c r="AP169" i="5"/>
  <c r="AP170" i="5"/>
  <c r="AP171" i="5"/>
  <c r="AP172" i="5"/>
  <c r="AQ172" i="5"/>
  <c r="AR172" i="5"/>
  <c r="AP173" i="5"/>
  <c r="AQ173" i="5"/>
  <c r="AR173" i="5"/>
  <c r="AP174" i="5"/>
  <c r="AQ174" i="5"/>
  <c r="AR174" i="5"/>
  <c r="AP175" i="5"/>
  <c r="AP176" i="5"/>
  <c r="AP177" i="5"/>
  <c r="AP178" i="5"/>
  <c r="AP179" i="5"/>
  <c r="AP180" i="5"/>
  <c r="AN127" i="5"/>
  <c r="AO127" i="5"/>
  <c r="AN128" i="5"/>
  <c r="AO128" i="5"/>
  <c r="AN129" i="5"/>
  <c r="AO129" i="5"/>
  <c r="AN130" i="5"/>
  <c r="AO130" i="5"/>
  <c r="AN131" i="5"/>
  <c r="AO131" i="5"/>
  <c r="AN132" i="5"/>
  <c r="AO132" i="5"/>
  <c r="AN133" i="5"/>
  <c r="AO133" i="5"/>
  <c r="AN134" i="5"/>
  <c r="AO134" i="5"/>
  <c r="AN135" i="5"/>
  <c r="AO135" i="5"/>
  <c r="AN136" i="5"/>
  <c r="AO136" i="5"/>
  <c r="AN137" i="5"/>
  <c r="AO137" i="5"/>
  <c r="AN138" i="5"/>
  <c r="AO138" i="5"/>
  <c r="AN139" i="5"/>
  <c r="AO139" i="5"/>
  <c r="AN140" i="5"/>
  <c r="AO140" i="5"/>
  <c r="AN141" i="5"/>
  <c r="AO141" i="5"/>
  <c r="AN142" i="5"/>
  <c r="AO142" i="5"/>
  <c r="AN143" i="5"/>
  <c r="AO143" i="5"/>
  <c r="AN144" i="5"/>
  <c r="AO144" i="5"/>
  <c r="AN145" i="5"/>
  <c r="AO145" i="5"/>
  <c r="AN146" i="5"/>
  <c r="AO146" i="5"/>
  <c r="AN147" i="5"/>
  <c r="AO147" i="5"/>
  <c r="AN148" i="5"/>
  <c r="AO148" i="5"/>
  <c r="AN149" i="5"/>
  <c r="AO149" i="5"/>
  <c r="AN150" i="5"/>
  <c r="AO150" i="5"/>
  <c r="AN151" i="5"/>
  <c r="AO151" i="5"/>
  <c r="AN152" i="5"/>
  <c r="AO152" i="5"/>
  <c r="AN153" i="5"/>
  <c r="AO153" i="5"/>
  <c r="AN154" i="5"/>
  <c r="AO154" i="5"/>
  <c r="AN155" i="5"/>
  <c r="AO155" i="5"/>
  <c r="AN156" i="5"/>
  <c r="AO156" i="5"/>
  <c r="AN157" i="5"/>
  <c r="AO157" i="5"/>
  <c r="AN158" i="5"/>
  <c r="AO158" i="5"/>
  <c r="AN159" i="5"/>
  <c r="AO159" i="5"/>
  <c r="AN160" i="5"/>
  <c r="AO160" i="5"/>
  <c r="AN161" i="5"/>
  <c r="AO161" i="5"/>
  <c r="AN162" i="5"/>
  <c r="AO162" i="5"/>
  <c r="AN163" i="5"/>
  <c r="AO163" i="5"/>
  <c r="AN164" i="5"/>
  <c r="AO164" i="5"/>
  <c r="AN165" i="5"/>
  <c r="AO165" i="5"/>
  <c r="AN166" i="5"/>
  <c r="AO166" i="5"/>
  <c r="AN167" i="5"/>
  <c r="AO167" i="5"/>
  <c r="AN168" i="5"/>
  <c r="AO168" i="5"/>
  <c r="AN169" i="5"/>
  <c r="AO169" i="5"/>
  <c r="AN170" i="5"/>
  <c r="AO170" i="5"/>
  <c r="AN171" i="5"/>
  <c r="AO171" i="5"/>
  <c r="AN172" i="5"/>
  <c r="AO172" i="5"/>
  <c r="AN173" i="5"/>
  <c r="AO173" i="5"/>
  <c r="AN174" i="5"/>
  <c r="AO174" i="5"/>
  <c r="AN175" i="5"/>
  <c r="AO175" i="5"/>
  <c r="AN176" i="5"/>
  <c r="AO176" i="5"/>
  <c r="AN177" i="5"/>
  <c r="AO177" i="5"/>
  <c r="AN178" i="5"/>
  <c r="AO178" i="5"/>
  <c r="AN179" i="5"/>
  <c r="AO179" i="5"/>
  <c r="AN180" i="5"/>
  <c r="AO180" i="5"/>
  <c r="AK127" i="5"/>
  <c r="AK128" i="5"/>
  <c r="AK129" i="5"/>
  <c r="AK130" i="5"/>
  <c r="AK131" i="5"/>
  <c r="AK132" i="5"/>
  <c r="AK133" i="5"/>
  <c r="AL133" i="5"/>
  <c r="AK134" i="5"/>
  <c r="AK135" i="5"/>
  <c r="AK136" i="5"/>
  <c r="AK137" i="5"/>
  <c r="AL137" i="5"/>
  <c r="AK138" i="5"/>
  <c r="AK139" i="5"/>
  <c r="AK140" i="5"/>
  <c r="AK141" i="5"/>
  <c r="AK142" i="5"/>
  <c r="AK143" i="5"/>
  <c r="AK144" i="5"/>
  <c r="AL144" i="5"/>
  <c r="AK145" i="5"/>
  <c r="AK146" i="5"/>
  <c r="AK147" i="5"/>
  <c r="AK148" i="5"/>
  <c r="AK149" i="5"/>
  <c r="AK150" i="5"/>
  <c r="AK151" i="5"/>
  <c r="AK152" i="5"/>
  <c r="AK153" i="5"/>
  <c r="AK154" i="5"/>
  <c r="AK155" i="5"/>
  <c r="AK156" i="5"/>
  <c r="AK157" i="5"/>
  <c r="AK158" i="5"/>
  <c r="AK159" i="5"/>
  <c r="AK160" i="5"/>
  <c r="AK161" i="5"/>
  <c r="AK162" i="5"/>
  <c r="AK163" i="5"/>
  <c r="AK164" i="5"/>
  <c r="AK165" i="5"/>
  <c r="AK166" i="5"/>
  <c r="AK167" i="5"/>
  <c r="AK168" i="5"/>
  <c r="AK169" i="5"/>
  <c r="AK170" i="5"/>
  <c r="AK171" i="5"/>
  <c r="AK172" i="5"/>
  <c r="AK173" i="5"/>
  <c r="AL173" i="5"/>
  <c r="AK174" i="5"/>
  <c r="AL174" i="5"/>
  <c r="AK175" i="5"/>
  <c r="AK176" i="5"/>
  <c r="AK177" i="5"/>
  <c r="AK178" i="5"/>
  <c r="AK179" i="5"/>
  <c r="AK180" i="5"/>
  <c r="AI127" i="5"/>
  <c r="AJ127" i="5"/>
  <c r="AI128" i="5"/>
  <c r="AJ128" i="5"/>
  <c r="AI129" i="5"/>
  <c r="AJ129" i="5"/>
  <c r="AI130" i="5"/>
  <c r="AJ130" i="5"/>
  <c r="AI131" i="5"/>
  <c r="AJ131" i="5"/>
  <c r="AI132" i="5"/>
  <c r="AJ132" i="5"/>
  <c r="AI133" i="5"/>
  <c r="AJ133" i="5"/>
  <c r="AI134" i="5"/>
  <c r="AJ134" i="5"/>
  <c r="AI135" i="5"/>
  <c r="AJ135" i="5"/>
  <c r="AI136" i="5"/>
  <c r="AJ136" i="5"/>
  <c r="AI137" i="5"/>
  <c r="AJ137" i="5"/>
  <c r="AI138" i="5"/>
  <c r="AJ138" i="5"/>
  <c r="AI139" i="5"/>
  <c r="AJ139" i="5"/>
  <c r="AI140" i="5"/>
  <c r="AJ140" i="5"/>
  <c r="AI141" i="5"/>
  <c r="AJ141" i="5"/>
  <c r="AI142" i="5"/>
  <c r="AJ142" i="5"/>
  <c r="AI143" i="5"/>
  <c r="AJ143" i="5"/>
  <c r="AI144" i="5"/>
  <c r="AJ144" i="5"/>
  <c r="AI145" i="5"/>
  <c r="AJ145" i="5"/>
  <c r="AI146" i="5"/>
  <c r="AJ146" i="5"/>
  <c r="AI147" i="5"/>
  <c r="AJ147" i="5"/>
  <c r="AI148" i="5"/>
  <c r="AJ148" i="5"/>
  <c r="AI149" i="5"/>
  <c r="AJ149" i="5"/>
  <c r="AI150" i="5"/>
  <c r="AJ150" i="5"/>
  <c r="AI151" i="5"/>
  <c r="AJ151" i="5"/>
  <c r="AI152" i="5"/>
  <c r="AJ152" i="5"/>
  <c r="AI153" i="5"/>
  <c r="AJ153" i="5"/>
  <c r="AI154" i="5"/>
  <c r="AJ154" i="5"/>
  <c r="AI155" i="5"/>
  <c r="AJ155" i="5"/>
  <c r="AI156" i="5"/>
  <c r="AJ156" i="5"/>
  <c r="AI157" i="5"/>
  <c r="AJ157" i="5"/>
  <c r="AI158" i="5"/>
  <c r="AJ158" i="5"/>
  <c r="AI159" i="5"/>
  <c r="AJ159" i="5"/>
  <c r="AI160" i="5"/>
  <c r="AJ160" i="5"/>
  <c r="AI161" i="5"/>
  <c r="AJ161" i="5"/>
  <c r="AI162" i="5"/>
  <c r="AJ162" i="5"/>
  <c r="AI163" i="5"/>
  <c r="AJ163" i="5"/>
  <c r="AI164" i="5"/>
  <c r="AJ164" i="5"/>
  <c r="AI165" i="5"/>
  <c r="AJ165" i="5"/>
  <c r="AI166" i="5"/>
  <c r="AJ166" i="5"/>
  <c r="AI167" i="5"/>
  <c r="AJ167" i="5"/>
  <c r="AI168" i="5"/>
  <c r="AJ168" i="5"/>
  <c r="AI169" i="5"/>
  <c r="AJ169" i="5"/>
  <c r="AI170" i="5"/>
  <c r="AJ170" i="5"/>
  <c r="AI171" i="5"/>
  <c r="AJ171" i="5"/>
  <c r="AI172" i="5"/>
  <c r="AJ172" i="5"/>
  <c r="AI173" i="5"/>
  <c r="AJ173" i="5"/>
  <c r="AI174" i="5"/>
  <c r="AJ174" i="5"/>
  <c r="AI175" i="5"/>
  <c r="AJ175" i="5"/>
  <c r="AI176" i="5"/>
  <c r="AJ176" i="5"/>
  <c r="AI177" i="5"/>
  <c r="AJ177" i="5"/>
  <c r="AI178" i="5"/>
  <c r="AJ178" i="5"/>
  <c r="AI179" i="5"/>
  <c r="AJ179" i="5"/>
  <c r="AI180" i="5"/>
  <c r="AJ180" i="5"/>
  <c r="AF169" i="5"/>
  <c r="AF170" i="5"/>
  <c r="AF171" i="5"/>
  <c r="AF172" i="5"/>
  <c r="AG172" i="5"/>
  <c r="AH172" i="5"/>
  <c r="AF173" i="5"/>
  <c r="AG173" i="5"/>
  <c r="AH173" i="5"/>
  <c r="AF174" i="5"/>
  <c r="AG174" i="5"/>
  <c r="AH174" i="5"/>
  <c r="AF175" i="5"/>
  <c r="AF176" i="5"/>
  <c r="AF177" i="5"/>
  <c r="AF178" i="5"/>
  <c r="AF179" i="5"/>
  <c r="AF180" i="5"/>
  <c r="AD169" i="5"/>
  <c r="AE169" i="5"/>
  <c r="AD170" i="5"/>
  <c r="AE170" i="5"/>
  <c r="AD171" i="5"/>
  <c r="AE171" i="5"/>
  <c r="AD172" i="5"/>
  <c r="AE172" i="5"/>
  <c r="AD173" i="5"/>
  <c r="AE173" i="5"/>
  <c r="AD174" i="5"/>
  <c r="AE174" i="5"/>
  <c r="AD175" i="5"/>
  <c r="AE175" i="5"/>
  <c r="AD176" i="5"/>
  <c r="AE176" i="5"/>
  <c r="AD177" i="5"/>
  <c r="AE177" i="5"/>
  <c r="AD178" i="5"/>
  <c r="AE178" i="5"/>
  <c r="AD179" i="5"/>
  <c r="AE179" i="5"/>
  <c r="AD180" i="5"/>
  <c r="AE180" i="5"/>
  <c r="AF127" i="5"/>
  <c r="AF128" i="5"/>
  <c r="AF129" i="5"/>
  <c r="AF130" i="5"/>
  <c r="AF131" i="5"/>
  <c r="AF132" i="5"/>
  <c r="AF133" i="5"/>
  <c r="AG133" i="5"/>
  <c r="AH133" i="5"/>
  <c r="AF134" i="5"/>
  <c r="AF135" i="5"/>
  <c r="AF136" i="5"/>
  <c r="AF137" i="5"/>
  <c r="AG137" i="5"/>
  <c r="AH137" i="5"/>
  <c r="AF138" i="5"/>
  <c r="AF139" i="5"/>
  <c r="AF140" i="5"/>
  <c r="AF141" i="5"/>
  <c r="AF142" i="5"/>
  <c r="AF143" i="5"/>
  <c r="AF144" i="5"/>
  <c r="AF145" i="5"/>
  <c r="AG145" i="5"/>
  <c r="AH145" i="5"/>
  <c r="AF146" i="5"/>
  <c r="AF147" i="5"/>
  <c r="AF148" i="5"/>
  <c r="AF149" i="5"/>
  <c r="AD127" i="5"/>
  <c r="AE127" i="5"/>
  <c r="AD128" i="5"/>
  <c r="AE128" i="5"/>
  <c r="AD129" i="5"/>
  <c r="AE129" i="5"/>
  <c r="AD130" i="5"/>
  <c r="AE130" i="5"/>
  <c r="AD131" i="5"/>
  <c r="AE131" i="5"/>
  <c r="AD132" i="5"/>
  <c r="AE132" i="5"/>
  <c r="AD133" i="5"/>
  <c r="AE133" i="5"/>
  <c r="AD134" i="5"/>
  <c r="AE134" i="5"/>
  <c r="AD135" i="5"/>
  <c r="AE135" i="5"/>
  <c r="AD136" i="5"/>
  <c r="AE136" i="5"/>
  <c r="AD137" i="5"/>
  <c r="AE137" i="5"/>
  <c r="AD138" i="5"/>
  <c r="AE138" i="5"/>
  <c r="AD139" i="5"/>
  <c r="AE139" i="5"/>
  <c r="AD140" i="5"/>
  <c r="AE140" i="5"/>
  <c r="AD141" i="5"/>
  <c r="AE141" i="5"/>
  <c r="AD142" i="5"/>
  <c r="AE142" i="5"/>
  <c r="AD143" i="5"/>
  <c r="AE143" i="5"/>
  <c r="AD144" i="5"/>
  <c r="AE144" i="5"/>
  <c r="AD145" i="5"/>
  <c r="AE145" i="5"/>
  <c r="AD146" i="5"/>
  <c r="AE146" i="5"/>
  <c r="AD147" i="5"/>
  <c r="AE147" i="5"/>
  <c r="AD148" i="5"/>
  <c r="AE148" i="5"/>
  <c r="AD149" i="5"/>
  <c r="AE149" i="5"/>
  <c r="AA127" i="5"/>
  <c r="AA128" i="5"/>
  <c r="AA129" i="5"/>
  <c r="AA130" i="5"/>
  <c r="AA131" i="5"/>
  <c r="AA132" i="5"/>
  <c r="AA133" i="5"/>
  <c r="AB133" i="5"/>
  <c r="AC133" i="5"/>
  <c r="AA134" i="5"/>
  <c r="AA135" i="5"/>
  <c r="AA136" i="5"/>
  <c r="AA137" i="5"/>
  <c r="AB137" i="5"/>
  <c r="AC137" i="5"/>
  <c r="AA138" i="5"/>
  <c r="AA139" i="5"/>
  <c r="AA140" i="5"/>
  <c r="AA141" i="5"/>
  <c r="AA142" i="5"/>
  <c r="AA143" i="5"/>
  <c r="AA144" i="5"/>
  <c r="AA145" i="5"/>
  <c r="AA146" i="5"/>
  <c r="AA147" i="5"/>
  <c r="AA148" i="5"/>
  <c r="AA149" i="5"/>
  <c r="AA150" i="5"/>
  <c r="AA151" i="5"/>
  <c r="AA152" i="5"/>
  <c r="AA153" i="5"/>
  <c r="AA154" i="5"/>
  <c r="AA155" i="5"/>
  <c r="AA156" i="5"/>
  <c r="AA157" i="5"/>
  <c r="AA158" i="5"/>
  <c r="AA159" i="5"/>
  <c r="AA160" i="5"/>
  <c r="AA161" i="5"/>
  <c r="AA162" i="5"/>
  <c r="AA163" i="5"/>
  <c r="AA164" i="5"/>
  <c r="AA165" i="5"/>
  <c r="AA166" i="5"/>
  <c r="AA167" i="5"/>
  <c r="AA168" i="5"/>
  <c r="AA169" i="5"/>
  <c r="AA170" i="5"/>
  <c r="AA171" i="5"/>
  <c r="AA172" i="5"/>
  <c r="AA173" i="5"/>
  <c r="AB173" i="5"/>
  <c r="AC173" i="5"/>
  <c r="AA174" i="5"/>
  <c r="AB174" i="5"/>
  <c r="AC174" i="5"/>
  <c r="AA175" i="5"/>
  <c r="AA176" i="5"/>
  <c r="AA177" i="5"/>
  <c r="AA178" i="5"/>
  <c r="AA179" i="5"/>
  <c r="AA180" i="5"/>
  <c r="Y127" i="5"/>
  <c r="Z127" i="5"/>
  <c r="Y128" i="5"/>
  <c r="Z128" i="5"/>
  <c r="Y129" i="5"/>
  <c r="Z129" i="5"/>
  <c r="Y130" i="5"/>
  <c r="Z130" i="5"/>
  <c r="Y131" i="5"/>
  <c r="Z131" i="5"/>
  <c r="Y132" i="5"/>
  <c r="Z132" i="5"/>
  <c r="Y133" i="5"/>
  <c r="Z133" i="5"/>
  <c r="Y134" i="5"/>
  <c r="Z134" i="5"/>
  <c r="Y135" i="5"/>
  <c r="Z135" i="5"/>
  <c r="Y136" i="5"/>
  <c r="Z136" i="5"/>
  <c r="Y137" i="5"/>
  <c r="Z137" i="5"/>
  <c r="Y138" i="5"/>
  <c r="Z138" i="5"/>
  <c r="Y139" i="5"/>
  <c r="Z139" i="5"/>
  <c r="Y140" i="5"/>
  <c r="Z140" i="5"/>
  <c r="Y141" i="5"/>
  <c r="Z141" i="5"/>
  <c r="Y142" i="5"/>
  <c r="Z142" i="5"/>
  <c r="Y143" i="5"/>
  <c r="Z143" i="5"/>
  <c r="Y144" i="5"/>
  <c r="Z144" i="5"/>
  <c r="Y145" i="5"/>
  <c r="Z145" i="5"/>
  <c r="Y146" i="5"/>
  <c r="Z146" i="5"/>
  <c r="Y147" i="5"/>
  <c r="Z147" i="5"/>
  <c r="Y148" i="5"/>
  <c r="Z148" i="5"/>
  <c r="Y149" i="5"/>
  <c r="Z149" i="5"/>
  <c r="Y150" i="5"/>
  <c r="Z150" i="5"/>
  <c r="Y151" i="5"/>
  <c r="Z151" i="5"/>
  <c r="Y152" i="5"/>
  <c r="Z152" i="5"/>
  <c r="Y153" i="5"/>
  <c r="Z153" i="5"/>
  <c r="Y154" i="5"/>
  <c r="Z154" i="5"/>
  <c r="Y155" i="5"/>
  <c r="Z155" i="5"/>
  <c r="Y156" i="5"/>
  <c r="Z156" i="5"/>
  <c r="Y157" i="5"/>
  <c r="Z157" i="5"/>
  <c r="Y158" i="5"/>
  <c r="Z158" i="5"/>
  <c r="Y159" i="5"/>
  <c r="Z159" i="5"/>
  <c r="Y160" i="5"/>
  <c r="Z160" i="5"/>
  <c r="Y161" i="5"/>
  <c r="Z161" i="5"/>
  <c r="Y162" i="5"/>
  <c r="Z162" i="5"/>
  <c r="Y163" i="5"/>
  <c r="Z163" i="5"/>
  <c r="Y164" i="5"/>
  <c r="Z164" i="5"/>
  <c r="Y165" i="5"/>
  <c r="Z165" i="5"/>
  <c r="Y166" i="5"/>
  <c r="Z166" i="5"/>
  <c r="Y167" i="5"/>
  <c r="Z167" i="5"/>
  <c r="Y168" i="5"/>
  <c r="Z168" i="5"/>
  <c r="Y169" i="5"/>
  <c r="Z169" i="5"/>
  <c r="Y170" i="5"/>
  <c r="Z170" i="5"/>
  <c r="Y171" i="5"/>
  <c r="Z171" i="5"/>
  <c r="Y172" i="5"/>
  <c r="Z172" i="5"/>
  <c r="Y173" i="5"/>
  <c r="Z173" i="5"/>
  <c r="Y174" i="5"/>
  <c r="Z174" i="5"/>
  <c r="Y175" i="5"/>
  <c r="Z175" i="5"/>
  <c r="Y176" i="5"/>
  <c r="Z176" i="5"/>
  <c r="Y177" i="5"/>
  <c r="Z177" i="5"/>
  <c r="Y178" i="5"/>
  <c r="Z178" i="5"/>
  <c r="Y179" i="5"/>
  <c r="Z179" i="5"/>
  <c r="Y180" i="5"/>
  <c r="Z180" i="5"/>
  <c r="V127" i="5"/>
  <c r="V128" i="5"/>
  <c r="V129" i="5"/>
  <c r="V130" i="5"/>
  <c r="V131" i="5"/>
  <c r="V132" i="5"/>
  <c r="V133" i="5"/>
  <c r="W133" i="5"/>
  <c r="X133" i="5"/>
  <c r="V134" i="5"/>
  <c r="V135" i="5"/>
  <c r="V136" i="5"/>
  <c r="V137" i="5"/>
  <c r="W137" i="5"/>
  <c r="X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W173" i="5"/>
  <c r="X173" i="5"/>
  <c r="V174" i="5"/>
  <c r="W174" i="5"/>
  <c r="X174" i="5"/>
  <c r="V175" i="5"/>
  <c r="V176" i="5"/>
  <c r="V177" i="5"/>
  <c r="V178" i="5"/>
  <c r="V179" i="5"/>
  <c r="V180" i="5"/>
  <c r="T127" i="5"/>
  <c r="U127" i="5"/>
  <c r="T128" i="5"/>
  <c r="U128" i="5"/>
  <c r="T129" i="5"/>
  <c r="U129" i="5"/>
  <c r="T130" i="5"/>
  <c r="U130" i="5"/>
  <c r="T131" i="5"/>
  <c r="U131" i="5"/>
  <c r="T132" i="5"/>
  <c r="U132" i="5"/>
  <c r="T133" i="5"/>
  <c r="U133" i="5"/>
  <c r="T134" i="5"/>
  <c r="U134" i="5"/>
  <c r="T135" i="5"/>
  <c r="U135" i="5"/>
  <c r="T136" i="5"/>
  <c r="U136" i="5"/>
  <c r="T137" i="5"/>
  <c r="U137" i="5"/>
  <c r="T138" i="5"/>
  <c r="U138" i="5"/>
  <c r="T139" i="5"/>
  <c r="U139" i="5"/>
  <c r="T140" i="5"/>
  <c r="U140" i="5"/>
  <c r="T141" i="5"/>
  <c r="U141" i="5"/>
  <c r="T142" i="5"/>
  <c r="U142" i="5"/>
  <c r="T143" i="5"/>
  <c r="U143" i="5"/>
  <c r="T144" i="5"/>
  <c r="U144" i="5"/>
  <c r="T145" i="5"/>
  <c r="U145" i="5"/>
  <c r="T146" i="5"/>
  <c r="U146" i="5"/>
  <c r="T147" i="5"/>
  <c r="U147" i="5"/>
  <c r="T148" i="5"/>
  <c r="U148" i="5"/>
  <c r="T149" i="5"/>
  <c r="U149" i="5"/>
  <c r="T150" i="5"/>
  <c r="U150" i="5"/>
  <c r="T151" i="5"/>
  <c r="U151" i="5"/>
  <c r="T152" i="5"/>
  <c r="U152" i="5"/>
  <c r="T153" i="5"/>
  <c r="U153" i="5"/>
  <c r="T154" i="5"/>
  <c r="U154" i="5"/>
  <c r="T155" i="5"/>
  <c r="U155" i="5"/>
  <c r="T156" i="5"/>
  <c r="U156" i="5"/>
  <c r="T157" i="5"/>
  <c r="U157" i="5"/>
  <c r="T158" i="5"/>
  <c r="U158" i="5"/>
  <c r="T159" i="5"/>
  <c r="U159" i="5"/>
  <c r="T160" i="5"/>
  <c r="U160" i="5"/>
  <c r="T161" i="5"/>
  <c r="U161" i="5"/>
  <c r="T162" i="5"/>
  <c r="U162" i="5"/>
  <c r="T163" i="5"/>
  <c r="U163" i="5"/>
  <c r="T164" i="5"/>
  <c r="U164" i="5"/>
  <c r="T165" i="5"/>
  <c r="U165" i="5"/>
  <c r="T166" i="5"/>
  <c r="U166" i="5"/>
  <c r="T167" i="5"/>
  <c r="U167" i="5"/>
  <c r="T168" i="5"/>
  <c r="U168" i="5"/>
  <c r="T169" i="5"/>
  <c r="U169" i="5"/>
  <c r="T170" i="5"/>
  <c r="U170" i="5"/>
  <c r="T171" i="5"/>
  <c r="U171" i="5"/>
  <c r="T172" i="5"/>
  <c r="U172" i="5"/>
  <c r="T173" i="5"/>
  <c r="U173" i="5"/>
  <c r="T174" i="5"/>
  <c r="U174" i="5"/>
  <c r="T175" i="5"/>
  <c r="U175" i="5"/>
  <c r="T176" i="5"/>
  <c r="U176" i="5"/>
  <c r="T177" i="5"/>
  <c r="U177" i="5"/>
  <c r="T178" i="5"/>
  <c r="U178" i="5"/>
  <c r="T179" i="5"/>
  <c r="U179" i="5"/>
  <c r="T180" i="5"/>
  <c r="U180" i="5"/>
  <c r="Q127" i="5"/>
  <c r="Q128" i="5"/>
  <c r="Q129" i="5"/>
  <c r="Q130" i="5"/>
  <c r="Q131" i="5"/>
  <c r="Q132" i="5"/>
  <c r="Q133" i="5"/>
  <c r="R133" i="5"/>
  <c r="S133" i="5"/>
  <c r="Q134" i="5"/>
  <c r="Q135" i="5"/>
  <c r="Q136" i="5"/>
  <c r="Q137" i="5"/>
  <c r="R137" i="5"/>
  <c r="S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R174" i="5"/>
  <c r="S174" i="5"/>
  <c r="Q175" i="5"/>
  <c r="Q176" i="5"/>
  <c r="Q177" i="5"/>
  <c r="Q178" i="5"/>
  <c r="Q179" i="5"/>
  <c r="Q180" i="5"/>
  <c r="O127" i="5"/>
  <c r="P127" i="5"/>
  <c r="O128" i="5"/>
  <c r="P128" i="5"/>
  <c r="O129" i="5"/>
  <c r="P129" i="5"/>
  <c r="O130" i="5"/>
  <c r="P130" i="5"/>
  <c r="O131" i="5"/>
  <c r="P131" i="5"/>
  <c r="O132" i="5"/>
  <c r="P132" i="5"/>
  <c r="O133" i="5"/>
  <c r="P133" i="5"/>
  <c r="O134" i="5"/>
  <c r="P134" i="5"/>
  <c r="O135" i="5"/>
  <c r="P135" i="5"/>
  <c r="O136" i="5"/>
  <c r="P136" i="5"/>
  <c r="O137" i="5"/>
  <c r="P137" i="5"/>
  <c r="O138" i="5"/>
  <c r="P138" i="5"/>
  <c r="O139" i="5"/>
  <c r="P139" i="5"/>
  <c r="O140" i="5"/>
  <c r="P140" i="5"/>
  <c r="O141" i="5"/>
  <c r="P141" i="5"/>
  <c r="O142" i="5"/>
  <c r="P142" i="5"/>
  <c r="O143" i="5"/>
  <c r="P143" i="5"/>
  <c r="O144" i="5"/>
  <c r="P144" i="5"/>
  <c r="O145" i="5"/>
  <c r="P145" i="5"/>
  <c r="O146" i="5"/>
  <c r="P146" i="5"/>
  <c r="O147" i="5"/>
  <c r="P147" i="5"/>
  <c r="O148" i="5"/>
  <c r="P148" i="5"/>
  <c r="O149" i="5"/>
  <c r="P149" i="5"/>
  <c r="O150" i="5"/>
  <c r="P150" i="5"/>
  <c r="O151" i="5"/>
  <c r="P151" i="5"/>
  <c r="O152" i="5"/>
  <c r="P152" i="5"/>
  <c r="O153" i="5"/>
  <c r="P153" i="5"/>
  <c r="O154" i="5"/>
  <c r="P154" i="5"/>
  <c r="O155" i="5"/>
  <c r="P155" i="5"/>
  <c r="O156" i="5"/>
  <c r="P156" i="5"/>
  <c r="O157" i="5"/>
  <c r="P157" i="5"/>
  <c r="O158" i="5"/>
  <c r="P158" i="5"/>
  <c r="O159" i="5"/>
  <c r="P159" i="5"/>
  <c r="O160" i="5"/>
  <c r="P160" i="5"/>
  <c r="O161" i="5"/>
  <c r="P161" i="5"/>
  <c r="O162" i="5"/>
  <c r="P162" i="5"/>
  <c r="O163" i="5"/>
  <c r="P163" i="5"/>
  <c r="O164" i="5"/>
  <c r="P164" i="5"/>
  <c r="O165" i="5"/>
  <c r="P165" i="5"/>
  <c r="O166" i="5"/>
  <c r="P166" i="5"/>
  <c r="O167" i="5"/>
  <c r="P167" i="5"/>
  <c r="O168" i="5"/>
  <c r="P168" i="5"/>
  <c r="O169" i="5"/>
  <c r="P169" i="5"/>
  <c r="O170" i="5"/>
  <c r="P170" i="5"/>
  <c r="O171" i="5"/>
  <c r="P171" i="5"/>
  <c r="O172" i="5"/>
  <c r="P172" i="5"/>
  <c r="O173" i="5"/>
  <c r="P173" i="5"/>
  <c r="O174" i="5"/>
  <c r="P174" i="5"/>
  <c r="O175" i="5"/>
  <c r="P175" i="5"/>
  <c r="O176" i="5"/>
  <c r="P176" i="5"/>
  <c r="O177" i="5"/>
  <c r="P177" i="5"/>
  <c r="O178" i="5"/>
  <c r="P178" i="5"/>
  <c r="O179" i="5"/>
  <c r="P179" i="5"/>
  <c r="O180" i="5"/>
  <c r="P180" i="5"/>
  <c r="L127" i="5"/>
  <c r="L128" i="5"/>
  <c r="L129" i="5"/>
  <c r="L130" i="5"/>
  <c r="L131" i="5"/>
  <c r="L132" i="5"/>
  <c r="L133" i="5"/>
  <c r="M133" i="5"/>
  <c r="N133" i="5"/>
  <c r="L134" i="5"/>
  <c r="L135" i="5"/>
  <c r="L136" i="5"/>
  <c r="L137" i="5"/>
  <c r="M137" i="5"/>
  <c r="N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M173" i="5"/>
  <c r="N173" i="5"/>
  <c r="L174" i="5"/>
  <c r="M174" i="5"/>
  <c r="N174" i="5"/>
  <c r="L175" i="5"/>
  <c r="L176" i="5"/>
  <c r="L177" i="5"/>
  <c r="L178" i="5"/>
  <c r="L179" i="5"/>
  <c r="L180" i="5"/>
  <c r="J127" i="5"/>
  <c r="K127" i="5"/>
  <c r="J128" i="5"/>
  <c r="K128" i="5"/>
  <c r="J129" i="5"/>
  <c r="K129" i="5"/>
  <c r="J130" i="5"/>
  <c r="K130" i="5"/>
  <c r="J131" i="5"/>
  <c r="K131" i="5"/>
  <c r="J132" i="5"/>
  <c r="K132" i="5"/>
  <c r="J133" i="5"/>
  <c r="K133" i="5"/>
  <c r="J134" i="5"/>
  <c r="K134" i="5"/>
  <c r="J135" i="5"/>
  <c r="K135" i="5"/>
  <c r="J136" i="5"/>
  <c r="K136" i="5"/>
  <c r="J137" i="5"/>
  <c r="K137" i="5"/>
  <c r="J138" i="5"/>
  <c r="K138" i="5"/>
  <c r="J139" i="5"/>
  <c r="K139" i="5"/>
  <c r="J140" i="5"/>
  <c r="K140" i="5"/>
  <c r="J141" i="5"/>
  <c r="K141" i="5"/>
  <c r="J142" i="5"/>
  <c r="K142" i="5"/>
  <c r="J143" i="5"/>
  <c r="K143" i="5"/>
  <c r="J144" i="5"/>
  <c r="K144" i="5"/>
  <c r="J145" i="5"/>
  <c r="K145" i="5"/>
  <c r="J146" i="5"/>
  <c r="K146" i="5"/>
  <c r="J147" i="5"/>
  <c r="K147" i="5"/>
  <c r="J148" i="5"/>
  <c r="K148" i="5"/>
  <c r="J149" i="5"/>
  <c r="K149" i="5"/>
  <c r="J150" i="5"/>
  <c r="K150" i="5"/>
  <c r="J151" i="5"/>
  <c r="K151" i="5"/>
  <c r="J152" i="5"/>
  <c r="K152" i="5"/>
  <c r="J153" i="5"/>
  <c r="K153" i="5"/>
  <c r="J154" i="5"/>
  <c r="K154" i="5"/>
  <c r="J155" i="5"/>
  <c r="K155" i="5"/>
  <c r="J156" i="5"/>
  <c r="K156" i="5"/>
  <c r="J157" i="5"/>
  <c r="K157" i="5"/>
  <c r="J158" i="5"/>
  <c r="K158" i="5"/>
  <c r="J159" i="5"/>
  <c r="K159" i="5"/>
  <c r="J160" i="5"/>
  <c r="K160" i="5"/>
  <c r="J161" i="5"/>
  <c r="K161" i="5"/>
  <c r="J162" i="5"/>
  <c r="K162" i="5"/>
  <c r="J163" i="5"/>
  <c r="K163" i="5"/>
  <c r="J164" i="5"/>
  <c r="K164" i="5"/>
  <c r="J165" i="5"/>
  <c r="K165" i="5"/>
  <c r="J166" i="5"/>
  <c r="K166" i="5"/>
  <c r="J167" i="5"/>
  <c r="K167" i="5"/>
  <c r="J168" i="5"/>
  <c r="K168" i="5"/>
  <c r="J169" i="5"/>
  <c r="K169" i="5"/>
  <c r="J170" i="5"/>
  <c r="K170" i="5"/>
  <c r="J171" i="5"/>
  <c r="K171" i="5"/>
  <c r="J172" i="5"/>
  <c r="K172" i="5"/>
  <c r="J173" i="5"/>
  <c r="K173" i="5"/>
  <c r="J174" i="5"/>
  <c r="K174" i="5"/>
  <c r="J175" i="5"/>
  <c r="K175" i="5"/>
  <c r="J176" i="5"/>
  <c r="K176" i="5"/>
  <c r="J177" i="5"/>
  <c r="K177" i="5"/>
  <c r="J178" i="5"/>
  <c r="K178" i="5"/>
  <c r="J179" i="5"/>
  <c r="K179" i="5"/>
  <c r="J180" i="5"/>
  <c r="K180" i="5"/>
  <c r="G81" i="3"/>
  <c r="G82" i="3"/>
  <c r="G83" i="3"/>
  <c r="G84" i="3"/>
  <c r="G85" i="3"/>
  <c r="G86" i="3"/>
  <c r="G88" i="3"/>
  <c r="G89" i="3"/>
  <c r="G90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9" i="3"/>
  <c r="G130" i="3"/>
  <c r="G131" i="3"/>
  <c r="G132" i="3"/>
  <c r="G133" i="3"/>
  <c r="G134" i="3"/>
  <c r="G127" i="5"/>
  <c r="G128" i="5"/>
  <c r="G129" i="5"/>
  <c r="G130" i="5"/>
  <c r="G131" i="5"/>
  <c r="G132" i="5"/>
  <c r="G133" i="5"/>
  <c r="H133" i="5"/>
  <c r="I133" i="5"/>
  <c r="G134" i="5"/>
  <c r="G135" i="5"/>
  <c r="G136" i="5"/>
  <c r="G137" i="5"/>
  <c r="H137" i="5"/>
  <c r="I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H157" i="5"/>
  <c r="I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E127" i="5"/>
  <c r="F127" i="5"/>
  <c r="E128" i="5"/>
  <c r="F128" i="5"/>
  <c r="E129" i="5"/>
  <c r="F129" i="5"/>
  <c r="E130" i="5"/>
  <c r="F130" i="5"/>
  <c r="E131" i="5"/>
  <c r="F131" i="5"/>
  <c r="E132" i="5"/>
  <c r="F132" i="5"/>
  <c r="E133" i="5"/>
  <c r="F133" i="5"/>
  <c r="E134" i="5"/>
  <c r="F134" i="5"/>
  <c r="E135" i="5"/>
  <c r="F135" i="5"/>
  <c r="E136" i="5"/>
  <c r="F136" i="5"/>
  <c r="E137" i="5"/>
  <c r="F137" i="5"/>
  <c r="E138" i="5"/>
  <c r="F138" i="5"/>
  <c r="E139" i="5"/>
  <c r="F139" i="5"/>
  <c r="E140" i="5"/>
  <c r="F140" i="5"/>
  <c r="E141" i="5"/>
  <c r="F141" i="5"/>
  <c r="E142" i="5"/>
  <c r="F142" i="5"/>
  <c r="E143" i="5"/>
  <c r="F143" i="5"/>
  <c r="E144" i="5"/>
  <c r="F144" i="5"/>
  <c r="E145" i="5"/>
  <c r="F145" i="5"/>
  <c r="E146" i="5"/>
  <c r="F146" i="5"/>
  <c r="E147" i="5"/>
  <c r="F147" i="5"/>
  <c r="E148" i="5"/>
  <c r="F148" i="5"/>
  <c r="E149" i="5"/>
  <c r="F149" i="5"/>
  <c r="E150" i="5"/>
  <c r="F150" i="5"/>
  <c r="E151" i="5"/>
  <c r="F151" i="5"/>
  <c r="E152" i="5"/>
  <c r="F152" i="5"/>
  <c r="E153" i="5"/>
  <c r="F153" i="5"/>
  <c r="E154" i="5"/>
  <c r="F154" i="5"/>
  <c r="E155" i="5"/>
  <c r="F155" i="5"/>
  <c r="E156" i="5"/>
  <c r="F156" i="5"/>
  <c r="E157" i="5"/>
  <c r="F157" i="5"/>
  <c r="E158" i="5"/>
  <c r="F158" i="5"/>
  <c r="E159" i="5"/>
  <c r="F159" i="5"/>
  <c r="E160" i="5"/>
  <c r="F160" i="5"/>
  <c r="E161" i="5"/>
  <c r="F161" i="5"/>
  <c r="E162" i="5"/>
  <c r="F162" i="5"/>
  <c r="E163" i="5"/>
  <c r="F163" i="5"/>
  <c r="E164" i="5"/>
  <c r="F164" i="5"/>
  <c r="E165" i="5"/>
  <c r="F165" i="5"/>
  <c r="E166" i="5"/>
  <c r="F166" i="5"/>
  <c r="E167" i="5"/>
  <c r="F167" i="5"/>
  <c r="E168" i="5"/>
  <c r="F168" i="5"/>
  <c r="E169" i="5"/>
  <c r="F169" i="5"/>
  <c r="E170" i="5"/>
  <c r="F170" i="5"/>
  <c r="E171" i="5"/>
  <c r="F171" i="5"/>
  <c r="E172" i="5"/>
  <c r="F172" i="5"/>
  <c r="E173" i="5"/>
  <c r="F173" i="5"/>
  <c r="E174" i="5"/>
  <c r="F174" i="5"/>
  <c r="E175" i="5"/>
  <c r="F175" i="5"/>
  <c r="E176" i="5"/>
  <c r="F176" i="5"/>
  <c r="E177" i="5"/>
  <c r="F177" i="5"/>
  <c r="E178" i="5"/>
  <c r="F178" i="5"/>
  <c r="E179" i="5"/>
  <c r="F179" i="5"/>
  <c r="E180" i="5"/>
  <c r="F180" i="5"/>
  <c r="O1269" i="3"/>
  <c r="O1233" i="3"/>
  <c r="G1280" i="3"/>
  <c r="K1280" i="3" s="1"/>
  <c r="EC180" i="5" s="1"/>
  <c r="G1279" i="3"/>
  <c r="K1279" i="3" s="1"/>
  <c r="EC179" i="5" s="1"/>
  <c r="G1278" i="3"/>
  <c r="K1278" i="3" s="1"/>
  <c r="EC178" i="5" s="1"/>
  <c r="G1277" i="3"/>
  <c r="K1277" i="3" s="1"/>
  <c r="EC177" i="5" s="1"/>
  <c r="G1276" i="3"/>
  <c r="K1276" i="3" s="1"/>
  <c r="EC176" i="5" s="1"/>
  <c r="G1275" i="3"/>
  <c r="K1275" i="3" s="1"/>
  <c r="EC175" i="5" s="1"/>
  <c r="G1271" i="3"/>
  <c r="K1271" i="3" s="1"/>
  <c r="EC171" i="5" s="1"/>
  <c r="G1270" i="3"/>
  <c r="K1270" i="3" s="1"/>
  <c r="EC170" i="5" s="1"/>
  <c r="G1269" i="3"/>
  <c r="K1269" i="3" s="1"/>
  <c r="EC169" i="5" s="1"/>
  <c r="G1244" i="3"/>
  <c r="K1244" i="3" s="1"/>
  <c r="DX180" i="5" s="1"/>
  <c r="G1243" i="3"/>
  <c r="K1243" i="3" s="1"/>
  <c r="DX179" i="5" s="1"/>
  <c r="G1242" i="3"/>
  <c r="K1242" i="3" s="1"/>
  <c r="DX178" i="5" s="1"/>
  <c r="G1241" i="3"/>
  <c r="K1241" i="3" s="1"/>
  <c r="DX177" i="5" s="1"/>
  <c r="G1240" i="3"/>
  <c r="K1240" i="3" s="1"/>
  <c r="DX176" i="5" s="1"/>
  <c r="G1239" i="3"/>
  <c r="K1239" i="3" s="1"/>
  <c r="DX175" i="5" s="1"/>
  <c r="G1235" i="3"/>
  <c r="K1235" i="3" s="1"/>
  <c r="DX171" i="5" s="1"/>
  <c r="G1234" i="3"/>
  <c r="K1234" i="3" s="1"/>
  <c r="DX170" i="5" s="1"/>
  <c r="G1233" i="3"/>
  <c r="K1233" i="3" s="1"/>
  <c r="DX169" i="5" s="1"/>
  <c r="O1201" i="3"/>
  <c r="DT189" i="5" s="1"/>
  <c r="G1212" i="3"/>
  <c r="K1212" i="3" s="1"/>
  <c r="DS180" i="5" s="1"/>
  <c r="G1211" i="3"/>
  <c r="K1211" i="3" s="1"/>
  <c r="DS179" i="5" s="1"/>
  <c r="G1210" i="3"/>
  <c r="K1210" i="3" s="1"/>
  <c r="DS178" i="5" s="1"/>
  <c r="G1209" i="3"/>
  <c r="K1209" i="3" s="1"/>
  <c r="DS177" i="5" s="1"/>
  <c r="G1208" i="3"/>
  <c r="K1208" i="3" s="1"/>
  <c r="DS176" i="5" s="1"/>
  <c r="G1207" i="3"/>
  <c r="K1207" i="3" s="1"/>
  <c r="DS175" i="5" s="1"/>
  <c r="G1204" i="3"/>
  <c r="DS172" i="5" s="1"/>
  <c r="G1203" i="3"/>
  <c r="K1203" i="3" s="1"/>
  <c r="DS171" i="5" s="1"/>
  <c r="G1202" i="3"/>
  <c r="K1202" i="3" s="1"/>
  <c r="DS170" i="5" s="1"/>
  <c r="G1201" i="3"/>
  <c r="K1201" i="3" s="1"/>
  <c r="DS169" i="5" s="1"/>
  <c r="G1176" i="3"/>
  <c r="K1176" i="3" s="1"/>
  <c r="DN178" i="5" s="1"/>
  <c r="G1177" i="3"/>
  <c r="K1177" i="3" s="1"/>
  <c r="DN179" i="5" s="1"/>
  <c r="G1178" i="3"/>
  <c r="K1178" i="3" s="1"/>
  <c r="M1178" i="3" s="1"/>
  <c r="O1131" i="3"/>
  <c r="O1099" i="3"/>
  <c r="O1064" i="3"/>
  <c r="O1029" i="3"/>
  <c r="O997" i="3"/>
  <c r="O963" i="3"/>
  <c r="O930" i="3"/>
  <c r="O895" i="3"/>
  <c r="O839" i="3"/>
  <c r="BV189" i="5" s="1"/>
  <c r="G851" i="3"/>
  <c r="K851" i="3" s="1"/>
  <c r="BU139" i="5" s="1"/>
  <c r="G852" i="3"/>
  <c r="K852" i="3" s="1"/>
  <c r="BU140" i="5" s="1"/>
  <c r="G853" i="3"/>
  <c r="K853" i="3" s="1"/>
  <c r="BU141" i="5" s="1"/>
  <c r="G854" i="3"/>
  <c r="K854" i="3" s="1"/>
  <c r="BU142" i="5" s="1"/>
  <c r="G855" i="3"/>
  <c r="K855" i="3" s="1"/>
  <c r="BU143" i="5" s="1"/>
  <c r="G856" i="3"/>
  <c r="K856" i="3" s="1"/>
  <c r="BU144" i="5" s="1"/>
  <c r="G857" i="3"/>
  <c r="K857" i="3" s="1"/>
  <c r="BU145" i="5" s="1"/>
  <c r="G858" i="3"/>
  <c r="K858" i="3" s="1"/>
  <c r="BU146" i="5" s="1"/>
  <c r="G859" i="3"/>
  <c r="K859" i="3" s="1"/>
  <c r="BU147" i="5" s="1"/>
  <c r="K860" i="3"/>
  <c r="BU148" i="5" s="1"/>
  <c r="G861" i="3"/>
  <c r="K861" i="3" s="1"/>
  <c r="BU149" i="5" s="1"/>
  <c r="G862" i="3"/>
  <c r="K862" i="3" s="1"/>
  <c r="BU150" i="5" s="1"/>
  <c r="G863" i="3"/>
  <c r="K863" i="3" s="1"/>
  <c r="BU151" i="5" s="1"/>
  <c r="G864" i="3"/>
  <c r="K864" i="3" s="1"/>
  <c r="BU152" i="5" s="1"/>
  <c r="G865" i="3"/>
  <c r="K865" i="3" s="1"/>
  <c r="BU153" i="5" s="1"/>
  <c r="G866" i="3"/>
  <c r="K866" i="3" s="1"/>
  <c r="BU154" i="5" s="1"/>
  <c r="G867" i="3"/>
  <c r="K867" i="3" s="1"/>
  <c r="BU155" i="5" s="1"/>
  <c r="G868" i="3"/>
  <c r="K868" i="3" s="1"/>
  <c r="BU156" i="5" s="1"/>
  <c r="G869" i="3"/>
  <c r="K869" i="3" s="1"/>
  <c r="BU157" i="5" s="1"/>
  <c r="G870" i="3"/>
  <c r="K870" i="3" s="1"/>
  <c r="BU158" i="5" s="1"/>
  <c r="O798" i="3"/>
  <c r="O700" i="3"/>
  <c r="G723" i="3"/>
  <c r="K723" i="3" s="1"/>
  <c r="BF150" i="5" s="1"/>
  <c r="G724" i="3"/>
  <c r="K724" i="3" s="1"/>
  <c r="L724" i="3" s="1"/>
  <c r="BG151" i="5" s="1"/>
  <c r="G725" i="3"/>
  <c r="BF152" i="5" s="1"/>
  <c r="K726" i="3"/>
  <c r="L726" i="3" s="1"/>
  <c r="BG153" i="5" s="1"/>
  <c r="G727" i="3"/>
  <c r="K727" i="3" s="1"/>
  <c r="BF154" i="5" s="1"/>
  <c r="G728" i="3"/>
  <c r="K728" i="3" s="1"/>
  <c r="L728" i="3" s="1"/>
  <c r="BG155" i="5" s="1"/>
  <c r="G729" i="3"/>
  <c r="K729" i="3" s="1"/>
  <c r="BF156" i="5" s="1"/>
  <c r="G731" i="3"/>
  <c r="K731" i="3" s="1"/>
  <c r="BF158" i="5" s="1"/>
  <c r="O648" i="3"/>
  <c r="G660" i="3"/>
  <c r="K660" i="3" s="1"/>
  <c r="M660" i="3" s="1"/>
  <c r="G661" i="3"/>
  <c r="K661" i="3" s="1"/>
  <c r="M661" i="3" s="1"/>
  <c r="G662" i="3"/>
  <c r="K662" i="3" s="1"/>
  <c r="M662" i="3" s="1"/>
  <c r="G663" i="3"/>
  <c r="K663" i="3" s="1"/>
  <c r="M663" i="3" s="1"/>
  <c r="G664" i="3"/>
  <c r="K664" i="3" s="1"/>
  <c r="BA143" i="5" s="1"/>
  <c r="G665" i="3"/>
  <c r="K665" i="3" s="1"/>
  <c r="M665" i="3" s="1"/>
  <c r="G666" i="3"/>
  <c r="K666" i="3" s="1"/>
  <c r="BA145" i="5" s="1"/>
  <c r="G667" i="3"/>
  <c r="K667" i="3" s="1"/>
  <c r="M667" i="3" s="1"/>
  <c r="G668" i="3"/>
  <c r="K668" i="3" s="1"/>
  <c r="M668" i="3" s="1"/>
  <c r="G669" i="3"/>
  <c r="K669" i="3" s="1"/>
  <c r="M669" i="3" s="1"/>
  <c r="G670" i="3"/>
  <c r="K670" i="3" s="1"/>
  <c r="M670" i="3" s="1"/>
  <c r="G671" i="3"/>
  <c r="K671" i="3" s="1"/>
  <c r="M671" i="3" s="1"/>
  <c r="G672" i="3"/>
  <c r="K672" i="3" s="1"/>
  <c r="BA151" i="5" s="1"/>
  <c r="G673" i="3"/>
  <c r="K673" i="3" s="1"/>
  <c r="M673" i="3" s="1"/>
  <c r="G674" i="3"/>
  <c r="K674" i="3" s="1"/>
  <c r="BA153" i="5" s="1"/>
  <c r="G675" i="3"/>
  <c r="K675" i="3" s="1"/>
  <c r="M675" i="3" s="1"/>
  <c r="G676" i="3"/>
  <c r="K676" i="3" s="1"/>
  <c r="M676" i="3" s="1"/>
  <c r="G677" i="3"/>
  <c r="K677" i="3" s="1"/>
  <c r="M677" i="3" s="1"/>
  <c r="G679" i="3"/>
  <c r="K679" i="3" s="1"/>
  <c r="M679" i="3" s="1"/>
  <c r="O575" i="3"/>
  <c r="AW189" i="5" s="1"/>
  <c r="O497" i="3"/>
  <c r="O422" i="3"/>
  <c r="O371" i="3"/>
  <c r="G394" i="3"/>
  <c r="K394" i="3" s="1"/>
  <c r="AG169" i="5" s="1"/>
  <c r="G395" i="3"/>
  <c r="K395" i="3" s="1"/>
  <c r="AG170" i="5" s="1"/>
  <c r="G396" i="3"/>
  <c r="K396" i="3" s="1"/>
  <c r="AG171" i="5" s="1"/>
  <c r="G400" i="3"/>
  <c r="K400" i="3" s="1"/>
  <c r="AG175" i="5" s="1"/>
  <c r="G401" i="3"/>
  <c r="K401" i="3" s="1"/>
  <c r="AG176" i="5" s="1"/>
  <c r="G402" i="3"/>
  <c r="K402" i="3" s="1"/>
  <c r="AG177" i="5" s="1"/>
  <c r="G403" i="3"/>
  <c r="K403" i="3" s="1"/>
  <c r="AG178" i="5" s="1"/>
  <c r="G404" i="3"/>
  <c r="K404" i="3" s="1"/>
  <c r="AG179" i="5" s="1"/>
  <c r="G405" i="3"/>
  <c r="K405" i="3" s="1"/>
  <c r="AG180" i="5" s="1"/>
  <c r="O296" i="3"/>
  <c r="AC189" i="5" s="1"/>
  <c r="I63" i="11" l="1"/>
  <c r="BG189" i="5"/>
  <c r="CF189" i="5"/>
  <c r="I158" i="11"/>
  <c r="I94" i="11"/>
  <c r="I153" i="4"/>
  <c r="CA189" i="5"/>
  <c r="I159" i="11"/>
  <c r="I154" i="4"/>
  <c r="I65" i="11"/>
  <c r="BQ189" i="5"/>
  <c r="CK189" i="5"/>
  <c r="I155" i="11"/>
  <c r="I150" i="4"/>
  <c r="CP189" i="5"/>
  <c r="I127" i="11"/>
  <c r="I122" i="4"/>
  <c r="BB189" i="5"/>
  <c r="I156" i="11"/>
  <c r="CU189" i="5"/>
  <c r="I120" i="4"/>
  <c r="I125" i="11"/>
  <c r="DY189" i="5"/>
  <c r="I62" i="11"/>
  <c r="AH189" i="5"/>
  <c r="CZ189" i="5"/>
  <c r="I119" i="4"/>
  <c r="I124" i="11"/>
  <c r="I90" i="4"/>
  <c r="I95" i="11"/>
  <c r="I19" i="11"/>
  <c r="AM189" i="5"/>
  <c r="DE189" i="5"/>
  <c r="I123" i="4"/>
  <c r="I128" i="11"/>
  <c r="I91" i="11"/>
  <c r="AR189" i="5"/>
  <c r="DJ189" i="5"/>
  <c r="I126" i="11"/>
  <c r="I121" i="4"/>
  <c r="ED188" i="5"/>
  <c r="ED193" i="5"/>
  <c r="ED195" i="5"/>
  <c r="ED191" i="5"/>
  <c r="ED192" i="5" s="1"/>
  <c r="ED189" i="5"/>
  <c r="ED190" i="5" s="1"/>
  <c r="I87" i="4"/>
  <c r="I92" i="11"/>
  <c r="I152" i="4"/>
  <c r="I157" i="11"/>
  <c r="BA154" i="5"/>
  <c r="BA152" i="5"/>
  <c r="BA144" i="5"/>
  <c r="BA158" i="5"/>
  <c r="BA149" i="5"/>
  <c r="BA141" i="5"/>
  <c r="BA139" i="5"/>
  <c r="BA140" i="5"/>
  <c r="BA147" i="5"/>
  <c r="BA148" i="5"/>
  <c r="BA146" i="5"/>
  <c r="BA156" i="5"/>
  <c r="BA142" i="5"/>
  <c r="BA150" i="5"/>
  <c r="BA155" i="5"/>
  <c r="DN180" i="5"/>
  <c r="BF155" i="5"/>
  <c r="BF153" i="5"/>
  <c r="BF151" i="5"/>
  <c r="M1176" i="3"/>
  <c r="L1176" i="3"/>
  <c r="DO178" i="5" s="1"/>
  <c r="O1207" i="3"/>
  <c r="DT195" i="5" s="1"/>
  <c r="O1239" i="3"/>
  <c r="DY195" i="5" s="1"/>
  <c r="O1275" i="3"/>
  <c r="L1177" i="3"/>
  <c r="DO179" i="5" s="1"/>
  <c r="M1177" i="3"/>
  <c r="L1178" i="3"/>
  <c r="DO180" i="5" s="1"/>
  <c r="O1200" i="3"/>
  <c r="O1268" i="3"/>
  <c r="O1232" i="3"/>
  <c r="M1269" i="3"/>
  <c r="L1269" i="3"/>
  <c r="ED169" i="5" s="1"/>
  <c r="M1277" i="3"/>
  <c r="L1277" i="3"/>
  <c r="ED177" i="5" s="1"/>
  <c r="M1270" i="3"/>
  <c r="L1270" i="3"/>
  <c r="ED170" i="5" s="1"/>
  <c r="M1278" i="3"/>
  <c r="L1278" i="3"/>
  <c r="ED178" i="5" s="1"/>
  <c r="M1271" i="3"/>
  <c r="L1271" i="3"/>
  <c r="ED171" i="5" s="1"/>
  <c r="M1275" i="3"/>
  <c r="L1275" i="3"/>
  <c r="ED175" i="5" s="1"/>
  <c r="M1279" i="3"/>
  <c r="L1279" i="3"/>
  <c r="ED179" i="5" s="1"/>
  <c r="M1276" i="3"/>
  <c r="L1276" i="3"/>
  <c r="ED176" i="5" s="1"/>
  <c r="M1280" i="3"/>
  <c r="L1280" i="3"/>
  <c r="ED180" i="5" s="1"/>
  <c r="M1242" i="3"/>
  <c r="L1242" i="3"/>
  <c r="DY178" i="5" s="1"/>
  <c r="M1235" i="3"/>
  <c r="L1235" i="3"/>
  <c r="DY171" i="5" s="1"/>
  <c r="M1239" i="3"/>
  <c r="L1239" i="3"/>
  <c r="DY175" i="5" s="1"/>
  <c r="M1243" i="3"/>
  <c r="L1243" i="3"/>
  <c r="DY179" i="5" s="1"/>
  <c r="M1233" i="3"/>
  <c r="O1237" i="3" s="1"/>
  <c r="DY193" i="5" s="1"/>
  <c r="L1233" i="3"/>
  <c r="DY169" i="5" s="1"/>
  <c r="M1241" i="3"/>
  <c r="L1241" i="3"/>
  <c r="DY177" i="5" s="1"/>
  <c r="M1234" i="3"/>
  <c r="L1234" i="3"/>
  <c r="DY170" i="5" s="1"/>
  <c r="M1240" i="3"/>
  <c r="L1240" i="3"/>
  <c r="DY176" i="5" s="1"/>
  <c r="M1244" i="3"/>
  <c r="L1244" i="3"/>
  <c r="DY180" i="5" s="1"/>
  <c r="M1201" i="3"/>
  <c r="L1201" i="3"/>
  <c r="DT169" i="5" s="1"/>
  <c r="M1209" i="3"/>
  <c r="L1209" i="3"/>
  <c r="DT177" i="5" s="1"/>
  <c r="M1202" i="3"/>
  <c r="L1202" i="3"/>
  <c r="DT170" i="5" s="1"/>
  <c r="M1210" i="3"/>
  <c r="L1210" i="3"/>
  <c r="DT178" i="5" s="1"/>
  <c r="M1203" i="3"/>
  <c r="L1203" i="3"/>
  <c r="DT171" i="5" s="1"/>
  <c r="M1207" i="3"/>
  <c r="L1207" i="3"/>
  <c r="DT175" i="5" s="1"/>
  <c r="M1211" i="3"/>
  <c r="L1211" i="3"/>
  <c r="DT179" i="5" s="1"/>
  <c r="DT172" i="5"/>
  <c r="M1208" i="3"/>
  <c r="L1208" i="3"/>
  <c r="DT176" i="5" s="1"/>
  <c r="M1212" i="3"/>
  <c r="L1212" i="3"/>
  <c r="DT180" i="5" s="1"/>
  <c r="L669" i="3"/>
  <c r="BB148" i="5" s="1"/>
  <c r="L677" i="3"/>
  <c r="BB156" i="5" s="1"/>
  <c r="L661" i="3"/>
  <c r="BB140" i="5" s="1"/>
  <c r="L673" i="3"/>
  <c r="BB152" i="5" s="1"/>
  <c r="L665" i="3"/>
  <c r="BB144" i="5" s="1"/>
  <c r="M672" i="3"/>
  <c r="L672" i="3"/>
  <c r="BB151" i="5" s="1"/>
  <c r="M664" i="3"/>
  <c r="L664" i="3"/>
  <c r="BB143" i="5" s="1"/>
  <c r="M674" i="3"/>
  <c r="L674" i="3"/>
  <c r="BB153" i="5" s="1"/>
  <c r="M666" i="3"/>
  <c r="L666" i="3"/>
  <c r="BB145" i="5" s="1"/>
  <c r="L731" i="3"/>
  <c r="BG158" i="5" s="1"/>
  <c r="M731" i="3"/>
  <c r="L676" i="3"/>
  <c r="BB155" i="5" s="1"/>
  <c r="L668" i="3"/>
  <c r="BB147" i="5" s="1"/>
  <c r="L660" i="3"/>
  <c r="BB139" i="5" s="1"/>
  <c r="L869" i="3"/>
  <c r="BV157" i="5" s="1"/>
  <c r="M869" i="3"/>
  <c r="L865" i="3"/>
  <c r="BV153" i="5" s="1"/>
  <c r="M865" i="3"/>
  <c r="L861" i="3"/>
  <c r="BV149" i="5" s="1"/>
  <c r="M861" i="3"/>
  <c r="L857" i="3"/>
  <c r="BV145" i="5" s="1"/>
  <c r="M857" i="3"/>
  <c r="L853" i="3"/>
  <c r="BV141" i="5" s="1"/>
  <c r="M853" i="3"/>
  <c r="L679" i="3"/>
  <c r="BB158" i="5" s="1"/>
  <c r="L675" i="3"/>
  <c r="BB154" i="5" s="1"/>
  <c r="L671" i="3"/>
  <c r="BB150" i="5" s="1"/>
  <c r="L667" i="3"/>
  <c r="BB146" i="5" s="1"/>
  <c r="L663" i="3"/>
  <c r="BB142" i="5" s="1"/>
  <c r="L729" i="3"/>
  <c r="BG156" i="5" s="1"/>
  <c r="M729" i="3"/>
  <c r="BG152" i="5"/>
  <c r="M728" i="3"/>
  <c r="M868" i="3"/>
  <c r="L868" i="3"/>
  <c r="BV156" i="5" s="1"/>
  <c r="M864" i="3"/>
  <c r="L864" i="3"/>
  <c r="BV152" i="5" s="1"/>
  <c r="M860" i="3"/>
  <c r="L860" i="3"/>
  <c r="BV148" i="5" s="1"/>
  <c r="M856" i="3"/>
  <c r="L856" i="3"/>
  <c r="BV144" i="5" s="1"/>
  <c r="M852" i="3"/>
  <c r="L852" i="3"/>
  <c r="BV140" i="5" s="1"/>
  <c r="L670" i="3"/>
  <c r="BB149" i="5" s="1"/>
  <c r="L662" i="3"/>
  <c r="BB141" i="5" s="1"/>
  <c r="M726" i="3"/>
  <c r="L867" i="3"/>
  <c r="BV155" i="5" s="1"/>
  <c r="M867" i="3"/>
  <c r="L863" i="3"/>
  <c r="BV151" i="5" s="1"/>
  <c r="M863" i="3"/>
  <c r="L859" i="3"/>
  <c r="BV147" i="5" s="1"/>
  <c r="M859" i="3"/>
  <c r="L855" i="3"/>
  <c r="BV143" i="5" s="1"/>
  <c r="M855" i="3"/>
  <c r="L851" i="3"/>
  <c r="BV139" i="5" s="1"/>
  <c r="M851" i="3"/>
  <c r="L727" i="3"/>
  <c r="BG154" i="5" s="1"/>
  <c r="M727" i="3"/>
  <c r="L723" i="3"/>
  <c r="BG150" i="5" s="1"/>
  <c r="M723" i="3"/>
  <c r="M724" i="3"/>
  <c r="M870" i="3"/>
  <c r="L870" i="3"/>
  <c r="BV158" i="5" s="1"/>
  <c r="M866" i="3"/>
  <c r="L866" i="3"/>
  <c r="BV154" i="5" s="1"/>
  <c r="M862" i="3"/>
  <c r="L862" i="3"/>
  <c r="BV150" i="5" s="1"/>
  <c r="M858" i="3"/>
  <c r="L858" i="3"/>
  <c r="BV146" i="5" s="1"/>
  <c r="M854" i="3"/>
  <c r="L854" i="3"/>
  <c r="BV142" i="5" s="1"/>
  <c r="M403" i="3"/>
  <c r="L403" i="3"/>
  <c r="AH178" i="5" s="1"/>
  <c r="M395" i="3"/>
  <c r="L395" i="3"/>
  <c r="AH170" i="5" s="1"/>
  <c r="M402" i="3"/>
  <c r="L402" i="3"/>
  <c r="AH177" i="5" s="1"/>
  <c r="M394" i="3"/>
  <c r="L394" i="3"/>
  <c r="AH169" i="5" s="1"/>
  <c r="L405" i="3"/>
  <c r="AH180" i="5" s="1"/>
  <c r="M405" i="3"/>
  <c r="L401" i="3"/>
  <c r="AH176" i="5" s="1"/>
  <c r="M401" i="3"/>
  <c r="M404" i="3"/>
  <c r="L404" i="3"/>
  <c r="AH179" i="5" s="1"/>
  <c r="M400" i="3"/>
  <c r="L400" i="3"/>
  <c r="AH175" i="5" s="1"/>
  <c r="M396" i="3"/>
  <c r="L396" i="3"/>
  <c r="AH171" i="5" s="1"/>
  <c r="O222" i="3"/>
  <c r="O149" i="3"/>
  <c r="O11" i="3"/>
  <c r="I189" i="5" s="1"/>
  <c r="O1234" i="3" l="1"/>
  <c r="DY190" i="5" s="1"/>
  <c r="DY188" i="5"/>
  <c r="H89" i="4"/>
  <c r="H94" i="11"/>
  <c r="O1270" i="3"/>
  <c r="H90" i="4"/>
  <c r="H95" i="11"/>
  <c r="ED194" i="5"/>
  <c r="O1202" i="3"/>
  <c r="DT190" i="5" s="1"/>
  <c r="DT188" i="5"/>
  <c r="H92" i="11"/>
  <c r="H87" i="4"/>
  <c r="O1238" i="3"/>
  <c r="DY194" i="5" s="1"/>
  <c r="I20" i="11"/>
  <c r="S189" i="5"/>
  <c r="I61" i="11"/>
  <c r="X189" i="5"/>
  <c r="DY198" i="5"/>
  <c r="DT200" i="5"/>
  <c r="ED200" i="5"/>
  <c r="DT202" i="5"/>
  <c r="DT199" i="5"/>
  <c r="DT197" i="5"/>
  <c r="DT201" i="5"/>
  <c r="DT204" i="5"/>
  <c r="DT198" i="5"/>
  <c r="DT203" i="5"/>
  <c r="ED204" i="5"/>
  <c r="ED203" i="5"/>
  <c r="ED199" i="5"/>
  <c r="ED202" i="5"/>
  <c r="ED198" i="5"/>
  <c r="ED201" i="5"/>
  <c r="ED197" i="5"/>
  <c r="DY201" i="5"/>
  <c r="DY197" i="5"/>
  <c r="DY204" i="5"/>
  <c r="DY200" i="5"/>
  <c r="DY203" i="5"/>
  <c r="DY199" i="5"/>
  <c r="DY202" i="5"/>
  <c r="V1211" i="3"/>
  <c r="R1211" i="3"/>
  <c r="U1211" i="3"/>
  <c r="Q1211" i="3"/>
  <c r="S1211" i="3"/>
  <c r="T1211" i="3"/>
  <c r="P1211" i="3"/>
  <c r="O1211" i="3"/>
  <c r="V1279" i="3"/>
  <c r="R1279" i="3"/>
  <c r="S1279" i="3"/>
  <c r="U1279" i="3"/>
  <c r="Q1279" i="3"/>
  <c r="O1279" i="3"/>
  <c r="T1279" i="3"/>
  <c r="P1279" i="3"/>
  <c r="O1203" i="3"/>
  <c r="DT191" i="5" s="1"/>
  <c r="O1205" i="3"/>
  <c r="DT193" i="5" s="1"/>
  <c r="O1273" i="3"/>
  <c r="O1271" i="3"/>
  <c r="V1243" i="3"/>
  <c r="R1243" i="3"/>
  <c r="U1243" i="3"/>
  <c r="Q1243" i="3"/>
  <c r="O1243" i="3"/>
  <c r="T1243" i="3"/>
  <c r="P1243" i="3"/>
  <c r="S1243" i="3"/>
  <c r="O1235" i="3"/>
  <c r="T95" i="11" l="1"/>
  <c r="T90" i="4"/>
  <c r="O1272" i="3"/>
  <c r="J90" i="4"/>
  <c r="L90" i="4" s="1"/>
  <c r="J95" i="11"/>
  <c r="L95" i="11" s="1"/>
  <c r="O1274" i="3"/>
  <c r="K90" i="4"/>
  <c r="M90" i="4" s="1"/>
  <c r="K95" i="11"/>
  <c r="M95" i="11" s="1"/>
  <c r="P90" i="4"/>
  <c r="P95" i="11"/>
  <c r="N94" i="11"/>
  <c r="V94" i="11" s="1"/>
  <c r="N89" i="4"/>
  <c r="Q95" i="11"/>
  <c r="Q90" i="4"/>
  <c r="O1236" i="3"/>
  <c r="DY192" i="5" s="1"/>
  <c r="DY191" i="5"/>
  <c r="O90" i="4"/>
  <c r="O95" i="11"/>
  <c r="R95" i="11"/>
  <c r="R90" i="4"/>
  <c r="U95" i="11"/>
  <c r="U90" i="4"/>
  <c r="O89" i="4"/>
  <c r="O94" i="11"/>
  <c r="S90" i="4"/>
  <c r="S95" i="11"/>
  <c r="P94" i="11"/>
  <c r="P89" i="4"/>
  <c r="T89" i="4"/>
  <c r="T94" i="11"/>
  <c r="Q94" i="11"/>
  <c r="Q89" i="4"/>
  <c r="U94" i="11"/>
  <c r="U89" i="4"/>
  <c r="R89" i="4"/>
  <c r="R94" i="11"/>
  <c r="S89" i="4"/>
  <c r="S94" i="11"/>
  <c r="N90" i="4"/>
  <c r="N95" i="11"/>
  <c r="S92" i="11"/>
  <c r="S87" i="4"/>
  <c r="Q87" i="4"/>
  <c r="Q92" i="11"/>
  <c r="R92" i="11"/>
  <c r="R87" i="4"/>
  <c r="U87" i="4"/>
  <c r="U92" i="11"/>
  <c r="O1204" i="3"/>
  <c r="DT192" i="5" s="1"/>
  <c r="J92" i="11"/>
  <c r="L92" i="11" s="1"/>
  <c r="J87" i="4"/>
  <c r="L87" i="4" s="1"/>
  <c r="N92" i="11"/>
  <c r="N87" i="4"/>
  <c r="P87" i="4"/>
  <c r="P92" i="11"/>
  <c r="O1206" i="3"/>
  <c r="DT194" i="5" s="1"/>
  <c r="K92" i="11"/>
  <c r="M92" i="11" s="1"/>
  <c r="K87" i="4"/>
  <c r="O92" i="11"/>
  <c r="O87" i="4"/>
  <c r="T92" i="11"/>
  <c r="T87" i="4"/>
  <c r="BO9" i="5"/>
  <c r="BO10" i="5"/>
  <c r="BO11" i="5"/>
  <c r="BO12" i="5"/>
  <c r="BO13" i="5"/>
  <c r="BO14" i="5"/>
  <c r="BO15" i="5"/>
  <c r="BO16" i="5"/>
  <c r="BO17" i="5"/>
  <c r="BO18" i="5"/>
  <c r="BO19" i="5"/>
  <c r="BO20" i="5"/>
  <c r="BO21" i="5"/>
  <c r="BO22" i="5"/>
  <c r="BO23" i="5"/>
  <c r="BO24" i="5"/>
  <c r="BO25" i="5"/>
  <c r="BO26" i="5"/>
  <c r="BO27" i="5"/>
  <c r="BO28" i="5"/>
  <c r="BO29" i="5"/>
  <c r="BO30" i="5"/>
  <c r="BO31" i="5"/>
  <c r="BO32" i="5"/>
  <c r="BO33" i="5"/>
  <c r="BO34" i="5"/>
  <c r="BO35" i="5"/>
  <c r="BO36" i="5"/>
  <c r="BO37" i="5"/>
  <c r="BO38" i="5"/>
  <c r="BO39" i="5"/>
  <c r="BO40" i="5"/>
  <c r="BO41" i="5"/>
  <c r="BO42" i="5"/>
  <c r="BO43" i="5"/>
  <c r="BO44" i="5"/>
  <c r="BO45" i="5"/>
  <c r="BO46" i="5"/>
  <c r="BO47" i="5"/>
  <c r="BO48" i="5"/>
  <c r="BO49" i="5"/>
  <c r="BO50" i="5"/>
  <c r="BO51" i="5"/>
  <c r="BO52" i="5"/>
  <c r="BO53" i="5"/>
  <c r="BO54" i="5"/>
  <c r="BO55" i="5"/>
  <c r="BO56" i="5"/>
  <c r="BO57" i="5"/>
  <c r="BO58" i="5"/>
  <c r="BO59" i="5"/>
  <c r="BO60" i="5"/>
  <c r="BO61" i="5"/>
  <c r="BO62" i="5"/>
  <c r="BM9" i="5"/>
  <c r="BN9" i="5"/>
  <c r="BM10" i="5"/>
  <c r="BN10" i="5"/>
  <c r="BM11" i="5"/>
  <c r="BN11" i="5"/>
  <c r="BM12" i="5"/>
  <c r="BN12" i="5"/>
  <c r="BM13" i="5"/>
  <c r="BN13" i="5"/>
  <c r="BM14" i="5"/>
  <c r="BN14" i="5"/>
  <c r="BM15" i="5"/>
  <c r="BN15" i="5"/>
  <c r="BM16" i="5"/>
  <c r="BN16" i="5"/>
  <c r="BM17" i="5"/>
  <c r="BN17" i="5"/>
  <c r="BM18" i="5"/>
  <c r="BN18" i="5"/>
  <c r="BM19" i="5"/>
  <c r="BN19" i="5"/>
  <c r="BM20" i="5"/>
  <c r="BN20" i="5"/>
  <c r="BM21" i="5"/>
  <c r="BN21" i="5"/>
  <c r="BM22" i="5"/>
  <c r="BN22" i="5"/>
  <c r="BM23" i="5"/>
  <c r="BN23" i="5"/>
  <c r="BM24" i="5"/>
  <c r="BN24" i="5"/>
  <c r="BM25" i="5"/>
  <c r="BN25" i="5"/>
  <c r="BM26" i="5"/>
  <c r="BN26" i="5"/>
  <c r="BM27" i="5"/>
  <c r="BN27" i="5"/>
  <c r="BM28" i="5"/>
  <c r="BN28" i="5"/>
  <c r="BM29" i="5"/>
  <c r="BN29" i="5"/>
  <c r="BM30" i="5"/>
  <c r="BN30" i="5"/>
  <c r="BM31" i="5"/>
  <c r="BN31" i="5"/>
  <c r="BM32" i="5"/>
  <c r="BN32" i="5"/>
  <c r="BM33" i="5"/>
  <c r="BN33" i="5"/>
  <c r="BM34" i="5"/>
  <c r="BN34" i="5"/>
  <c r="BM35" i="5"/>
  <c r="BN35" i="5"/>
  <c r="BM36" i="5"/>
  <c r="BN36" i="5"/>
  <c r="BM37" i="5"/>
  <c r="BN37" i="5"/>
  <c r="BM38" i="5"/>
  <c r="BN38" i="5"/>
  <c r="BM39" i="5"/>
  <c r="BN39" i="5"/>
  <c r="BM40" i="5"/>
  <c r="BN40" i="5"/>
  <c r="BM41" i="5"/>
  <c r="BN41" i="5"/>
  <c r="BM42" i="5"/>
  <c r="BN42" i="5"/>
  <c r="BM43" i="5"/>
  <c r="BN43" i="5"/>
  <c r="BM44" i="5"/>
  <c r="BN44" i="5"/>
  <c r="BM45" i="5"/>
  <c r="BN45" i="5"/>
  <c r="BM46" i="5"/>
  <c r="BN46" i="5"/>
  <c r="BM47" i="5"/>
  <c r="BN47" i="5"/>
  <c r="BM48" i="5"/>
  <c r="BN48" i="5"/>
  <c r="BM49" i="5"/>
  <c r="BN49" i="5"/>
  <c r="BM50" i="5"/>
  <c r="BN50" i="5"/>
  <c r="BM51" i="5"/>
  <c r="BN51" i="5"/>
  <c r="BM52" i="5"/>
  <c r="BN52" i="5"/>
  <c r="BM53" i="5"/>
  <c r="BN53" i="5"/>
  <c r="BM54" i="5"/>
  <c r="BN54" i="5"/>
  <c r="BM55" i="5"/>
  <c r="BN55" i="5"/>
  <c r="BM56" i="5"/>
  <c r="BN56" i="5"/>
  <c r="BM57" i="5"/>
  <c r="BN57" i="5"/>
  <c r="BM58" i="5"/>
  <c r="BN58" i="5"/>
  <c r="BM59" i="5"/>
  <c r="BN59" i="5"/>
  <c r="BM60" i="5"/>
  <c r="BN60" i="5"/>
  <c r="BM61" i="5"/>
  <c r="BN61" i="5"/>
  <c r="BM62" i="5"/>
  <c r="BN62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5" i="5"/>
  <c r="BJ36" i="5"/>
  <c r="BJ37" i="5"/>
  <c r="BJ38" i="5"/>
  <c r="BJ39" i="5"/>
  <c r="BJ40" i="5"/>
  <c r="BJ41" i="5"/>
  <c r="BJ42" i="5"/>
  <c r="BJ43" i="5"/>
  <c r="BJ44" i="5"/>
  <c r="BJ45" i="5"/>
  <c r="BJ46" i="5"/>
  <c r="BJ47" i="5"/>
  <c r="BJ48" i="5"/>
  <c r="BJ49" i="5"/>
  <c r="BJ50" i="5"/>
  <c r="BJ51" i="5"/>
  <c r="BJ52" i="5"/>
  <c r="BJ53" i="5"/>
  <c r="BJ54" i="5"/>
  <c r="BJ55" i="5"/>
  <c r="BJ56" i="5"/>
  <c r="BJ57" i="5"/>
  <c r="BJ58" i="5"/>
  <c r="BJ59" i="5"/>
  <c r="BJ60" i="5"/>
  <c r="BJ61" i="5"/>
  <c r="BJ62" i="5"/>
  <c r="BH9" i="5"/>
  <c r="BI9" i="5"/>
  <c r="BH10" i="5"/>
  <c r="BI10" i="5"/>
  <c r="BH11" i="5"/>
  <c r="BI11" i="5"/>
  <c r="BH12" i="5"/>
  <c r="BI12" i="5"/>
  <c r="BH13" i="5"/>
  <c r="BI13" i="5"/>
  <c r="BH14" i="5"/>
  <c r="BI14" i="5"/>
  <c r="BH15" i="5"/>
  <c r="BI15" i="5"/>
  <c r="BH16" i="5"/>
  <c r="BI16" i="5"/>
  <c r="BH17" i="5"/>
  <c r="BI17" i="5"/>
  <c r="BH18" i="5"/>
  <c r="BI18" i="5"/>
  <c r="BH19" i="5"/>
  <c r="BI19" i="5"/>
  <c r="BH20" i="5"/>
  <c r="BI20" i="5"/>
  <c r="BH21" i="5"/>
  <c r="BI21" i="5"/>
  <c r="BH22" i="5"/>
  <c r="BI22" i="5"/>
  <c r="BH23" i="5"/>
  <c r="BI23" i="5"/>
  <c r="BH24" i="5"/>
  <c r="BI24" i="5"/>
  <c r="BH25" i="5"/>
  <c r="BI25" i="5"/>
  <c r="BH26" i="5"/>
  <c r="BI26" i="5"/>
  <c r="BH27" i="5"/>
  <c r="BI27" i="5"/>
  <c r="BH28" i="5"/>
  <c r="BI28" i="5"/>
  <c r="BH29" i="5"/>
  <c r="BI29" i="5"/>
  <c r="BH30" i="5"/>
  <c r="BI30" i="5"/>
  <c r="BH31" i="5"/>
  <c r="BI31" i="5"/>
  <c r="BH32" i="5"/>
  <c r="BI32" i="5"/>
  <c r="BH33" i="5"/>
  <c r="BI33" i="5"/>
  <c r="BH34" i="5"/>
  <c r="BI34" i="5"/>
  <c r="BH35" i="5"/>
  <c r="BI35" i="5"/>
  <c r="BH36" i="5"/>
  <c r="BI36" i="5"/>
  <c r="BH37" i="5"/>
  <c r="BI37" i="5"/>
  <c r="BH38" i="5"/>
  <c r="BI38" i="5"/>
  <c r="BH39" i="5"/>
  <c r="BI39" i="5"/>
  <c r="BH40" i="5"/>
  <c r="BI40" i="5"/>
  <c r="BH41" i="5"/>
  <c r="BI41" i="5"/>
  <c r="BH42" i="5"/>
  <c r="BI42" i="5"/>
  <c r="BH43" i="5"/>
  <c r="BI43" i="5"/>
  <c r="BH44" i="5"/>
  <c r="BI44" i="5"/>
  <c r="BH45" i="5"/>
  <c r="BI45" i="5"/>
  <c r="BH46" i="5"/>
  <c r="BI46" i="5"/>
  <c r="BH47" i="5"/>
  <c r="BI47" i="5"/>
  <c r="BH48" i="5"/>
  <c r="BI48" i="5"/>
  <c r="BH49" i="5"/>
  <c r="BI49" i="5"/>
  <c r="BH50" i="5"/>
  <c r="BI50" i="5"/>
  <c r="BH51" i="5"/>
  <c r="BI51" i="5"/>
  <c r="BH52" i="5"/>
  <c r="BI52" i="5"/>
  <c r="BH53" i="5"/>
  <c r="BI53" i="5"/>
  <c r="BH54" i="5"/>
  <c r="BI54" i="5"/>
  <c r="BH55" i="5"/>
  <c r="BI55" i="5"/>
  <c r="BH56" i="5"/>
  <c r="BI56" i="5"/>
  <c r="BH57" i="5"/>
  <c r="BI57" i="5"/>
  <c r="BH58" i="5"/>
  <c r="BI58" i="5"/>
  <c r="BH59" i="5"/>
  <c r="BI59" i="5"/>
  <c r="BH60" i="5"/>
  <c r="BI60" i="5"/>
  <c r="BH61" i="5"/>
  <c r="BI61" i="5"/>
  <c r="BH62" i="5"/>
  <c r="BI62" i="5"/>
  <c r="BE9" i="5"/>
  <c r="BE10" i="5"/>
  <c r="BE11" i="5"/>
  <c r="BE12" i="5"/>
  <c r="BE13" i="5"/>
  <c r="BE14" i="5"/>
  <c r="BE15" i="5"/>
  <c r="BE16" i="5"/>
  <c r="BE17" i="5"/>
  <c r="BE18" i="5"/>
  <c r="BE19" i="5"/>
  <c r="BE20" i="5"/>
  <c r="BE21" i="5"/>
  <c r="BE22" i="5"/>
  <c r="BE23" i="5"/>
  <c r="BE24" i="5"/>
  <c r="BE25" i="5"/>
  <c r="BE26" i="5"/>
  <c r="BE27" i="5"/>
  <c r="BE28" i="5"/>
  <c r="BE29" i="5"/>
  <c r="BE30" i="5"/>
  <c r="BE31" i="5"/>
  <c r="BE32" i="5"/>
  <c r="BE33" i="5"/>
  <c r="BE34" i="5"/>
  <c r="BE35" i="5"/>
  <c r="BE36" i="5"/>
  <c r="BE37" i="5"/>
  <c r="BE38" i="5"/>
  <c r="BE39" i="5"/>
  <c r="BE40" i="5"/>
  <c r="BE41" i="5"/>
  <c r="BE42" i="5"/>
  <c r="BE43" i="5"/>
  <c r="BE44" i="5"/>
  <c r="BE45" i="5"/>
  <c r="BE46" i="5"/>
  <c r="BE47" i="5"/>
  <c r="BE48" i="5"/>
  <c r="BE49" i="5"/>
  <c r="BE50" i="5"/>
  <c r="BE51" i="5"/>
  <c r="BE52" i="5"/>
  <c r="BE53" i="5"/>
  <c r="BE54" i="5"/>
  <c r="BE55" i="5"/>
  <c r="BE56" i="5"/>
  <c r="BE57" i="5"/>
  <c r="BE58" i="5"/>
  <c r="BE59" i="5"/>
  <c r="BE60" i="5"/>
  <c r="BE61" i="5"/>
  <c r="BE62" i="5"/>
  <c r="BC9" i="5"/>
  <c r="BD9" i="5"/>
  <c r="BC10" i="5"/>
  <c r="BD10" i="5"/>
  <c r="BC11" i="5"/>
  <c r="BD11" i="5"/>
  <c r="BC12" i="5"/>
  <c r="BD12" i="5"/>
  <c r="BC13" i="5"/>
  <c r="BD13" i="5"/>
  <c r="BC14" i="5"/>
  <c r="BD14" i="5"/>
  <c r="BC15" i="5"/>
  <c r="BD15" i="5"/>
  <c r="BC16" i="5"/>
  <c r="BD16" i="5"/>
  <c r="BC17" i="5"/>
  <c r="BD17" i="5"/>
  <c r="BC18" i="5"/>
  <c r="BD18" i="5"/>
  <c r="BC19" i="5"/>
  <c r="BD19" i="5"/>
  <c r="BC20" i="5"/>
  <c r="BD20" i="5"/>
  <c r="BC21" i="5"/>
  <c r="BD21" i="5"/>
  <c r="BC22" i="5"/>
  <c r="BD22" i="5"/>
  <c r="BC23" i="5"/>
  <c r="BD23" i="5"/>
  <c r="BC24" i="5"/>
  <c r="BD24" i="5"/>
  <c r="BC25" i="5"/>
  <c r="BD25" i="5"/>
  <c r="BC26" i="5"/>
  <c r="BD26" i="5"/>
  <c r="BC27" i="5"/>
  <c r="BD27" i="5"/>
  <c r="BC28" i="5"/>
  <c r="BD28" i="5"/>
  <c r="BC29" i="5"/>
  <c r="BD29" i="5"/>
  <c r="BC30" i="5"/>
  <c r="BD30" i="5"/>
  <c r="BC31" i="5"/>
  <c r="BD31" i="5"/>
  <c r="BC32" i="5"/>
  <c r="BD32" i="5"/>
  <c r="BC33" i="5"/>
  <c r="BD33" i="5"/>
  <c r="BC34" i="5"/>
  <c r="BD34" i="5"/>
  <c r="BC35" i="5"/>
  <c r="BD35" i="5"/>
  <c r="BC36" i="5"/>
  <c r="BD36" i="5"/>
  <c r="BC37" i="5"/>
  <c r="BD37" i="5"/>
  <c r="BC38" i="5"/>
  <c r="BD38" i="5"/>
  <c r="BC39" i="5"/>
  <c r="BD39" i="5"/>
  <c r="BC40" i="5"/>
  <c r="BD40" i="5"/>
  <c r="BC41" i="5"/>
  <c r="BD41" i="5"/>
  <c r="BC42" i="5"/>
  <c r="BD42" i="5"/>
  <c r="BC43" i="5"/>
  <c r="BD43" i="5"/>
  <c r="BC44" i="5"/>
  <c r="BD44" i="5"/>
  <c r="BC45" i="5"/>
  <c r="BD45" i="5"/>
  <c r="BC46" i="5"/>
  <c r="BD46" i="5"/>
  <c r="BC47" i="5"/>
  <c r="BD47" i="5"/>
  <c r="BC48" i="5"/>
  <c r="BD48" i="5"/>
  <c r="BC49" i="5"/>
  <c r="BD49" i="5"/>
  <c r="BC50" i="5"/>
  <c r="BD50" i="5"/>
  <c r="BC51" i="5"/>
  <c r="BD51" i="5"/>
  <c r="BC52" i="5"/>
  <c r="BD52" i="5"/>
  <c r="BC53" i="5"/>
  <c r="BD53" i="5"/>
  <c r="BC54" i="5"/>
  <c r="BD54" i="5"/>
  <c r="BC55" i="5"/>
  <c r="BD55" i="5"/>
  <c r="BC56" i="5"/>
  <c r="BD56" i="5"/>
  <c r="BC57" i="5"/>
  <c r="BD57" i="5"/>
  <c r="BC58" i="5"/>
  <c r="BD58" i="5"/>
  <c r="BC59" i="5"/>
  <c r="BD59" i="5"/>
  <c r="BC60" i="5"/>
  <c r="BD60" i="5"/>
  <c r="BC61" i="5"/>
  <c r="BD61" i="5"/>
  <c r="BC62" i="5"/>
  <c r="BD62" i="5"/>
  <c r="AZ9" i="5"/>
  <c r="AZ10" i="5"/>
  <c r="AZ11" i="5"/>
  <c r="AZ12" i="5"/>
  <c r="AZ13" i="5"/>
  <c r="AZ14" i="5"/>
  <c r="AZ15" i="5"/>
  <c r="AZ16" i="5"/>
  <c r="AZ17" i="5"/>
  <c r="AZ18" i="5"/>
  <c r="AZ19" i="5"/>
  <c r="AZ20" i="5"/>
  <c r="AZ21" i="5"/>
  <c r="AZ22" i="5"/>
  <c r="AZ23" i="5"/>
  <c r="AZ24" i="5"/>
  <c r="AZ25" i="5"/>
  <c r="AZ26" i="5"/>
  <c r="AZ27" i="5"/>
  <c r="AZ28" i="5"/>
  <c r="AZ29" i="5"/>
  <c r="AZ30" i="5"/>
  <c r="AZ31" i="5"/>
  <c r="AZ32" i="5"/>
  <c r="AZ33" i="5"/>
  <c r="AZ34" i="5"/>
  <c r="AZ35" i="5"/>
  <c r="AZ36" i="5"/>
  <c r="AZ37" i="5"/>
  <c r="AZ38" i="5"/>
  <c r="AZ39" i="5"/>
  <c r="AZ40" i="5"/>
  <c r="AZ41" i="5"/>
  <c r="AZ42" i="5"/>
  <c r="AZ43" i="5"/>
  <c r="AZ44" i="5"/>
  <c r="AZ45" i="5"/>
  <c r="AZ46" i="5"/>
  <c r="AZ47" i="5"/>
  <c r="AZ48" i="5"/>
  <c r="AZ49" i="5"/>
  <c r="AZ50" i="5"/>
  <c r="AZ51" i="5"/>
  <c r="AZ52" i="5"/>
  <c r="AZ53" i="5"/>
  <c r="AZ54" i="5"/>
  <c r="AZ55" i="5"/>
  <c r="AZ56" i="5"/>
  <c r="AZ57" i="5"/>
  <c r="AZ58" i="5"/>
  <c r="AZ59" i="5"/>
  <c r="AZ60" i="5"/>
  <c r="AZ61" i="5"/>
  <c r="AZ62" i="5"/>
  <c r="AX9" i="5"/>
  <c r="AY9" i="5"/>
  <c r="AX10" i="5"/>
  <c r="AY10" i="5"/>
  <c r="AX11" i="5"/>
  <c r="AY11" i="5"/>
  <c r="AX12" i="5"/>
  <c r="AY12" i="5"/>
  <c r="AX13" i="5"/>
  <c r="AY13" i="5"/>
  <c r="AX14" i="5"/>
  <c r="AY14" i="5"/>
  <c r="AX15" i="5"/>
  <c r="AY15" i="5"/>
  <c r="AX16" i="5"/>
  <c r="AY16" i="5"/>
  <c r="AX17" i="5"/>
  <c r="AY17" i="5"/>
  <c r="AX18" i="5"/>
  <c r="AY18" i="5"/>
  <c r="AX19" i="5"/>
  <c r="AY19" i="5"/>
  <c r="AX20" i="5"/>
  <c r="AY20" i="5"/>
  <c r="AX21" i="5"/>
  <c r="AY21" i="5"/>
  <c r="AX22" i="5"/>
  <c r="AY22" i="5"/>
  <c r="AX23" i="5"/>
  <c r="AY23" i="5"/>
  <c r="AX24" i="5"/>
  <c r="AY24" i="5"/>
  <c r="AX25" i="5"/>
  <c r="AY25" i="5"/>
  <c r="AX26" i="5"/>
  <c r="AY26" i="5"/>
  <c r="AX27" i="5"/>
  <c r="AY27" i="5"/>
  <c r="AX28" i="5"/>
  <c r="AY28" i="5"/>
  <c r="AX29" i="5"/>
  <c r="AY29" i="5"/>
  <c r="AX30" i="5"/>
  <c r="AY30" i="5"/>
  <c r="AX31" i="5"/>
  <c r="AY31" i="5"/>
  <c r="AX32" i="5"/>
  <c r="AY32" i="5"/>
  <c r="AX33" i="5"/>
  <c r="AY33" i="5"/>
  <c r="AX34" i="5"/>
  <c r="AY34" i="5"/>
  <c r="AX35" i="5"/>
  <c r="AY35" i="5"/>
  <c r="AX36" i="5"/>
  <c r="AY36" i="5"/>
  <c r="AX37" i="5"/>
  <c r="AY37" i="5"/>
  <c r="AX38" i="5"/>
  <c r="AY38" i="5"/>
  <c r="AX39" i="5"/>
  <c r="AY39" i="5"/>
  <c r="AX40" i="5"/>
  <c r="AY40" i="5"/>
  <c r="AX41" i="5"/>
  <c r="AY41" i="5"/>
  <c r="AX42" i="5"/>
  <c r="AY42" i="5"/>
  <c r="AX43" i="5"/>
  <c r="AY43" i="5"/>
  <c r="AX44" i="5"/>
  <c r="AY44" i="5"/>
  <c r="AX45" i="5"/>
  <c r="AY45" i="5"/>
  <c r="AX46" i="5"/>
  <c r="AY46" i="5"/>
  <c r="AX47" i="5"/>
  <c r="AY47" i="5"/>
  <c r="AX48" i="5"/>
  <c r="AY48" i="5"/>
  <c r="AX49" i="5"/>
  <c r="AY49" i="5"/>
  <c r="AX50" i="5"/>
  <c r="AY50" i="5"/>
  <c r="AX51" i="5"/>
  <c r="AY51" i="5"/>
  <c r="AX52" i="5"/>
  <c r="AY52" i="5"/>
  <c r="AX53" i="5"/>
  <c r="AY53" i="5"/>
  <c r="AX54" i="5"/>
  <c r="AY54" i="5"/>
  <c r="AX55" i="5"/>
  <c r="AY55" i="5"/>
  <c r="AX56" i="5"/>
  <c r="AY56" i="5"/>
  <c r="AX57" i="5"/>
  <c r="AY57" i="5"/>
  <c r="AX58" i="5"/>
  <c r="AY58" i="5"/>
  <c r="AX59" i="5"/>
  <c r="AY59" i="5"/>
  <c r="AX60" i="5"/>
  <c r="AY60" i="5"/>
  <c r="AX61" i="5"/>
  <c r="AY61" i="5"/>
  <c r="AX62" i="5"/>
  <c r="AY62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S9" i="5"/>
  <c r="AT9" i="5"/>
  <c r="AS10" i="5"/>
  <c r="AT10" i="5"/>
  <c r="AS11" i="5"/>
  <c r="AT11" i="5"/>
  <c r="AS12" i="5"/>
  <c r="AT12" i="5"/>
  <c r="AS13" i="5"/>
  <c r="AT13" i="5"/>
  <c r="AS14" i="5"/>
  <c r="AT14" i="5"/>
  <c r="AS15" i="5"/>
  <c r="AT15" i="5"/>
  <c r="AS16" i="5"/>
  <c r="AT16" i="5"/>
  <c r="AS17" i="5"/>
  <c r="AT17" i="5"/>
  <c r="AS18" i="5"/>
  <c r="AT18" i="5"/>
  <c r="AS19" i="5"/>
  <c r="AT19" i="5"/>
  <c r="AS20" i="5"/>
  <c r="AT20" i="5"/>
  <c r="AS21" i="5"/>
  <c r="AT21" i="5"/>
  <c r="AS22" i="5"/>
  <c r="AT22" i="5"/>
  <c r="AS23" i="5"/>
  <c r="AT23" i="5"/>
  <c r="AS24" i="5"/>
  <c r="AT24" i="5"/>
  <c r="AS25" i="5"/>
  <c r="AT25" i="5"/>
  <c r="AS26" i="5"/>
  <c r="AT26" i="5"/>
  <c r="AS27" i="5"/>
  <c r="AT27" i="5"/>
  <c r="AS28" i="5"/>
  <c r="AT28" i="5"/>
  <c r="AS29" i="5"/>
  <c r="AT29" i="5"/>
  <c r="AS30" i="5"/>
  <c r="AT30" i="5"/>
  <c r="AS31" i="5"/>
  <c r="AT31" i="5"/>
  <c r="AS32" i="5"/>
  <c r="AT32" i="5"/>
  <c r="AS33" i="5"/>
  <c r="AT33" i="5"/>
  <c r="AS34" i="5"/>
  <c r="AT34" i="5"/>
  <c r="AS35" i="5"/>
  <c r="AT35" i="5"/>
  <c r="AS36" i="5"/>
  <c r="AT36" i="5"/>
  <c r="AS37" i="5"/>
  <c r="AT37" i="5"/>
  <c r="AS38" i="5"/>
  <c r="AT38" i="5"/>
  <c r="AS39" i="5"/>
  <c r="AT39" i="5"/>
  <c r="AS40" i="5"/>
  <c r="AT40" i="5"/>
  <c r="AS41" i="5"/>
  <c r="AT41" i="5"/>
  <c r="AS42" i="5"/>
  <c r="AT42" i="5"/>
  <c r="AS43" i="5"/>
  <c r="AT43" i="5"/>
  <c r="AS44" i="5"/>
  <c r="AT44" i="5"/>
  <c r="AS45" i="5"/>
  <c r="AT45" i="5"/>
  <c r="AS46" i="5"/>
  <c r="AT46" i="5"/>
  <c r="AS47" i="5"/>
  <c r="AT47" i="5"/>
  <c r="AS48" i="5"/>
  <c r="AT48" i="5"/>
  <c r="AS49" i="5"/>
  <c r="AT49" i="5"/>
  <c r="AS50" i="5"/>
  <c r="AT50" i="5"/>
  <c r="AS51" i="5"/>
  <c r="AT51" i="5"/>
  <c r="AS52" i="5"/>
  <c r="AT52" i="5"/>
  <c r="AS53" i="5"/>
  <c r="AT53" i="5"/>
  <c r="AS54" i="5"/>
  <c r="AT54" i="5"/>
  <c r="AS55" i="5"/>
  <c r="AT55" i="5"/>
  <c r="AS56" i="5"/>
  <c r="AT56" i="5"/>
  <c r="AS57" i="5"/>
  <c r="AT57" i="5"/>
  <c r="AS58" i="5"/>
  <c r="AT58" i="5"/>
  <c r="AS59" i="5"/>
  <c r="AT59" i="5"/>
  <c r="AS60" i="5"/>
  <c r="AT60" i="5"/>
  <c r="AS61" i="5"/>
  <c r="AT61" i="5"/>
  <c r="AS62" i="5"/>
  <c r="AT62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P25" i="5"/>
  <c r="AP26" i="5"/>
  <c r="AP27" i="5"/>
  <c r="AP28" i="5"/>
  <c r="AP29" i="5"/>
  <c r="AP30" i="5"/>
  <c r="AP31" i="5"/>
  <c r="AP32" i="5"/>
  <c r="AP33" i="5"/>
  <c r="AP34" i="5"/>
  <c r="AP35" i="5"/>
  <c r="AP36" i="5"/>
  <c r="AP37" i="5"/>
  <c r="AP38" i="5"/>
  <c r="AP39" i="5"/>
  <c r="AP40" i="5"/>
  <c r="AP41" i="5"/>
  <c r="AP42" i="5"/>
  <c r="AP43" i="5"/>
  <c r="AP44" i="5"/>
  <c r="AP45" i="5"/>
  <c r="AP46" i="5"/>
  <c r="AP47" i="5"/>
  <c r="AP48" i="5"/>
  <c r="AP49" i="5"/>
  <c r="AP50" i="5"/>
  <c r="AP51" i="5"/>
  <c r="AP52" i="5"/>
  <c r="AP53" i="5"/>
  <c r="AP54" i="5"/>
  <c r="AP55" i="5"/>
  <c r="AP56" i="5"/>
  <c r="AP57" i="5"/>
  <c r="AP58" i="5"/>
  <c r="AP59" i="5"/>
  <c r="AP60" i="5"/>
  <c r="AP61" i="5"/>
  <c r="AP62" i="5"/>
  <c r="AN9" i="5"/>
  <c r="AO9" i="5"/>
  <c r="AN10" i="5"/>
  <c r="AO10" i="5"/>
  <c r="AN11" i="5"/>
  <c r="AO11" i="5"/>
  <c r="AN12" i="5"/>
  <c r="AO12" i="5"/>
  <c r="AN13" i="5"/>
  <c r="AO13" i="5"/>
  <c r="AN14" i="5"/>
  <c r="AO14" i="5"/>
  <c r="AN15" i="5"/>
  <c r="AO15" i="5"/>
  <c r="AN16" i="5"/>
  <c r="AO16" i="5"/>
  <c r="AN17" i="5"/>
  <c r="AO17" i="5"/>
  <c r="AN18" i="5"/>
  <c r="AO18" i="5"/>
  <c r="AN19" i="5"/>
  <c r="AO19" i="5"/>
  <c r="AN20" i="5"/>
  <c r="AO20" i="5"/>
  <c r="AN21" i="5"/>
  <c r="AO21" i="5"/>
  <c r="AN22" i="5"/>
  <c r="AO22" i="5"/>
  <c r="AN23" i="5"/>
  <c r="AO23" i="5"/>
  <c r="AN24" i="5"/>
  <c r="AO24" i="5"/>
  <c r="AN25" i="5"/>
  <c r="AO25" i="5"/>
  <c r="AN26" i="5"/>
  <c r="AO26" i="5"/>
  <c r="AN27" i="5"/>
  <c r="AO27" i="5"/>
  <c r="AN28" i="5"/>
  <c r="AO28" i="5"/>
  <c r="AN29" i="5"/>
  <c r="AO29" i="5"/>
  <c r="AN30" i="5"/>
  <c r="AO30" i="5"/>
  <c r="AN31" i="5"/>
  <c r="AO31" i="5"/>
  <c r="AN32" i="5"/>
  <c r="AO32" i="5"/>
  <c r="AN33" i="5"/>
  <c r="AO33" i="5"/>
  <c r="AN34" i="5"/>
  <c r="AO34" i="5"/>
  <c r="AN35" i="5"/>
  <c r="AO35" i="5"/>
  <c r="AN36" i="5"/>
  <c r="AO36" i="5"/>
  <c r="AN37" i="5"/>
  <c r="AO37" i="5"/>
  <c r="AN38" i="5"/>
  <c r="AO38" i="5"/>
  <c r="AN39" i="5"/>
  <c r="AO39" i="5"/>
  <c r="AN40" i="5"/>
  <c r="AO40" i="5"/>
  <c r="AN41" i="5"/>
  <c r="AO41" i="5"/>
  <c r="AN42" i="5"/>
  <c r="AO42" i="5"/>
  <c r="AN43" i="5"/>
  <c r="AO43" i="5"/>
  <c r="AN44" i="5"/>
  <c r="AO44" i="5"/>
  <c r="AN45" i="5"/>
  <c r="AO45" i="5"/>
  <c r="AN46" i="5"/>
  <c r="AO46" i="5"/>
  <c r="AN47" i="5"/>
  <c r="AO47" i="5"/>
  <c r="AN48" i="5"/>
  <c r="AO48" i="5"/>
  <c r="AN49" i="5"/>
  <c r="AO49" i="5"/>
  <c r="AN50" i="5"/>
  <c r="AO50" i="5"/>
  <c r="AN51" i="5"/>
  <c r="AO51" i="5"/>
  <c r="AN52" i="5"/>
  <c r="AO52" i="5"/>
  <c r="AN53" i="5"/>
  <c r="AO53" i="5"/>
  <c r="AN54" i="5"/>
  <c r="AO54" i="5"/>
  <c r="AN55" i="5"/>
  <c r="AO55" i="5"/>
  <c r="AN56" i="5"/>
  <c r="AO56" i="5"/>
  <c r="AN57" i="5"/>
  <c r="AO57" i="5"/>
  <c r="AN58" i="5"/>
  <c r="AO58" i="5"/>
  <c r="AN59" i="5"/>
  <c r="AO59" i="5"/>
  <c r="AN60" i="5"/>
  <c r="AO60" i="5"/>
  <c r="AN61" i="5"/>
  <c r="AO61" i="5"/>
  <c r="AN62" i="5"/>
  <c r="AO62" i="5"/>
  <c r="AK9" i="5"/>
  <c r="AK10" i="5"/>
  <c r="AK11" i="5"/>
  <c r="AK12" i="5"/>
  <c r="AK13" i="5"/>
  <c r="AK14" i="5"/>
  <c r="AK15" i="5"/>
  <c r="AK16" i="5"/>
  <c r="AK17" i="5"/>
  <c r="AK18" i="5"/>
  <c r="AK19" i="5"/>
  <c r="AK20" i="5"/>
  <c r="AK21" i="5"/>
  <c r="AK22" i="5"/>
  <c r="AK23" i="5"/>
  <c r="AK24" i="5"/>
  <c r="AK25" i="5"/>
  <c r="AK26" i="5"/>
  <c r="AK27" i="5"/>
  <c r="AK28" i="5"/>
  <c r="AK29" i="5"/>
  <c r="AK30" i="5"/>
  <c r="AK31" i="5"/>
  <c r="AK32" i="5"/>
  <c r="AK33" i="5"/>
  <c r="AK34" i="5"/>
  <c r="AK35" i="5"/>
  <c r="AK36" i="5"/>
  <c r="AK37" i="5"/>
  <c r="AK38" i="5"/>
  <c r="AK39" i="5"/>
  <c r="AK40" i="5"/>
  <c r="AK41" i="5"/>
  <c r="AK42" i="5"/>
  <c r="AK43" i="5"/>
  <c r="AK44" i="5"/>
  <c r="AK45" i="5"/>
  <c r="AK46" i="5"/>
  <c r="AK47" i="5"/>
  <c r="AK48" i="5"/>
  <c r="AK49" i="5"/>
  <c r="AK50" i="5"/>
  <c r="AK51" i="5"/>
  <c r="AK52" i="5"/>
  <c r="AK53" i="5"/>
  <c r="AK54" i="5"/>
  <c r="AK55" i="5"/>
  <c r="AK56" i="5"/>
  <c r="AK57" i="5"/>
  <c r="AK58" i="5"/>
  <c r="AK59" i="5"/>
  <c r="AK60" i="5"/>
  <c r="AK61" i="5"/>
  <c r="AK62" i="5"/>
  <c r="AI9" i="5"/>
  <c r="AJ9" i="5"/>
  <c r="AI10" i="5"/>
  <c r="AJ10" i="5"/>
  <c r="AI11" i="5"/>
  <c r="AJ11" i="5"/>
  <c r="AI12" i="5"/>
  <c r="AJ12" i="5"/>
  <c r="AI13" i="5"/>
  <c r="AJ13" i="5"/>
  <c r="AI14" i="5"/>
  <c r="AJ14" i="5"/>
  <c r="AI15" i="5"/>
  <c r="AJ15" i="5"/>
  <c r="AI16" i="5"/>
  <c r="AJ16" i="5"/>
  <c r="AI17" i="5"/>
  <c r="AJ17" i="5"/>
  <c r="AI18" i="5"/>
  <c r="AJ18" i="5"/>
  <c r="AI19" i="5"/>
  <c r="AJ19" i="5"/>
  <c r="AI20" i="5"/>
  <c r="AJ20" i="5"/>
  <c r="AI21" i="5"/>
  <c r="AJ21" i="5"/>
  <c r="AI22" i="5"/>
  <c r="AJ22" i="5"/>
  <c r="AI23" i="5"/>
  <c r="AJ23" i="5"/>
  <c r="AI24" i="5"/>
  <c r="AJ24" i="5"/>
  <c r="AI25" i="5"/>
  <c r="AJ25" i="5"/>
  <c r="AI26" i="5"/>
  <c r="AJ26" i="5"/>
  <c r="AI27" i="5"/>
  <c r="AJ27" i="5"/>
  <c r="AI28" i="5"/>
  <c r="AJ28" i="5"/>
  <c r="AI29" i="5"/>
  <c r="AJ29" i="5"/>
  <c r="AI30" i="5"/>
  <c r="AJ30" i="5"/>
  <c r="AI31" i="5"/>
  <c r="AJ31" i="5"/>
  <c r="AI32" i="5"/>
  <c r="AJ32" i="5"/>
  <c r="AI33" i="5"/>
  <c r="AJ33" i="5"/>
  <c r="AI34" i="5"/>
  <c r="AJ34" i="5"/>
  <c r="AI35" i="5"/>
  <c r="AJ35" i="5"/>
  <c r="AI36" i="5"/>
  <c r="AJ36" i="5"/>
  <c r="AI37" i="5"/>
  <c r="AJ37" i="5"/>
  <c r="AI38" i="5"/>
  <c r="AJ38" i="5"/>
  <c r="AI39" i="5"/>
  <c r="AJ39" i="5"/>
  <c r="AI40" i="5"/>
  <c r="AJ40" i="5"/>
  <c r="AI41" i="5"/>
  <c r="AJ41" i="5"/>
  <c r="AI42" i="5"/>
  <c r="AJ42" i="5"/>
  <c r="AI43" i="5"/>
  <c r="AJ43" i="5"/>
  <c r="AI44" i="5"/>
  <c r="AJ44" i="5"/>
  <c r="AI45" i="5"/>
  <c r="AJ45" i="5"/>
  <c r="AI46" i="5"/>
  <c r="AJ46" i="5"/>
  <c r="AI47" i="5"/>
  <c r="AJ47" i="5"/>
  <c r="AI48" i="5"/>
  <c r="AJ48" i="5"/>
  <c r="AI49" i="5"/>
  <c r="AJ49" i="5"/>
  <c r="AI50" i="5"/>
  <c r="AJ50" i="5"/>
  <c r="AI51" i="5"/>
  <c r="AJ51" i="5"/>
  <c r="AI52" i="5"/>
  <c r="AJ52" i="5"/>
  <c r="AI53" i="5"/>
  <c r="AJ53" i="5"/>
  <c r="AI54" i="5"/>
  <c r="AJ54" i="5"/>
  <c r="AI55" i="5"/>
  <c r="AJ55" i="5"/>
  <c r="AI56" i="5"/>
  <c r="AJ56" i="5"/>
  <c r="AI57" i="5"/>
  <c r="AJ57" i="5"/>
  <c r="AI58" i="5"/>
  <c r="AJ58" i="5"/>
  <c r="AI59" i="5"/>
  <c r="AJ59" i="5"/>
  <c r="AI60" i="5"/>
  <c r="AJ60" i="5"/>
  <c r="AI61" i="5"/>
  <c r="AJ61" i="5"/>
  <c r="AI62" i="5"/>
  <c r="AJ62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D9" i="5"/>
  <c r="AE9" i="5"/>
  <c r="AD10" i="5"/>
  <c r="AE10" i="5"/>
  <c r="AD11" i="5"/>
  <c r="AE11" i="5"/>
  <c r="AD12" i="5"/>
  <c r="AE12" i="5"/>
  <c r="AD13" i="5"/>
  <c r="AE13" i="5"/>
  <c r="AD14" i="5"/>
  <c r="AE14" i="5"/>
  <c r="AD15" i="5"/>
  <c r="AE15" i="5"/>
  <c r="AD16" i="5"/>
  <c r="AE16" i="5"/>
  <c r="AD17" i="5"/>
  <c r="AE17" i="5"/>
  <c r="AD18" i="5"/>
  <c r="AE18" i="5"/>
  <c r="AD19" i="5"/>
  <c r="AE19" i="5"/>
  <c r="AD20" i="5"/>
  <c r="AE20" i="5"/>
  <c r="AD21" i="5"/>
  <c r="AE21" i="5"/>
  <c r="AD22" i="5"/>
  <c r="AE22" i="5"/>
  <c r="AD23" i="5"/>
  <c r="AE23" i="5"/>
  <c r="AD24" i="5"/>
  <c r="AE24" i="5"/>
  <c r="AD25" i="5"/>
  <c r="AE25" i="5"/>
  <c r="AD26" i="5"/>
  <c r="AE26" i="5"/>
  <c r="AD27" i="5"/>
  <c r="AE27" i="5"/>
  <c r="AD28" i="5"/>
  <c r="AE28" i="5"/>
  <c r="AD29" i="5"/>
  <c r="AE29" i="5"/>
  <c r="AD30" i="5"/>
  <c r="AE30" i="5"/>
  <c r="AD31" i="5"/>
  <c r="AE31" i="5"/>
  <c r="AD32" i="5"/>
  <c r="AE32" i="5"/>
  <c r="AD33" i="5"/>
  <c r="AE33" i="5"/>
  <c r="AD34" i="5"/>
  <c r="AE34" i="5"/>
  <c r="AD35" i="5"/>
  <c r="AE35" i="5"/>
  <c r="AD36" i="5"/>
  <c r="AE36" i="5"/>
  <c r="AD37" i="5"/>
  <c r="AE37" i="5"/>
  <c r="AD38" i="5"/>
  <c r="AE38" i="5"/>
  <c r="AD39" i="5"/>
  <c r="AE39" i="5"/>
  <c r="AD40" i="5"/>
  <c r="AE40" i="5"/>
  <c r="AD41" i="5"/>
  <c r="AE41" i="5"/>
  <c r="AD42" i="5"/>
  <c r="AE42" i="5"/>
  <c r="AD43" i="5"/>
  <c r="AE43" i="5"/>
  <c r="AD44" i="5"/>
  <c r="AE44" i="5"/>
  <c r="AD45" i="5"/>
  <c r="AE45" i="5"/>
  <c r="AD46" i="5"/>
  <c r="AE46" i="5"/>
  <c r="AD47" i="5"/>
  <c r="AE47" i="5"/>
  <c r="AD48" i="5"/>
  <c r="AE48" i="5"/>
  <c r="AD49" i="5"/>
  <c r="AE49" i="5"/>
  <c r="AD50" i="5"/>
  <c r="AE50" i="5"/>
  <c r="AD51" i="5"/>
  <c r="AE51" i="5"/>
  <c r="AD52" i="5"/>
  <c r="AE52" i="5"/>
  <c r="AD53" i="5"/>
  <c r="AE53" i="5"/>
  <c r="AD54" i="5"/>
  <c r="AE54" i="5"/>
  <c r="AD55" i="5"/>
  <c r="AE55" i="5"/>
  <c r="AD56" i="5"/>
  <c r="AE56" i="5"/>
  <c r="AD57" i="5"/>
  <c r="AE57" i="5"/>
  <c r="AD58" i="5"/>
  <c r="AE58" i="5"/>
  <c r="AD59" i="5"/>
  <c r="AE59" i="5"/>
  <c r="AD60" i="5"/>
  <c r="AE60" i="5"/>
  <c r="AD61" i="5"/>
  <c r="AE61" i="5"/>
  <c r="AD62" i="5"/>
  <c r="AE62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Y9" i="5"/>
  <c r="Z9" i="5"/>
  <c r="Y10" i="5"/>
  <c r="Z10" i="5"/>
  <c r="Y11" i="5"/>
  <c r="Z11" i="5"/>
  <c r="Y12" i="5"/>
  <c r="Z12" i="5"/>
  <c r="Y13" i="5"/>
  <c r="Z13" i="5"/>
  <c r="Y14" i="5"/>
  <c r="Z14" i="5"/>
  <c r="Y15" i="5"/>
  <c r="Z15" i="5"/>
  <c r="Y16" i="5"/>
  <c r="Z16" i="5"/>
  <c r="Y17" i="5"/>
  <c r="Z17" i="5"/>
  <c r="Y18" i="5"/>
  <c r="Z18" i="5"/>
  <c r="Y19" i="5"/>
  <c r="Z19" i="5"/>
  <c r="Y20" i="5"/>
  <c r="Z20" i="5"/>
  <c r="Y21" i="5"/>
  <c r="Z21" i="5"/>
  <c r="Y22" i="5"/>
  <c r="Z22" i="5"/>
  <c r="Y23" i="5"/>
  <c r="Z23" i="5"/>
  <c r="Y24" i="5"/>
  <c r="Z24" i="5"/>
  <c r="Y25" i="5"/>
  <c r="Z25" i="5"/>
  <c r="Y26" i="5"/>
  <c r="Z26" i="5"/>
  <c r="Y27" i="5"/>
  <c r="Z27" i="5"/>
  <c r="Y28" i="5"/>
  <c r="Z28" i="5"/>
  <c r="Y29" i="5"/>
  <c r="Z29" i="5"/>
  <c r="Y30" i="5"/>
  <c r="Z30" i="5"/>
  <c r="Y31" i="5"/>
  <c r="Z31" i="5"/>
  <c r="Y32" i="5"/>
  <c r="Z32" i="5"/>
  <c r="Y33" i="5"/>
  <c r="Z33" i="5"/>
  <c r="Y34" i="5"/>
  <c r="Z34" i="5"/>
  <c r="Y35" i="5"/>
  <c r="Z35" i="5"/>
  <c r="Y36" i="5"/>
  <c r="Z36" i="5"/>
  <c r="Y37" i="5"/>
  <c r="Z37" i="5"/>
  <c r="Y38" i="5"/>
  <c r="Z38" i="5"/>
  <c r="Y39" i="5"/>
  <c r="Z39" i="5"/>
  <c r="Y40" i="5"/>
  <c r="Z40" i="5"/>
  <c r="Y41" i="5"/>
  <c r="Z41" i="5"/>
  <c r="Y42" i="5"/>
  <c r="Z42" i="5"/>
  <c r="Y43" i="5"/>
  <c r="Z43" i="5"/>
  <c r="Y44" i="5"/>
  <c r="Z44" i="5"/>
  <c r="Y45" i="5"/>
  <c r="Z45" i="5"/>
  <c r="Y46" i="5"/>
  <c r="Z46" i="5"/>
  <c r="Y47" i="5"/>
  <c r="Z47" i="5"/>
  <c r="Y48" i="5"/>
  <c r="Z48" i="5"/>
  <c r="Y49" i="5"/>
  <c r="Z49" i="5"/>
  <c r="Y50" i="5"/>
  <c r="Z50" i="5"/>
  <c r="Y51" i="5"/>
  <c r="Z51" i="5"/>
  <c r="Y52" i="5"/>
  <c r="Z52" i="5"/>
  <c r="Y53" i="5"/>
  <c r="Z53" i="5"/>
  <c r="Y54" i="5"/>
  <c r="Z54" i="5"/>
  <c r="Y55" i="5"/>
  <c r="Z55" i="5"/>
  <c r="Y56" i="5"/>
  <c r="Z56" i="5"/>
  <c r="Y57" i="5"/>
  <c r="Z57" i="5"/>
  <c r="Y58" i="5"/>
  <c r="Z58" i="5"/>
  <c r="Y59" i="5"/>
  <c r="Z59" i="5"/>
  <c r="Y60" i="5"/>
  <c r="Z60" i="5"/>
  <c r="Y61" i="5"/>
  <c r="Z61" i="5"/>
  <c r="Y62" i="5"/>
  <c r="Z62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95" i="11" l="1"/>
  <c r="AH85" i="5"/>
  <c r="AR85" i="5"/>
  <c r="BB85" i="5"/>
  <c r="BL85" i="5"/>
  <c r="V92" i="11"/>
  <c r="AH86" i="5"/>
  <c r="AR86" i="5"/>
  <c r="BB86" i="5"/>
  <c r="BL86" i="5"/>
  <c r="X86" i="5"/>
  <c r="AC86" i="5"/>
  <c r="AM86" i="5"/>
  <c r="AW86" i="5"/>
  <c r="BG86" i="5"/>
  <c r="BQ86" i="5"/>
  <c r="AC85" i="5"/>
  <c r="AM85" i="5"/>
  <c r="AW85" i="5"/>
  <c r="BG85" i="5"/>
  <c r="BQ85" i="5"/>
  <c r="T9" i="5"/>
  <c r="U9" i="5"/>
  <c r="T10" i="5"/>
  <c r="U10" i="5"/>
  <c r="T11" i="5"/>
  <c r="U11" i="5"/>
  <c r="T12" i="5"/>
  <c r="U12" i="5"/>
  <c r="T13" i="5"/>
  <c r="U13" i="5"/>
  <c r="T14" i="5"/>
  <c r="U14" i="5"/>
  <c r="T15" i="5"/>
  <c r="U15" i="5"/>
  <c r="T16" i="5"/>
  <c r="U16" i="5"/>
  <c r="T17" i="5"/>
  <c r="U17" i="5"/>
  <c r="T18" i="5"/>
  <c r="U18" i="5"/>
  <c r="T19" i="5"/>
  <c r="U19" i="5"/>
  <c r="T20" i="5"/>
  <c r="U20" i="5"/>
  <c r="T21" i="5"/>
  <c r="U21" i="5"/>
  <c r="T22" i="5"/>
  <c r="U22" i="5"/>
  <c r="T23" i="5"/>
  <c r="U23" i="5"/>
  <c r="T24" i="5"/>
  <c r="U24" i="5"/>
  <c r="T25" i="5"/>
  <c r="U25" i="5"/>
  <c r="T26" i="5"/>
  <c r="U26" i="5"/>
  <c r="T27" i="5"/>
  <c r="U27" i="5"/>
  <c r="T28" i="5"/>
  <c r="U28" i="5"/>
  <c r="T29" i="5"/>
  <c r="U29" i="5"/>
  <c r="T30" i="5"/>
  <c r="U30" i="5"/>
  <c r="T31" i="5"/>
  <c r="U31" i="5"/>
  <c r="T32" i="5"/>
  <c r="U32" i="5"/>
  <c r="T33" i="5"/>
  <c r="U33" i="5"/>
  <c r="T34" i="5"/>
  <c r="U34" i="5"/>
  <c r="T35" i="5"/>
  <c r="U35" i="5"/>
  <c r="T36" i="5"/>
  <c r="U36" i="5"/>
  <c r="T37" i="5"/>
  <c r="U37" i="5"/>
  <c r="T38" i="5"/>
  <c r="U38" i="5"/>
  <c r="T39" i="5"/>
  <c r="U39" i="5"/>
  <c r="T40" i="5"/>
  <c r="U40" i="5"/>
  <c r="T41" i="5"/>
  <c r="U41" i="5"/>
  <c r="T42" i="5"/>
  <c r="U42" i="5"/>
  <c r="T43" i="5"/>
  <c r="U43" i="5"/>
  <c r="T44" i="5"/>
  <c r="U44" i="5"/>
  <c r="T45" i="5"/>
  <c r="U45" i="5"/>
  <c r="T46" i="5"/>
  <c r="U46" i="5"/>
  <c r="T47" i="5"/>
  <c r="U47" i="5"/>
  <c r="T48" i="5"/>
  <c r="U48" i="5"/>
  <c r="T49" i="5"/>
  <c r="U49" i="5"/>
  <c r="T50" i="5"/>
  <c r="U50" i="5"/>
  <c r="T51" i="5"/>
  <c r="U51" i="5"/>
  <c r="T52" i="5"/>
  <c r="U52" i="5"/>
  <c r="T53" i="5"/>
  <c r="U53" i="5"/>
  <c r="T54" i="5"/>
  <c r="U54" i="5"/>
  <c r="T55" i="5"/>
  <c r="U55" i="5"/>
  <c r="T56" i="5"/>
  <c r="U56" i="5"/>
  <c r="T57" i="5"/>
  <c r="U57" i="5"/>
  <c r="T58" i="5"/>
  <c r="U58" i="5"/>
  <c r="T59" i="5"/>
  <c r="U59" i="5"/>
  <c r="T60" i="5"/>
  <c r="U60" i="5"/>
  <c r="T61" i="5"/>
  <c r="U61" i="5"/>
  <c r="T62" i="5"/>
  <c r="U62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O9" i="5"/>
  <c r="P9" i="5"/>
  <c r="O10" i="5"/>
  <c r="P10" i="5"/>
  <c r="O11" i="5"/>
  <c r="P11" i="5"/>
  <c r="O12" i="5"/>
  <c r="P12" i="5"/>
  <c r="O13" i="5"/>
  <c r="P13" i="5"/>
  <c r="O14" i="5"/>
  <c r="P14" i="5"/>
  <c r="O15" i="5"/>
  <c r="P15" i="5"/>
  <c r="O16" i="5"/>
  <c r="P16" i="5"/>
  <c r="O17" i="5"/>
  <c r="P17" i="5"/>
  <c r="O18" i="5"/>
  <c r="P18" i="5"/>
  <c r="O19" i="5"/>
  <c r="P19" i="5"/>
  <c r="O20" i="5"/>
  <c r="P20" i="5"/>
  <c r="O21" i="5"/>
  <c r="P21" i="5"/>
  <c r="O22" i="5"/>
  <c r="P22" i="5"/>
  <c r="O23" i="5"/>
  <c r="P23" i="5"/>
  <c r="O24" i="5"/>
  <c r="P24" i="5"/>
  <c r="O25" i="5"/>
  <c r="P25" i="5"/>
  <c r="O26" i="5"/>
  <c r="P26" i="5"/>
  <c r="O27" i="5"/>
  <c r="P27" i="5"/>
  <c r="O28" i="5"/>
  <c r="P28" i="5"/>
  <c r="O29" i="5"/>
  <c r="P29" i="5"/>
  <c r="O30" i="5"/>
  <c r="P30" i="5"/>
  <c r="O31" i="5"/>
  <c r="P31" i="5"/>
  <c r="O32" i="5"/>
  <c r="P32" i="5"/>
  <c r="O33" i="5"/>
  <c r="P33" i="5"/>
  <c r="O34" i="5"/>
  <c r="P34" i="5"/>
  <c r="O35" i="5"/>
  <c r="P35" i="5"/>
  <c r="O36" i="5"/>
  <c r="P36" i="5"/>
  <c r="O37" i="5"/>
  <c r="P37" i="5"/>
  <c r="O38" i="5"/>
  <c r="P38" i="5"/>
  <c r="O39" i="5"/>
  <c r="P39" i="5"/>
  <c r="O40" i="5"/>
  <c r="P40" i="5"/>
  <c r="O41" i="5"/>
  <c r="P41" i="5"/>
  <c r="O42" i="5"/>
  <c r="P42" i="5"/>
  <c r="O43" i="5"/>
  <c r="P43" i="5"/>
  <c r="O44" i="5"/>
  <c r="P44" i="5"/>
  <c r="O45" i="5"/>
  <c r="P45" i="5"/>
  <c r="O46" i="5"/>
  <c r="P46" i="5"/>
  <c r="O47" i="5"/>
  <c r="P47" i="5"/>
  <c r="O48" i="5"/>
  <c r="P48" i="5"/>
  <c r="O49" i="5"/>
  <c r="P49" i="5"/>
  <c r="O50" i="5"/>
  <c r="P50" i="5"/>
  <c r="O51" i="5"/>
  <c r="P51" i="5"/>
  <c r="O52" i="5"/>
  <c r="P52" i="5"/>
  <c r="O53" i="5"/>
  <c r="P53" i="5"/>
  <c r="O54" i="5"/>
  <c r="P54" i="5"/>
  <c r="O55" i="5"/>
  <c r="P55" i="5"/>
  <c r="O56" i="5"/>
  <c r="P56" i="5"/>
  <c r="O57" i="5"/>
  <c r="P57" i="5"/>
  <c r="O58" i="5"/>
  <c r="P58" i="5"/>
  <c r="O59" i="5"/>
  <c r="P59" i="5"/>
  <c r="O60" i="5"/>
  <c r="P60" i="5"/>
  <c r="O61" i="5"/>
  <c r="P61" i="5"/>
  <c r="O62" i="5"/>
  <c r="P62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J9" i="5"/>
  <c r="K9" i="5"/>
  <c r="J10" i="5"/>
  <c r="K10" i="5"/>
  <c r="J11" i="5"/>
  <c r="K11" i="5"/>
  <c r="J12" i="5"/>
  <c r="K12" i="5"/>
  <c r="J13" i="5"/>
  <c r="K13" i="5"/>
  <c r="J14" i="5"/>
  <c r="K14" i="5"/>
  <c r="J15" i="5"/>
  <c r="K15" i="5"/>
  <c r="J16" i="5"/>
  <c r="K16" i="5"/>
  <c r="J17" i="5"/>
  <c r="K17" i="5"/>
  <c r="J18" i="5"/>
  <c r="K18" i="5"/>
  <c r="J19" i="5"/>
  <c r="K19" i="5"/>
  <c r="J20" i="5"/>
  <c r="K20" i="5"/>
  <c r="J21" i="5"/>
  <c r="K21" i="5"/>
  <c r="J22" i="5"/>
  <c r="K22" i="5"/>
  <c r="J23" i="5"/>
  <c r="K23" i="5"/>
  <c r="J24" i="5"/>
  <c r="K24" i="5"/>
  <c r="J25" i="5"/>
  <c r="K25" i="5"/>
  <c r="J26" i="5"/>
  <c r="K26" i="5"/>
  <c r="J27" i="5"/>
  <c r="K27" i="5"/>
  <c r="J28" i="5"/>
  <c r="K28" i="5"/>
  <c r="J29" i="5"/>
  <c r="K29" i="5"/>
  <c r="J30" i="5"/>
  <c r="K30" i="5"/>
  <c r="J31" i="5"/>
  <c r="K31" i="5"/>
  <c r="J32" i="5"/>
  <c r="K32" i="5"/>
  <c r="J33" i="5"/>
  <c r="K33" i="5"/>
  <c r="J34" i="5"/>
  <c r="K34" i="5"/>
  <c r="J35" i="5"/>
  <c r="K35" i="5"/>
  <c r="J36" i="5"/>
  <c r="K36" i="5"/>
  <c r="J37" i="5"/>
  <c r="K37" i="5"/>
  <c r="J38" i="5"/>
  <c r="K38" i="5"/>
  <c r="J39" i="5"/>
  <c r="K39" i="5"/>
  <c r="J40" i="5"/>
  <c r="K40" i="5"/>
  <c r="J41" i="5"/>
  <c r="K41" i="5"/>
  <c r="J42" i="5"/>
  <c r="K42" i="5"/>
  <c r="J43" i="5"/>
  <c r="K43" i="5"/>
  <c r="J44" i="5"/>
  <c r="K44" i="5"/>
  <c r="J45" i="5"/>
  <c r="K45" i="5"/>
  <c r="J46" i="5"/>
  <c r="K46" i="5"/>
  <c r="J47" i="5"/>
  <c r="K47" i="5"/>
  <c r="J48" i="5"/>
  <c r="K48" i="5"/>
  <c r="J49" i="5"/>
  <c r="K49" i="5"/>
  <c r="J50" i="5"/>
  <c r="K50" i="5"/>
  <c r="J51" i="5"/>
  <c r="K51" i="5"/>
  <c r="J52" i="5"/>
  <c r="K52" i="5"/>
  <c r="J53" i="5"/>
  <c r="K53" i="5"/>
  <c r="J54" i="5"/>
  <c r="K54" i="5"/>
  <c r="J55" i="5"/>
  <c r="K55" i="5"/>
  <c r="J56" i="5"/>
  <c r="K56" i="5"/>
  <c r="J57" i="5"/>
  <c r="K57" i="5"/>
  <c r="J58" i="5"/>
  <c r="K58" i="5"/>
  <c r="J59" i="5"/>
  <c r="K59" i="5"/>
  <c r="J60" i="5"/>
  <c r="K60" i="5"/>
  <c r="J61" i="5"/>
  <c r="K61" i="5"/>
  <c r="J62" i="5"/>
  <c r="K62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E38" i="5"/>
  <c r="F38" i="5"/>
  <c r="E39" i="5"/>
  <c r="F39" i="5"/>
  <c r="E40" i="5"/>
  <c r="F40" i="5"/>
  <c r="E41" i="5"/>
  <c r="F41" i="5"/>
  <c r="E42" i="5"/>
  <c r="F42" i="5"/>
  <c r="E43" i="5"/>
  <c r="F43" i="5"/>
  <c r="E44" i="5"/>
  <c r="F44" i="5"/>
  <c r="E45" i="5"/>
  <c r="F45" i="5"/>
  <c r="E46" i="5"/>
  <c r="F46" i="5"/>
  <c r="E47" i="5"/>
  <c r="F47" i="5"/>
  <c r="E48" i="5"/>
  <c r="F48" i="5"/>
  <c r="E49" i="5"/>
  <c r="F49" i="5"/>
  <c r="E50" i="5"/>
  <c r="F50" i="5"/>
  <c r="E51" i="5"/>
  <c r="F51" i="5"/>
  <c r="E52" i="5"/>
  <c r="F52" i="5"/>
  <c r="E53" i="5"/>
  <c r="F53" i="5"/>
  <c r="E54" i="5"/>
  <c r="F54" i="5"/>
  <c r="E55" i="5"/>
  <c r="F55" i="5"/>
  <c r="E56" i="5"/>
  <c r="F56" i="5"/>
  <c r="E57" i="5"/>
  <c r="F57" i="5"/>
  <c r="E58" i="5"/>
  <c r="F58" i="5"/>
  <c r="E59" i="5"/>
  <c r="F59" i="5"/>
  <c r="E60" i="5"/>
  <c r="F60" i="5"/>
  <c r="E61" i="5"/>
  <c r="F61" i="5"/>
  <c r="E62" i="5"/>
  <c r="F62" i="5"/>
  <c r="O886" i="2"/>
  <c r="O746" i="2"/>
  <c r="O671" i="2"/>
  <c r="I59" i="11" s="1"/>
  <c r="O454" i="2"/>
  <c r="I18" i="11" s="1"/>
  <c r="O376" i="2"/>
  <c r="I16" i="11" s="1"/>
  <c r="O305" i="2"/>
  <c r="I123" i="11" s="1"/>
  <c r="I129" i="11" s="1"/>
  <c r="O14" i="2"/>
  <c r="I153" i="11" s="1"/>
  <c r="I160" i="11" s="1"/>
  <c r="G64" i="2"/>
  <c r="K64" i="2" s="1"/>
  <c r="M64" i="2" s="1"/>
  <c r="G65" i="2"/>
  <c r="K65" i="2" s="1"/>
  <c r="H62" i="5" s="1"/>
  <c r="A64" i="2"/>
  <c r="A65" i="2"/>
  <c r="L12" i="2"/>
  <c r="I9" i="5" s="1"/>
  <c r="G13" i="2"/>
  <c r="K13" i="2" s="1"/>
  <c r="H10" i="5" s="1"/>
  <c r="D132" i="11" l="1"/>
  <c r="D10" i="6"/>
  <c r="D11" i="6"/>
  <c r="D162" i="11"/>
  <c r="I197" i="11"/>
  <c r="D200" i="11" s="1"/>
  <c r="I22" i="11"/>
  <c r="N85" i="5"/>
  <c r="X85" i="5"/>
  <c r="X87" i="5" s="1"/>
  <c r="N86" i="5"/>
  <c r="AW87" i="5"/>
  <c r="BG87" i="5"/>
  <c r="BL87" i="5"/>
  <c r="BB87" i="5"/>
  <c r="AR87" i="5"/>
  <c r="H61" i="5"/>
  <c r="H9" i="5"/>
  <c r="BQ87" i="5"/>
  <c r="AC87" i="5"/>
  <c r="I86" i="5"/>
  <c r="S86" i="5"/>
  <c r="AH87" i="5"/>
  <c r="I85" i="5"/>
  <c r="S85" i="5"/>
  <c r="AM87" i="5"/>
  <c r="L65" i="2"/>
  <c r="I62" i="5" s="1"/>
  <c r="M65" i="2"/>
  <c r="L13" i="2"/>
  <c r="I10" i="5" s="1"/>
  <c r="L64" i="2"/>
  <c r="I61" i="5" s="1"/>
  <c r="M13" i="2"/>
  <c r="M12" i="2"/>
  <c r="D7" i="6" l="1"/>
  <c r="D25" i="11"/>
  <c r="N87" i="5"/>
  <c r="I87" i="5"/>
  <c r="S87" i="5"/>
  <c r="G1168" i="3"/>
  <c r="K1168" i="3" s="1"/>
  <c r="DN170" i="5" s="1"/>
  <c r="G1169" i="3"/>
  <c r="K1169" i="3" s="1"/>
  <c r="DN171" i="5" s="1"/>
  <c r="G1170" i="3"/>
  <c r="DN172" i="5" s="1"/>
  <c r="G1173" i="3"/>
  <c r="K1173" i="3" s="1"/>
  <c r="DN175" i="5" s="1"/>
  <c r="G1174" i="3"/>
  <c r="K1174" i="3" s="1"/>
  <c r="DN176" i="5" s="1"/>
  <c r="G1175" i="3"/>
  <c r="K1175" i="3" s="1"/>
  <c r="DN177" i="5" s="1"/>
  <c r="G1167" i="3"/>
  <c r="K1167" i="3" s="1"/>
  <c r="DN169" i="5" s="1"/>
  <c r="G1132" i="3"/>
  <c r="K1132" i="3" s="1"/>
  <c r="DI160" i="5" s="1"/>
  <c r="G1133" i="3"/>
  <c r="K1133" i="3" s="1"/>
  <c r="DI161" i="5" s="1"/>
  <c r="G1134" i="3"/>
  <c r="K1134" i="3" s="1"/>
  <c r="DI162" i="5" s="1"/>
  <c r="G1135" i="3"/>
  <c r="K1135" i="3" s="1"/>
  <c r="DI163" i="5" s="1"/>
  <c r="G1136" i="3"/>
  <c r="K1136" i="3" s="1"/>
  <c r="DI164" i="5" s="1"/>
  <c r="G1137" i="3"/>
  <c r="K1137" i="3" s="1"/>
  <c r="DI165" i="5" s="1"/>
  <c r="G1138" i="3"/>
  <c r="K1138" i="3" s="1"/>
  <c r="DI166" i="5" s="1"/>
  <c r="G1139" i="3"/>
  <c r="K1139" i="3" s="1"/>
  <c r="DI167" i="5" s="1"/>
  <c r="G1140" i="3"/>
  <c r="K1140" i="3" s="1"/>
  <c r="DI168" i="5" s="1"/>
  <c r="G1131" i="3"/>
  <c r="G1100" i="3"/>
  <c r="K1100" i="3" s="1"/>
  <c r="DD160" i="5" s="1"/>
  <c r="G1101" i="3"/>
  <c r="K1101" i="3" s="1"/>
  <c r="DD161" i="5" s="1"/>
  <c r="G1102" i="3"/>
  <c r="K1102" i="3" s="1"/>
  <c r="DD162" i="5" s="1"/>
  <c r="G1103" i="3"/>
  <c r="K1103" i="3" s="1"/>
  <c r="DD163" i="5" s="1"/>
  <c r="G1104" i="3"/>
  <c r="K1104" i="3" s="1"/>
  <c r="DD164" i="5" s="1"/>
  <c r="G1105" i="3"/>
  <c r="K1105" i="3" s="1"/>
  <c r="DD165" i="5" s="1"/>
  <c r="G1106" i="3"/>
  <c r="K1106" i="3" s="1"/>
  <c r="DD166" i="5" s="1"/>
  <c r="G1107" i="3"/>
  <c r="K1107" i="3" s="1"/>
  <c r="DD167" i="5" s="1"/>
  <c r="G1108" i="3"/>
  <c r="K1108" i="3" s="1"/>
  <c r="DD168" i="5" s="1"/>
  <c r="G1099" i="3"/>
  <c r="G1065" i="3"/>
  <c r="K1065" i="3" s="1"/>
  <c r="CY160" i="5" s="1"/>
  <c r="G1066" i="3"/>
  <c r="K1066" i="3" s="1"/>
  <c r="CY161" i="5" s="1"/>
  <c r="G1067" i="3"/>
  <c r="K1067" i="3" s="1"/>
  <c r="CY162" i="5" s="1"/>
  <c r="G1068" i="3"/>
  <c r="K1068" i="3" s="1"/>
  <c r="CY163" i="5" s="1"/>
  <c r="G1069" i="3"/>
  <c r="K1069" i="3" s="1"/>
  <c r="CY164" i="5" s="1"/>
  <c r="G1070" i="3"/>
  <c r="K1070" i="3" s="1"/>
  <c r="CY165" i="5" s="1"/>
  <c r="G1071" i="3"/>
  <c r="K1071" i="3" s="1"/>
  <c r="CY166" i="5" s="1"/>
  <c r="G1072" i="3"/>
  <c r="K1072" i="3" s="1"/>
  <c r="CY167" i="5" s="1"/>
  <c r="G1073" i="3"/>
  <c r="K1073" i="3" s="1"/>
  <c r="CY168" i="5" s="1"/>
  <c r="G1064" i="3"/>
  <c r="G1030" i="3"/>
  <c r="K1030" i="3" s="1"/>
  <c r="CT160" i="5" s="1"/>
  <c r="G1031" i="3"/>
  <c r="K1031" i="3" s="1"/>
  <c r="CT161" i="5" s="1"/>
  <c r="G1032" i="3"/>
  <c r="K1032" i="3" s="1"/>
  <c r="CT162" i="5" s="1"/>
  <c r="G1033" i="3"/>
  <c r="K1033" i="3" s="1"/>
  <c r="CT163" i="5" s="1"/>
  <c r="G1034" i="3"/>
  <c r="K1034" i="3" s="1"/>
  <c r="CT164" i="5" s="1"/>
  <c r="G1035" i="3"/>
  <c r="K1035" i="3" s="1"/>
  <c r="CT165" i="5" s="1"/>
  <c r="G1036" i="3"/>
  <c r="K1036" i="3" s="1"/>
  <c r="CT166" i="5" s="1"/>
  <c r="G1037" i="3"/>
  <c r="K1037" i="3" s="1"/>
  <c r="CT167" i="5" s="1"/>
  <c r="G1038" i="3"/>
  <c r="K1038" i="3" s="1"/>
  <c r="CT168" i="5" s="1"/>
  <c r="G1029" i="3"/>
  <c r="K1029" i="3" s="1"/>
  <c r="CT159" i="5" s="1"/>
  <c r="G998" i="3"/>
  <c r="K998" i="3" s="1"/>
  <c r="CO160" i="5" s="1"/>
  <c r="G999" i="3"/>
  <c r="K999" i="3" s="1"/>
  <c r="CO161" i="5" s="1"/>
  <c r="G1000" i="3"/>
  <c r="K1000" i="3" s="1"/>
  <c r="CO162" i="5" s="1"/>
  <c r="G1001" i="3"/>
  <c r="K1001" i="3" s="1"/>
  <c r="CO163" i="5" s="1"/>
  <c r="G1002" i="3"/>
  <c r="K1002" i="3" s="1"/>
  <c r="CO164" i="5" s="1"/>
  <c r="G1003" i="3"/>
  <c r="K1003" i="3" s="1"/>
  <c r="CO165" i="5" s="1"/>
  <c r="G1004" i="3"/>
  <c r="K1004" i="3" s="1"/>
  <c r="CO166" i="5" s="1"/>
  <c r="G1005" i="3"/>
  <c r="K1005" i="3" s="1"/>
  <c r="CO167" i="5" s="1"/>
  <c r="CO168" i="5"/>
  <c r="G997" i="3"/>
  <c r="G964" i="3"/>
  <c r="G965" i="3"/>
  <c r="K965" i="3" s="1"/>
  <c r="CJ152" i="5" s="1"/>
  <c r="G966" i="3"/>
  <c r="K966" i="3" s="1"/>
  <c r="CJ153" i="5" s="1"/>
  <c r="G967" i="3"/>
  <c r="K967" i="3" s="1"/>
  <c r="CJ154" i="5" s="1"/>
  <c r="G968" i="3"/>
  <c r="K968" i="3" s="1"/>
  <c r="CJ155" i="5" s="1"/>
  <c r="G969" i="3"/>
  <c r="K969" i="3" s="1"/>
  <c r="CJ156" i="5" s="1"/>
  <c r="G970" i="3"/>
  <c r="K970" i="3" s="1"/>
  <c r="CJ157" i="5" s="1"/>
  <c r="G971" i="3"/>
  <c r="K971" i="3" s="1"/>
  <c r="CJ158" i="5" s="1"/>
  <c r="K963" i="3"/>
  <c r="CJ150" i="5" s="1"/>
  <c r="G931" i="3"/>
  <c r="K931" i="3" s="1"/>
  <c r="CE151" i="5" s="1"/>
  <c r="G932" i="3"/>
  <c r="K932" i="3" s="1"/>
  <c r="CE152" i="5" s="1"/>
  <c r="G933" i="3"/>
  <c r="K933" i="3" s="1"/>
  <c r="CE153" i="5" s="1"/>
  <c r="G934" i="3"/>
  <c r="K934" i="3" s="1"/>
  <c r="CE154" i="5" s="1"/>
  <c r="G935" i="3"/>
  <c r="K935" i="3" s="1"/>
  <c r="CE155" i="5" s="1"/>
  <c r="G936" i="3"/>
  <c r="K936" i="3" s="1"/>
  <c r="CE156" i="5" s="1"/>
  <c r="G937" i="3"/>
  <c r="K937" i="3" s="1"/>
  <c r="CE157" i="5" s="1"/>
  <c r="G938" i="3"/>
  <c r="K938" i="3" s="1"/>
  <c r="CE158" i="5" s="1"/>
  <c r="G930" i="3"/>
  <c r="G896" i="3"/>
  <c r="K896" i="3" s="1"/>
  <c r="BZ151" i="5" s="1"/>
  <c r="G897" i="3"/>
  <c r="K897" i="3" s="1"/>
  <c r="BZ152" i="5" s="1"/>
  <c r="G898" i="3"/>
  <c r="K898" i="3" s="1"/>
  <c r="BZ153" i="5" s="1"/>
  <c r="G899" i="3"/>
  <c r="K899" i="3" s="1"/>
  <c r="BZ154" i="5" s="1"/>
  <c r="G900" i="3"/>
  <c r="K900" i="3" s="1"/>
  <c r="BZ155" i="5" s="1"/>
  <c r="G901" i="3"/>
  <c r="K901" i="3" s="1"/>
  <c r="BZ156" i="5" s="1"/>
  <c r="G902" i="3"/>
  <c r="K902" i="3" s="1"/>
  <c r="BZ157" i="5" s="1"/>
  <c r="G903" i="3"/>
  <c r="K903" i="3" s="1"/>
  <c r="BZ158" i="5" s="1"/>
  <c r="G895" i="3"/>
  <c r="K895" i="3" s="1"/>
  <c r="BZ150" i="5" s="1"/>
  <c r="K840" i="3"/>
  <c r="BU128" i="5" s="1"/>
  <c r="G841" i="3"/>
  <c r="K841" i="3" s="1"/>
  <c r="BU129" i="5" s="1"/>
  <c r="G842" i="3"/>
  <c r="K842" i="3" s="1"/>
  <c r="BU130" i="5" s="1"/>
  <c r="G843" i="3"/>
  <c r="K843" i="3" s="1"/>
  <c r="BU131" i="5" s="1"/>
  <c r="G844" i="3"/>
  <c r="K844" i="3" s="1"/>
  <c r="BU132" i="5" s="1"/>
  <c r="G845" i="3"/>
  <c r="BU133" i="5" s="1"/>
  <c r="G846" i="3"/>
  <c r="K846" i="3" s="1"/>
  <c r="BU134" i="5" s="1"/>
  <c r="G847" i="3"/>
  <c r="K847" i="3" s="1"/>
  <c r="BU135" i="5" s="1"/>
  <c r="G848" i="3"/>
  <c r="K848" i="3" s="1"/>
  <c r="BU136" i="5" s="1"/>
  <c r="G850" i="3"/>
  <c r="K850" i="3" s="1"/>
  <c r="BU138" i="5" s="1"/>
  <c r="G839" i="3"/>
  <c r="G799" i="3"/>
  <c r="K799" i="3" s="1"/>
  <c r="BP128" i="5" s="1"/>
  <c r="G800" i="3"/>
  <c r="K800" i="3" s="1"/>
  <c r="BP129" i="5" s="1"/>
  <c r="G801" i="3"/>
  <c r="K801" i="3" s="1"/>
  <c r="BP130" i="5" s="1"/>
  <c r="G802" i="3"/>
  <c r="G803" i="3"/>
  <c r="K803" i="3" s="1"/>
  <c r="BP132" i="5" s="1"/>
  <c r="G805" i="3"/>
  <c r="K805" i="3" s="1"/>
  <c r="BP134" i="5" s="1"/>
  <c r="G806" i="3"/>
  <c r="K806" i="3" s="1"/>
  <c r="BP135" i="5" s="1"/>
  <c r="G807" i="3"/>
  <c r="K807" i="3" s="1"/>
  <c r="BP136" i="5" s="1"/>
  <c r="G809" i="3"/>
  <c r="K809" i="3" s="1"/>
  <c r="BP138" i="5" s="1"/>
  <c r="G810" i="3"/>
  <c r="K810" i="3" s="1"/>
  <c r="BP139" i="5" s="1"/>
  <c r="K811" i="3"/>
  <c r="BP140" i="5" s="1"/>
  <c r="G812" i="3"/>
  <c r="K812" i="3" s="1"/>
  <c r="BP141" i="5" s="1"/>
  <c r="G813" i="3"/>
  <c r="K813" i="3" s="1"/>
  <c r="BP142" i="5" s="1"/>
  <c r="G814" i="3"/>
  <c r="K814" i="3" s="1"/>
  <c r="BP143" i="5" s="1"/>
  <c r="G815" i="3"/>
  <c r="K815" i="3" s="1"/>
  <c r="BP144" i="5" s="1"/>
  <c r="G816" i="3"/>
  <c r="K816" i="3" s="1"/>
  <c r="BP145" i="5" s="1"/>
  <c r="G817" i="3"/>
  <c r="K817" i="3" s="1"/>
  <c r="BP146" i="5" s="1"/>
  <c r="G818" i="3"/>
  <c r="K818" i="3" s="1"/>
  <c r="BP147" i="5" s="1"/>
  <c r="G819" i="3"/>
  <c r="K819" i="3" s="1"/>
  <c r="BP148" i="5" s="1"/>
  <c r="G820" i="3"/>
  <c r="K820" i="3" s="1"/>
  <c r="BP149" i="5" s="1"/>
  <c r="G798" i="3"/>
  <c r="K798" i="3" s="1"/>
  <c r="BP127" i="5" s="1"/>
  <c r="G755" i="3"/>
  <c r="G756" i="3"/>
  <c r="G757" i="3"/>
  <c r="G758" i="3"/>
  <c r="G759" i="3"/>
  <c r="G761" i="3"/>
  <c r="G762" i="3"/>
  <c r="G763" i="3"/>
  <c r="G764" i="3"/>
  <c r="BK137" i="5" s="1"/>
  <c r="G765" i="3"/>
  <c r="G766" i="3"/>
  <c r="G767" i="3"/>
  <c r="G768" i="3"/>
  <c r="G769" i="3"/>
  <c r="G770" i="3"/>
  <c r="G771" i="3"/>
  <c r="BK144" i="5" s="1"/>
  <c r="G772" i="3"/>
  <c r="BK145" i="5" s="1"/>
  <c r="G773" i="3"/>
  <c r="G774" i="3"/>
  <c r="G775" i="3"/>
  <c r="G776" i="3"/>
  <c r="G754" i="3"/>
  <c r="G701" i="3"/>
  <c r="K701" i="3" s="1"/>
  <c r="BF128" i="5" s="1"/>
  <c r="G702" i="3"/>
  <c r="K702" i="3" s="1"/>
  <c r="BF129" i="5" s="1"/>
  <c r="G703" i="3"/>
  <c r="K703" i="3" s="1"/>
  <c r="BF130" i="5" s="1"/>
  <c r="G704" i="3"/>
  <c r="K704" i="3" s="1"/>
  <c r="BF131" i="5" s="1"/>
  <c r="G705" i="3"/>
  <c r="K705" i="3" s="1"/>
  <c r="BF132" i="5" s="1"/>
  <c r="G707" i="3"/>
  <c r="K707" i="3" s="1"/>
  <c r="BF134" i="5" s="1"/>
  <c r="G708" i="3"/>
  <c r="K708" i="3" s="1"/>
  <c r="BF135" i="5" s="1"/>
  <c r="G709" i="3"/>
  <c r="K709" i="3" s="1"/>
  <c r="BF136" i="5" s="1"/>
  <c r="G711" i="3"/>
  <c r="K711" i="3" s="1"/>
  <c r="BF138" i="5" s="1"/>
  <c r="G712" i="3"/>
  <c r="K712" i="3" s="1"/>
  <c r="BF139" i="5" s="1"/>
  <c r="G713" i="3"/>
  <c r="K713" i="3" s="1"/>
  <c r="BF140" i="5" s="1"/>
  <c r="G714" i="3"/>
  <c r="K714" i="3" s="1"/>
  <c r="BF141" i="5" s="1"/>
  <c r="G715" i="3"/>
  <c r="K715" i="3" s="1"/>
  <c r="BF142" i="5" s="1"/>
  <c r="G716" i="3"/>
  <c r="K716" i="3" s="1"/>
  <c r="BF143" i="5" s="1"/>
  <c r="G717" i="3"/>
  <c r="K717" i="3" s="1"/>
  <c r="BF144" i="5" s="1"/>
  <c r="G718" i="3"/>
  <c r="K718" i="3" s="1"/>
  <c r="BF145" i="5" s="1"/>
  <c r="G719" i="3"/>
  <c r="K719" i="3" s="1"/>
  <c r="BF146" i="5" s="1"/>
  <c r="G720" i="3"/>
  <c r="K720" i="3" s="1"/>
  <c r="BF147" i="5" s="1"/>
  <c r="G721" i="3"/>
  <c r="K721" i="3" s="1"/>
  <c r="BF148" i="5" s="1"/>
  <c r="G722" i="3"/>
  <c r="K722" i="3" s="1"/>
  <c r="BF149" i="5" s="1"/>
  <c r="G700" i="3"/>
  <c r="G649" i="3"/>
  <c r="K649" i="3" s="1"/>
  <c r="BA128" i="5" s="1"/>
  <c r="G650" i="3"/>
  <c r="K650" i="3" s="1"/>
  <c r="BA129" i="5" s="1"/>
  <c r="G651" i="3"/>
  <c r="K651" i="3" s="1"/>
  <c r="BA130" i="5" s="1"/>
  <c r="G652" i="3"/>
  <c r="K652" i="3" s="1"/>
  <c r="BA131" i="5" s="1"/>
  <c r="G653" i="3"/>
  <c r="K653" i="3" s="1"/>
  <c r="BA132" i="5" s="1"/>
  <c r="G655" i="3"/>
  <c r="K655" i="3" s="1"/>
  <c r="BA134" i="5" s="1"/>
  <c r="G656" i="3"/>
  <c r="K656" i="3" s="1"/>
  <c r="BA135" i="5" s="1"/>
  <c r="G657" i="3"/>
  <c r="K657" i="3" s="1"/>
  <c r="BA136" i="5" s="1"/>
  <c r="G659" i="3"/>
  <c r="K659" i="3" s="1"/>
  <c r="BA138" i="5" s="1"/>
  <c r="G648" i="3"/>
  <c r="K648" i="3" s="1"/>
  <c r="BA127" i="5" s="1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G575" i="3"/>
  <c r="K575" i="3" s="1"/>
  <c r="AV127" i="5" s="1"/>
  <c r="G498" i="3"/>
  <c r="K498" i="3" s="1"/>
  <c r="AQ128" i="5" s="1"/>
  <c r="G499" i="3"/>
  <c r="K499" i="3" s="1"/>
  <c r="AQ129" i="5" s="1"/>
  <c r="G500" i="3"/>
  <c r="K500" i="3" s="1"/>
  <c r="AQ130" i="5" s="1"/>
  <c r="G501" i="3"/>
  <c r="K501" i="3" s="1"/>
  <c r="AQ131" i="5" s="1"/>
  <c r="G502" i="3"/>
  <c r="K502" i="3" s="1"/>
  <c r="AQ132" i="5" s="1"/>
  <c r="G504" i="3"/>
  <c r="K504" i="3" s="1"/>
  <c r="AQ134" i="5" s="1"/>
  <c r="G505" i="3"/>
  <c r="K505" i="3" s="1"/>
  <c r="AQ135" i="5" s="1"/>
  <c r="G506" i="3"/>
  <c r="K506" i="3" s="1"/>
  <c r="AQ136" i="5" s="1"/>
  <c r="G508" i="3"/>
  <c r="K508" i="3" s="1"/>
  <c r="AQ138" i="5" s="1"/>
  <c r="G509" i="3"/>
  <c r="K509" i="3" s="1"/>
  <c r="AQ139" i="5" s="1"/>
  <c r="G510" i="3"/>
  <c r="K510" i="3" s="1"/>
  <c r="AQ140" i="5" s="1"/>
  <c r="G511" i="3"/>
  <c r="K511" i="3" s="1"/>
  <c r="AQ141" i="5" s="1"/>
  <c r="G512" i="3"/>
  <c r="K512" i="3" s="1"/>
  <c r="AQ142" i="5" s="1"/>
  <c r="G513" i="3"/>
  <c r="K513" i="3" s="1"/>
  <c r="AQ143" i="5" s="1"/>
  <c r="G514" i="3"/>
  <c r="K514" i="3" s="1"/>
  <c r="AQ144" i="5" s="1"/>
  <c r="G515" i="3"/>
  <c r="K515" i="3" s="1"/>
  <c r="AQ145" i="5" s="1"/>
  <c r="G516" i="3"/>
  <c r="K516" i="3" s="1"/>
  <c r="AQ146" i="5" s="1"/>
  <c r="G517" i="3"/>
  <c r="K517" i="3" s="1"/>
  <c r="AQ147" i="5" s="1"/>
  <c r="G518" i="3"/>
  <c r="K518" i="3" s="1"/>
  <c r="AQ148" i="5" s="1"/>
  <c r="G519" i="3"/>
  <c r="K519" i="3" s="1"/>
  <c r="AQ149" i="5" s="1"/>
  <c r="G520" i="3"/>
  <c r="K520" i="3" s="1"/>
  <c r="AQ150" i="5" s="1"/>
  <c r="G521" i="3"/>
  <c r="K521" i="3" s="1"/>
  <c r="AQ151" i="5" s="1"/>
  <c r="G522" i="3"/>
  <c r="K522" i="3" s="1"/>
  <c r="AQ152" i="5" s="1"/>
  <c r="G523" i="3"/>
  <c r="K523" i="3" s="1"/>
  <c r="AQ153" i="5" s="1"/>
  <c r="G524" i="3"/>
  <c r="K524" i="3" s="1"/>
  <c r="AQ154" i="5" s="1"/>
  <c r="G525" i="3"/>
  <c r="K525" i="3" s="1"/>
  <c r="AQ155" i="5" s="1"/>
  <c r="G526" i="3"/>
  <c r="K526" i="3" s="1"/>
  <c r="AQ156" i="5" s="1"/>
  <c r="G527" i="3"/>
  <c r="AQ157" i="5" s="1"/>
  <c r="G528" i="3"/>
  <c r="K528" i="3" s="1"/>
  <c r="AQ158" i="5" s="1"/>
  <c r="G529" i="3"/>
  <c r="K529" i="3" s="1"/>
  <c r="AQ159" i="5" s="1"/>
  <c r="G530" i="3"/>
  <c r="K530" i="3" s="1"/>
  <c r="AQ160" i="5" s="1"/>
  <c r="G531" i="3"/>
  <c r="K531" i="3" s="1"/>
  <c r="AQ161" i="5" s="1"/>
  <c r="AQ162" i="5"/>
  <c r="G533" i="3"/>
  <c r="K533" i="3" s="1"/>
  <c r="AQ163" i="5" s="1"/>
  <c r="G534" i="3"/>
  <c r="K534" i="3" s="1"/>
  <c r="AQ164" i="5" s="1"/>
  <c r="G535" i="3"/>
  <c r="K535" i="3" s="1"/>
  <c r="AQ165" i="5" s="1"/>
  <c r="G536" i="3"/>
  <c r="K536" i="3" s="1"/>
  <c r="AQ166" i="5" s="1"/>
  <c r="G537" i="3"/>
  <c r="K537" i="3" s="1"/>
  <c r="AQ167" i="5" s="1"/>
  <c r="G538" i="3"/>
  <c r="K538" i="3" s="1"/>
  <c r="AQ168" i="5" s="1"/>
  <c r="G539" i="3"/>
  <c r="K539" i="3" s="1"/>
  <c r="AQ169" i="5" s="1"/>
  <c r="G540" i="3"/>
  <c r="K540" i="3" s="1"/>
  <c r="AQ170" i="5" s="1"/>
  <c r="G541" i="3"/>
  <c r="K541" i="3" s="1"/>
  <c r="AQ171" i="5" s="1"/>
  <c r="G545" i="3"/>
  <c r="K545" i="3" s="1"/>
  <c r="AQ175" i="5" s="1"/>
  <c r="G546" i="3"/>
  <c r="K546" i="3" s="1"/>
  <c r="AQ176" i="5" s="1"/>
  <c r="G547" i="3"/>
  <c r="K547" i="3" s="1"/>
  <c r="AQ177" i="5" s="1"/>
  <c r="G548" i="3"/>
  <c r="K548" i="3" s="1"/>
  <c r="AQ178" i="5" s="1"/>
  <c r="G549" i="3"/>
  <c r="K549" i="3" s="1"/>
  <c r="AQ179" i="5" s="1"/>
  <c r="G550" i="3"/>
  <c r="K550" i="3" s="1"/>
  <c r="AQ180" i="5" s="1"/>
  <c r="G497" i="3"/>
  <c r="K497" i="3" s="1"/>
  <c r="AQ127" i="5" s="1"/>
  <c r="G423" i="3"/>
  <c r="G424" i="3"/>
  <c r="G425" i="3"/>
  <c r="G426" i="3"/>
  <c r="G427" i="3"/>
  <c r="G429" i="3"/>
  <c r="G430" i="3"/>
  <c r="G431" i="3"/>
  <c r="G433" i="3"/>
  <c r="G434" i="3"/>
  <c r="G435" i="3"/>
  <c r="G436" i="3"/>
  <c r="G437" i="3"/>
  <c r="G438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AL157" i="5" s="1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AL172" i="5" s="1"/>
  <c r="G470" i="3"/>
  <c r="G471" i="3"/>
  <c r="G472" i="3"/>
  <c r="G473" i="3"/>
  <c r="G474" i="3"/>
  <c r="G475" i="3"/>
  <c r="G422" i="3"/>
  <c r="K422" i="3" s="1"/>
  <c r="AL127" i="5" s="1"/>
  <c r="G372" i="3"/>
  <c r="K372" i="3" s="1"/>
  <c r="AG128" i="5" s="1"/>
  <c r="G373" i="3"/>
  <c r="K373" i="3" s="1"/>
  <c r="AG129" i="5" s="1"/>
  <c r="G374" i="3"/>
  <c r="K374" i="3" s="1"/>
  <c r="AG130" i="5" s="1"/>
  <c r="G375" i="3"/>
  <c r="K375" i="3" s="1"/>
  <c r="AG131" i="5" s="1"/>
  <c r="G376" i="3"/>
  <c r="K376" i="3" s="1"/>
  <c r="AG132" i="5" s="1"/>
  <c r="G378" i="3"/>
  <c r="K378" i="3" s="1"/>
  <c r="AG134" i="5" s="1"/>
  <c r="G379" i="3"/>
  <c r="K379" i="3" s="1"/>
  <c r="AG135" i="5" s="1"/>
  <c r="G380" i="3"/>
  <c r="K380" i="3" s="1"/>
  <c r="AG136" i="5" s="1"/>
  <c r="G382" i="3"/>
  <c r="K382" i="3" s="1"/>
  <c r="AG138" i="5" s="1"/>
  <c r="G383" i="3"/>
  <c r="K383" i="3" s="1"/>
  <c r="AG139" i="5" s="1"/>
  <c r="G384" i="3"/>
  <c r="K384" i="3" s="1"/>
  <c r="AG140" i="5" s="1"/>
  <c r="G385" i="3"/>
  <c r="K385" i="3" s="1"/>
  <c r="AG141" i="5" s="1"/>
  <c r="G386" i="3"/>
  <c r="K386" i="3" s="1"/>
  <c r="AG142" i="5" s="1"/>
  <c r="G387" i="3"/>
  <c r="K387" i="3" s="1"/>
  <c r="AG143" i="5" s="1"/>
  <c r="G388" i="3"/>
  <c r="K388" i="3" s="1"/>
  <c r="AG144" i="5" s="1"/>
  <c r="G390" i="3"/>
  <c r="K390" i="3" s="1"/>
  <c r="AG146" i="5" s="1"/>
  <c r="G391" i="3"/>
  <c r="K391" i="3" s="1"/>
  <c r="AG147" i="5" s="1"/>
  <c r="G392" i="3"/>
  <c r="K392" i="3" s="1"/>
  <c r="AG148" i="5" s="1"/>
  <c r="G393" i="3"/>
  <c r="K393" i="3" s="1"/>
  <c r="AG149" i="5" s="1"/>
  <c r="G371" i="3"/>
  <c r="G297" i="3"/>
  <c r="K297" i="3" s="1"/>
  <c r="AB128" i="5" s="1"/>
  <c r="G298" i="3"/>
  <c r="K298" i="3" s="1"/>
  <c r="AB129" i="5" s="1"/>
  <c r="G299" i="3"/>
  <c r="K299" i="3" s="1"/>
  <c r="AB130" i="5" s="1"/>
  <c r="G300" i="3"/>
  <c r="K300" i="3" s="1"/>
  <c r="AB131" i="5" s="1"/>
  <c r="G301" i="3"/>
  <c r="K301" i="3" s="1"/>
  <c r="AB132" i="5" s="1"/>
  <c r="G303" i="3"/>
  <c r="K303" i="3" s="1"/>
  <c r="AB134" i="5" s="1"/>
  <c r="G304" i="3"/>
  <c r="K304" i="3" s="1"/>
  <c r="AB135" i="5" s="1"/>
  <c r="G305" i="3"/>
  <c r="K305" i="3" s="1"/>
  <c r="AB136" i="5" s="1"/>
  <c r="G307" i="3"/>
  <c r="K307" i="3" s="1"/>
  <c r="AB138" i="5" s="1"/>
  <c r="G308" i="3"/>
  <c r="K308" i="3" s="1"/>
  <c r="AB139" i="5" s="1"/>
  <c r="G309" i="3"/>
  <c r="K309" i="3" s="1"/>
  <c r="AB140" i="5" s="1"/>
  <c r="G310" i="3"/>
  <c r="K310" i="3" s="1"/>
  <c r="AB141" i="5" s="1"/>
  <c r="G311" i="3"/>
  <c r="K311" i="3" s="1"/>
  <c r="AB142" i="5" s="1"/>
  <c r="G312" i="3"/>
  <c r="K312" i="3" s="1"/>
  <c r="AB143" i="5" s="1"/>
  <c r="G313" i="3"/>
  <c r="K313" i="3" s="1"/>
  <c r="AB144" i="5" s="1"/>
  <c r="G314" i="3"/>
  <c r="K314" i="3" s="1"/>
  <c r="AB145" i="5" s="1"/>
  <c r="G315" i="3"/>
  <c r="K315" i="3" s="1"/>
  <c r="AB146" i="5" s="1"/>
  <c r="G316" i="3"/>
  <c r="K316" i="3" s="1"/>
  <c r="AB147" i="5" s="1"/>
  <c r="G317" i="3"/>
  <c r="K317" i="3" s="1"/>
  <c r="AB148" i="5" s="1"/>
  <c r="G318" i="3"/>
  <c r="K318" i="3" s="1"/>
  <c r="AB149" i="5" s="1"/>
  <c r="G319" i="3"/>
  <c r="K319" i="3" s="1"/>
  <c r="AB150" i="5" s="1"/>
  <c r="G320" i="3"/>
  <c r="K320" i="3" s="1"/>
  <c r="AB151" i="5" s="1"/>
  <c r="G321" i="3"/>
  <c r="K321" i="3" s="1"/>
  <c r="AB152" i="5" s="1"/>
  <c r="G322" i="3"/>
  <c r="K322" i="3" s="1"/>
  <c r="AB153" i="5" s="1"/>
  <c r="G323" i="3"/>
  <c r="K323" i="3" s="1"/>
  <c r="AB154" i="5" s="1"/>
  <c r="G324" i="3"/>
  <c r="K324" i="3" s="1"/>
  <c r="AB155" i="5" s="1"/>
  <c r="G325" i="3"/>
  <c r="K325" i="3" s="1"/>
  <c r="AB156" i="5" s="1"/>
  <c r="G326" i="3"/>
  <c r="K326" i="3" s="1"/>
  <c r="AB157" i="5" s="1"/>
  <c r="G327" i="3"/>
  <c r="K327" i="3" s="1"/>
  <c r="AB158" i="5" s="1"/>
  <c r="G328" i="3"/>
  <c r="K328" i="3" s="1"/>
  <c r="AB159" i="5" s="1"/>
  <c r="G329" i="3"/>
  <c r="K329" i="3" s="1"/>
  <c r="AB160" i="5" s="1"/>
  <c r="G330" i="3"/>
  <c r="K330" i="3" s="1"/>
  <c r="AB161" i="5" s="1"/>
  <c r="G331" i="3"/>
  <c r="K331" i="3" s="1"/>
  <c r="AB162" i="5" s="1"/>
  <c r="G332" i="3"/>
  <c r="K332" i="3" s="1"/>
  <c r="AB163" i="5" s="1"/>
  <c r="G333" i="3"/>
  <c r="K333" i="3" s="1"/>
  <c r="AB164" i="5" s="1"/>
  <c r="G334" i="3"/>
  <c r="K334" i="3" s="1"/>
  <c r="AB165" i="5" s="1"/>
  <c r="G335" i="3"/>
  <c r="K335" i="3" s="1"/>
  <c r="AB166" i="5" s="1"/>
  <c r="G336" i="3"/>
  <c r="K336" i="3" s="1"/>
  <c r="AB167" i="5" s="1"/>
  <c r="G337" i="3"/>
  <c r="K337" i="3" s="1"/>
  <c r="AB168" i="5" s="1"/>
  <c r="G338" i="3"/>
  <c r="K338" i="3" s="1"/>
  <c r="AB169" i="5" s="1"/>
  <c r="G339" i="3"/>
  <c r="K339" i="3" s="1"/>
  <c r="AB170" i="5" s="1"/>
  <c r="G340" i="3"/>
  <c r="K340" i="3" s="1"/>
  <c r="AB171" i="5" s="1"/>
  <c r="G341" i="3"/>
  <c r="AB172" i="5" s="1"/>
  <c r="G344" i="3"/>
  <c r="K344" i="3" s="1"/>
  <c r="AB175" i="5" s="1"/>
  <c r="G345" i="3"/>
  <c r="K345" i="3" s="1"/>
  <c r="AB176" i="5" s="1"/>
  <c r="G346" i="3"/>
  <c r="K346" i="3" s="1"/>
  <c r="AB177" i="5" s="1"/>
  <c r="G347" i="3"/>
  <c r="K347" i="3" s="1"/>
  <c r="AB178" i="5" s="1"/>
  <c r="G348" i="3"/>
  <c r="K348" i="3" s="1"/>
  <c r="AB179" i="5" s="1"/>
  <c r="G349" i="3"/>
  <c r="K349" i="3" s="1"/>
  <c r="AB180" i="5" s="1"/>
  <c r="G296" i="3"/>
  <c r="K296" i="3" s="1"/>
  <c r="AB127" i="5" s="1"/>
  <c r="G222" i="3"/>
  <c r="G223" i="3"/>
  <c r="K223" i="3" s="1"/>
  <c r="W128" i="5" s="1"/>
  <c r="G224" i="3"/>
  <c r="K224" i="3" s="1"/>
  <c r="W129" i="5" s="1"/>
  <c r="G225" i="3"/>
  <c r="K225" i="3" s="1"/>
  <c r="W130" i="5" s="1"/>
  <c r="G226" i="3"/>
  <c r="K226" i="3" s="1"/>
  <c r="W131" i="5" s="1"/>
  <c r="G227" i="3"/>
  <c r="K227" i="3" s="1"/>
  <c r="W132" i="5" s="1"/>
  <c r="G229" i="3"/>
  <c r="K229" i="3" s="1"/>
  <c r="W134" i="5" s="1"/>
  <c r="G230" i="3"/>
  <c r="K230" i="3" s="1"/>
  <c r="W135" i="5" s="1"/>
  <c r="G231" i="3"/>
  <c r="K231" i="3" s="1"/>
  <c r="W136" i="5" s="1"/>
  <c r="G233" i="3"/>
  <c r="K233" i="3" s="1"/>
  <c r="W138" i="5" s="1"/>
  <c r="G234" i="3"/>
  <c r="K234" i="3" s="1"/>
  <c r="W139" i="5" s="1"/>
  <c r="G235" i="3"/>
  <c r="K235" i="3" s="1"/>
  <c r="W140" i="5" s="1"/>
  <c r="G236" i="3"/>
  <c r="K236" i="3" s="1"/>
  <c r="W141" i="5" s="1"/>
  <c r="G237" i="3"/>
  <c r="K237" i="3" s="1"/>
  <c r="W142" i="5" s="1"/>
  <c r="G238" i="3"/>
  <c r="K238" i="3" s="1"/>
  <c r="W143" i="5" s="1"/>
  <c r="G239" i="3"/>
  <c r="K239" i="3" s="1"/>
  <c r="W144" i="5" s="1"/>
  <c r="G240" i="3"/>
  <c r="K240" i="3" s="1"/>
  <c r="W145" i="5" s="1"/>
  <c r="G241" i="3"/>
  <c r="K241" i="3" s="1"/>
  <c r="W146" i="5" s="1"/>
  <c r="G242" i="3"/>
  <c r="K242" i="3" s="1"/>
  <c r="W147" i="5" s="1"/>
  <c r="G243" i="3"/>
  <c r="K243" i="3" s="1"/>
  <c r="W148" i="5" s="1"/>
  <c r="G244" i="3"/>
  <c r="K244" i="3" s="1"/>
  <c r="W149" i="5" s="1"/>
  <c r="G245" i="3"/>
  <c r="K245" i="3" s="1"/>
  <c r="W150" i="5" s="1"/>
  <c r="G246" i="3"/>
  <c r="K246" i="3" s="1"/>
  <c r="W151" i="5" s="1"/>
  <c r="G247" i="3"/>
  <c r="K247" i="3" s="1"/>
  <c r="W152" i="5" s="1"/>
  <c r="G248" i="3"/>
  <c r="K248" i="3" s="1"/>
  <c r="W153" i="5" s="1"/>
  <c r="G249" i="3"/>
  <c r="K249" i="3" s="1"/>
  <c r="W154" i="5" s="1"/>
  <c r="G250" i="3"/>
  <c r="K250" i="3" s="1"/>
  <c r="W155" i="5" s="1"/>
  <c r="G251" i="3"/>
  <c r="K251" i="3" s="1"/>
  <c r="W156" i="5" s="1"/>
  <c r="G252" i="3"/>
  <c r="K252" i="3" s="1"/>
  <c r="W157" i="5" s="1"/>
  <c r="G253" i="3"/>
  <c r="K253" i="3" s="1"/>
  <c r="W158" i="5" s="1"/>
  <c r="G254" i="3"/>
  <c r="K254" i="3" s="1"/>
  <c r="W159" i="5" s="1"/>
  <c r="G255" i="3"/>
  <c r="K255" i="3" s="1"/>
  <c r="W160" i="5" s="1"/>
  <c r="G256" i="3"/>
  <c r="K256" i="3" s="1"/>
  <c r="W161" i="5" s="1"/>
  <c r="G257" i="3"/>
  <c r="K257" i="3" s="1"/>
  <c r="W162" i="5" s="1"/>
  <c r="G258" i="3"/>
  <c r="K258" i="3" s="1"/>
  <c r="W163" i="5" s="1"/>
  <c r="G259" i="3"/>
  <c r="K259" i="3" s="1"/>
  <c r="W164" i="5" s="1"/>
  <c r="G260" i="3"/>
  <c r="K260" i="3" s="1"/>
  <c r="W165" i="5" s="1"/>
  <c r="G261" i="3"/>
  <c r="K261" i="3" s="1"/>
  <c r="W166" i="5" s="1"/>
  <c r="G262" i="3"/>
  <c r="K262" i="3" s="1"/>
  <c r="W167" i="5" s="1"/>
  <c r="G263" i="3"/>
  <c r="K263" i="3" s="1"/>
  <c r="W168" i="5" s="1"/>
  <c r="G264" i="3"/>
  <c r="K264" i="3" s="1"/>
  <c r="W169" i="5" s="1"/>
  <c r="G265" i="3"/>
  <c r="K265" i="3" s="1"/>
  <c r="W170" i="5" s="1"/>
  <c r="G266" i="3"/>
  <c r="K266" i="3" s="1"/>
  <c r="W171" i="5" s="1"/>
  <c r="G267" i="3"/>
  <c r="W172" i="5" s="1"/>
  <c r="G270" i="3"/>
  <c r="K270" i="3" s="1"/>
  <c r="W175" i="5" s="1"/>
  <c r="G271" i="3"/>
  <c r="K271" i="3" s="1"/>
  <c r="W176" i="5" s="1"/>
  <c r="G272" i="3"/>
  <c r="K272" i="3" s="1"/>
  <c r="W177" i="5" s="1"/>
  <c r="G273" i="3"/>
  <c r="K273" i="3" s="1"/>
  <c r="W178" i="5" s="1"/>
  <c r="G274" i="3"/>
  <c r="K274" i="3" s="1"/>
  <c r="W179" i="5" s="1"/>
  <c r="G275" i="3"/>
  <c r="K275" i="3" s="1"/>
  <c r="W180" i="5" s="1"/>
  <c r="G151" i="3"/>
  <c r="K151" i="3" s="1"/>
  <c r="R128" i="5" s="1"/>
  <c r="G152" i="3"/>
  <c r="K152" i="3" s="1"/>
  <c r="R129" i="5" s="1"/>
  <c r="G153" i="3"/>
  <c r="K153" i="3" s="1"/>
  <c r="R130" i="5" s="1"/>
  <c r="G154" i="3"/>
  <c r="K154" i="3" s="1"/>
  <c r="R131" i="5" s="1"/>
  <c r="G155" i="3"/>
  <c r="K155" i="3" s="1"/>
  <c r="R132" i="5" s="1"/>
  <c r="G157" i="3"/>
  <c r="K157" i="3" s="1"/>
  <c r="R134" i="5" s="1"/>
  <c r="G158" i="3"/>
  <c r="K158" i="3" s="1"/>
  <c r="R135" i="5" s="1"/>
  <c r="G159" i="3"/>
  <c r="K159" i="3" s="1"/>
  <c r="R136" i="5" s="1"/>
  <c r="G161" i="3"/>
  <c r="K161" i="3" s="1"/>
  <c r="R138" i="5" s="1"/>
  <c r="G162" i="3"/>
  <c r="K162" i="3" s="1"/>
  <c r="R139" i="5" s="1"/>
  <c r="G163" i="3"/>
  <c r="K163" i="3" s="1"/>
  <c r="R140" i="5" s="1"/>
  <c r="G164" i="3"/>
  <c r="K164" i="3" s="1"/>
  <c r="R141" i="5" s="1"/>
  <c r="G165" i="3"/>
  <c r="K165" i="3" s="1"/>
  <c r="R142" i="5" s="1"/>
  <c r="G166" i="3"/>
  <c r="K166" i="3" s="1"/>
  <c r="R143" i="5" s="1"/>
  <c r="G167" i="3"/>
  <c r="K167" i="3" s="1"/>
  <c r="R144" i="5" s="1"/>
  <c r="G168" i="3"/>
  <c r="K168" i="3" s="1"/>
  <c r="R145" i="5" s="1"/>
  <c r="G169" i="3"/>
  <c r="K169" i="3" s="1"/>
  <c r="R146" i="5" s="1"/>
  <c r="G170" i="3"/>
  <c r="K170" i="3" s="1"/>
  <c r="R147" i="5" s="1"/>
  <c r="G171" i="3"/>
  <c r="K171" i="3" s="1"/>
  <c r="R148" i="5" s="1"/>
  <c r="G172" i="3"/>
  <c r="K172" i="3" s="1"/>
  <c r="R149" i="5" s="1"/>
  <c r="G173" i="3"/>
  <c r="K173" i="3" s="1"/>
  <c r="R150" i="5" s="1"/>
  <c r="G174" i="3"/>
  <c r="K174" i="3" s="1"/>
  <c r="R151" i="5" s="1"/>
  <c r="G175" i="3"/>
  <c r="K175" i="3" s="1"/>
  <c r="R152" i="5" s="1"/>
  <c r="G176" i="3"/>
  <c r="K176" i="3" s="1"/>
  <c r="R153" i="5" s="1"/>
  <c r="G177" i="3"/>
  <c r="K177" i="3" s="1"/>
  <c r="R154" i="5" s="1"/>
  <c r="G178" i="3"/>
  <c r="K178" i="3" s="1"/>
  <c r="R155" i="5" s="1"/>
  <c r="G179" i="3"/>
  <c r="K179" i="3" s="1"/>
  <c r="R156" i="5" s="1"/>
  <c r="G180" i="3"/>
  <c r="K180" i="3" s="1"/>
  <c r="R157" i="5" s="1"/>
  <c r="G181" i="3"/>
  <c r="K181" i="3" s="1"/>
  <c r="R158" i="5" s="1"/>
  <c r="G182" i="3"/>
  <c r="K182" i="3" s="1"/>
  <c r="R159" i="5" s="1"/>
  <c r="G183" i="3"/>
  <c r="K183" i="3" s="1"/>
  <c r="R160" i="5" s="1"/>
  <c r="G184" i="3"/>
  <c r="K184" i="3" s="1"/>
  <c r="R161" i="5" s="1"/>
  <c r="G185" i="3"/>
  <c r="K185" i="3" s="1"/>
  <c r="R162" i="5" s="1"/>
  <c r="G186" i="3"/>
  <c r="K186" i="3" s="1"/>
  <c r="R163" i="5" s="1"/>
  <c r="G187" i="3"/>
  <c r="K187" i="3" s="1"/>
  <c r="R164" i="5" s="1"/>
  <c r="G188" i="3"/>
  <c r="K188" i="3" s="1"/>
  <c r="R165" i="5" s="1"/>
  <c r="G189" i="3"/>
  <c r="K189" i="3" s="1"/>
  <c r="R166" i="5" s="1"/>
  <c r="G190" i="3"/>
  <c r="K190" i="3" s="1"/>
  <c r="R167" i="5" s="1"/>
  <c r="G191" i="3"/>
  <c r="K191" i="3" s="1"/>
  <c r="R168" i="5" s="1"/>
  <c r="G192" i="3"/>
  <c r="K192" i="3" s="1"/>
  <c r="R169" i="5" s="1"/>
  <c r="G193" i="3"/>
  <c r="K193" i="3" s="1"/>
  <c r="R170" i="5" s="1"/>
  <c r="G194" i="3"/>
  <c r="K194" i="3" s="1"/>
  <c r="R171" i="5" s="1"/>
  <c r="G195" i="3"/>
  <c r="R172" i="5" s="1"/>
  <c r="G196" i="3"/>
  <c r="R173" i="5" s="1"/>
  <c r="G198" i="3"/>
  <c r="K198" i="3" s="1"/>
  <c r="R175" i="5" s="1"/>
  <c r="G199" i="3"/>
  <c r="K199" i="3" s="1"/>
  <c r="R176" i="5" s="1"/>
  <c r="G200" i="3"/>
  <c r="K200" i="3" s="1"/>
  <c r="R177" i="5" s="1"/>
  <c r="G201" i="3"/>
  <c r="K201" i="3" s="1"/>
  <c r="R178" i="5" s="1"/>
  <c r="G202" i="3"/>
  <c r="K202" i="3" s="1"/>
  <c r="R179" i="5" s="1"/>
  <c r="G203" i="3"/>
  <c r="K203" i="3" s="1"/>
  <c r="R180" i="5" s="1"/>
  <c r="G150" i="3"/>
  <c r="K150" i="3" s="1"/>
  <c r="R127" i="5" s="1"/>
  <c r="K82" i="3"/>
  <c r="M128" i="5" s="1"/>
  <c r="K83" i="3"/>
  <c r="M129" i="5" s="1"/>
  <c r="K84" i="3"/>
  <c r="M130" i="5" s="1"/>
  <c r="K85" i="3"/>
  <c r="M131" i="5" s="1"/>
  <c r="K86" i="3"/>
  <c r="M132" i="5" s="1"/>
  <c r="K88" i="3"/>
  <c r="M134" i="5" s="1"/>
  <c r="K89" i="3"/>
  <c r="M135" i="5" s="1"/>
  <c r="K90" i="3"/>
  <c r="M136" i="5" s="1"/>
  <c r="K92" i="3"/>
  <c r="M138" i="5" s="1"/>
  <c r="K93" i="3"/>
  <c r="M139" i="5" s="1"/>
  <c r="K94" i="3"/>
  <c r="M140" i="5" s="1"/>
  <c r="K95" i="3"/>
  <c r="M141" i="5" s="1"/>
  <c r="K96" i="3"/>
  <c r="M142" i="5" s="1"/>
  <c r="K97" i="3"/>
  <c r="M143" i="5" s="1"/>
  <c r="K98" i="3"/>
  <c r="M144" i="5" s="1"/>
  <c r="K99" i="3"/>
  <c r="M145" i="5" s="1"/>
  <c r="K100" i="3"/>
  <c r="M146" i="5" s="1"/>
  <c r="K101" i="3"/>
  <c r="M147" i="5" s="1"/>
  <c r="K102" i="3"/>
  <c r="M148" i="5" s="1"/>
  <c r="K103" i="3"/>
  <c r="M149" i="5" s="1"/>
  <c r="K104" i="3"/>
  <c r="M150" i="5" s="1"/>
  <c r="K105" i="3"/>
  <c r="M151" i="5" s="1"/>
  <c r="K106" i="3"/>
  <c r="M152" i="5" s="1"/>
  <c r="K107" i="3"/>
  <c r="M153" i="5" s="1"/>
  <c r="K108" i="3"/>
  <c r="M154" i="5" s="1"/>
  <c r="K109" i="3"/>
  <c r="M155" i="5" s="1"/>
  <c r="K110" i="3"/>
  <c r="M156" i="5" s="1"/>
  <c r="M157" i="5"/>
  <c r="K112" i="3"/>
  <c r="M158" i="5" s="1"/>
  <c r="K113" i="3"/>
  <c r="M159" i="5" s="1"/>
  <c r="K114" i="3"/>
  <c r="M160" i="5" s="1"/>
  <c r="K115" i="3"/>
  <c r="M161" i="5" s="1"/>
  <c r="K116" i="3"/>
  <c r="M162" i="5" s="1"/>
  <c r="K117" i="3"/>
  <c r="M163" i="5" s="1"/>
  <c r="K118" i="3"/>
  <c r="M164" i="5" s="1"/>
  <c r="K119" i="3"/>
  <c r="M165" i="5" s="1"/>
  <c r="K120" i="3"/>
  <c r="M166" i="5" s="1"/>
  <c r="K121" i="3"/>
  <c r="M167" i="5" s="1"/>
  <c r="K122" i="3"/>
  <c r="M168" i="5" s="1"/>
  <c r="K123" i="3"/>
  <c r="M169" i="5" s="1"/>
  <c r="K124" i="3"/>
  <c r="M170" i="5" s="1"/>
  <c r="K125" i="3"/>
  <c r="M171" i="5" s="1"/>
  <c r="M172" i="5"/>
  <c r="K129" i="3"/>
  <c r="M175" i="5" s="1"/>
  <c r="K130" i="3"/>
  <c r="M176" i="5" s="1"/>
  <c r="K131" i="3"/>
  <c r="M177" i="5" s="1"/>
  <c r="K132" i="3"/>
  <c r="M178" i="5" s="1"/>
  <c r="K133" i="3"/>
  <c r="M179" i="5" s="1"/>
  <c r="K134" i="3"/>
  <c r="M180" i="5" s="1"/>
  <c r="G12" i="3"/>
  <c r="G13" i="3"/>
  <c r="K13" i="3" s="1"/>
  <c r="H128" i="5" s="1"/>
  <c r="G14" i="3"/>
  <c r="K14" i="3" s="1"/>
  <c r="H129" i="5" s="1"/>
  <c r="G15" i="3"/>
  <c r="K15" i="3" s="1"/>
  <c r="H130" i="5" s="1"/>
  <c r="G16" i="3"/>
  <c r="K16" i="3" s="1"/>
  <c r="H131" i="5" s="1"/>
  <c r="G17" i="3"/>
  <c r="K17" i="3" s="1"/>
  <c r="H132" i="5" s="1"/>
  <c r="G19" i="3"/>
  <c r="K19" i="3" s="1"/>
  <c r="H134" i="5" s="1"/>
  <c r="G20" i="3"/>
  <c r="K20" i="3" s="1"/>
  <c r="H135" i="5" s="1"/>
  <c r="G21" i="3"/>
  <c r="K21" i="3" s="1"/>
  <c r="H136" i="5" s="1"/>
  <c r="G23" i="3"/>
  <c r="K23" i="3" s="1"/>
  <c r="H138" i="5" s="1"/>
  <c r="G24" i="3"/>
  <c r="K24" i="3" s="1"/>
  <c r="H139" i="5" s="1"/>
  <c r="G25" i="3"/>
  <c r="K25" i="3" s="1"/>
  <c r="H140" i="5" s="1"/>
  <c r="G26" i="3"/>
  <c r="K26" i="3" s="1"/>
  <c r="H141" i="5" s="1"/>
  <c r="G27" i="3"/>
  <c r="K27" i="3" s="1"/>
  <c r="H142" i="5" s="1"/>
  <c r="G28" i="3"/>
  <c r="K28" i="3" s="1"/>
  <c r="H143" i="5" s="1"/>
  <c r="H144" i="5"/>
  <c r="G30" i="3"/>
  <c r="K30" i="3" s="1"/>
  <c r="H145" i="5" s="1"/>
  <c r="G31" i="3"/>
  <c r="K31" i="3" s="1"/>
  <c r="H146" i="5" s="1"/>
  <c r="G32" i="3"/>
  <c r="K32" i="3" s="1"/>
  <c r="H147" i="5" s="1"/>
  <c r="G33" i="3"/>
  <c r="K33" i="3" s="1"/>
  <c r="H148" i="5" s="1"/>
  <c r="G34" i="3"/>
  <c r="K34" i="3" s="1"/>
  <c r="H149" i="5" s="1"/>
  <c r="G35" i="3"/>
  <c r="K35" i="3" s="1"/>
  <c r="H150" i="5" s="1"/>
  <c r="G36" i="3"/>
  <c r="K36" i="3" s="1"/>
  <c r="H151" i="5" s="1"/>
  <c r="G37" i="3"/>
  <c r="K37" i="3" s="1"/>
  <c r="H152" i="5" s="1"/>
  <c r="G38" i="3"/>
  <c r="K38" i="3" s="1"/>
  <c r="H153" i="5" s="1"/>
  <c r="G39" i="3"/>
  <c r="K39" i="3" s="1"/>
  <c r="H154" i="5" s="1"/>
  <c r="G40" i="3"/>
  <c r="K40" i="3" s="1"/>
  <c r="H155" i="5" s="1"/>
  <c r="G41" i="3"/>
  <c r="K41" i="3" s="1"/>
  <c r="H156" i="5" s="1"/>
  <c r="G43" i="3"/>
  <c r="K43" i="3" s="1"/>
  <c r="H158" i="5" s="1"/>
  <c r="G44" i="3"/>
  <c r="K44" i="3" s="1"/>
  <c r="H159" i="5" s="1"/>
  <c r="G45" i="3"/>
  <c r="K45" i="3" s="1"/>
  <c r="H160" i="5" s="1"/>
  <c r="G46" i="3"/>
  <c r="K46" i="3" s="1"/>
  <c r="H161" i="5" s="1"/>
  <c r="G47" i="3"/>
  <c r="K47" i="3" s="1"/>
  <c r="H162" i="5" s="1"/>
  <c r="G48" i="3"/>
  <c r="K48" i="3" s="1"/>
  <c r="H163" i="5" s="1"/>
  <c r="G49" i="3"/>
  <c r="K49" i="3" s="1"/>
  <c r="H164" i="5" s="1"/>
  <c r="G50" i="3"/>
  <c r="K50" i="3" s="1"/>
  <c r="H165" i="5" s="1"/>
  <c r="G51" i="3"/>
  <c r="K51" i="3" s="1"/>
  <c r="H166" i="5" s="1"/>
  <c r="G52" i="3"/>
  <c r="K52" i="3" s="1"/>
  <c r="H167" i="5" s="1"/>
  <c r="G53" i="3"/>
  <c r="K53" i="3" s="1"/>
  <c r="H168" i="5" s="1"/>
  <c r="G54" i="3"/>
  <c r="K54" i="3" s="1"/>
  <c r="H169" i="5" s="1"/>
  <c r="G55" i="3"/>
  <c r="K55" i="3" s="1"/>
  <c r="H170" i="5" s="1"/>
  <c r="G56" i="3"/>
  <c r="K56" i="3" s="1"/>
  <c r="H171" i="5" s="1"/>
  <c r="G57" i="3"/>
  <c r="H172" i="5" s="1"/>
  <c r="G58" i="3"/>
  <c r="H173" i="5" s="1"/>
  <c r="G59" i="3"/>
  <c r="H174" i="5" s="1"/>
  <c r="G60" i="3"/>
  <c r="K60" i="3" s="1"/>
  <c r="H175" i="5" s="1"/>
  <c r="G61" i="3"/>
  <c r="K61" i="3" s="1"/>
  <c r="H176" i="5" s="1"/>
  <c r="G62" i="3"/>
  <c r="K62" i="3" s="1"/>
  <c r="H177" i="5" s="1"/>
  <c r="G63" i="3"/>
  <c r="K63" i="3" s="1"/>
  <c r="H178" i="5" s="1"/>
  <c r="G64" i="3"/>
  <c r="K64" i="3" s="1"/>
  <c r="H179" i="5" s="1"/>
  <c r="G65" i="3"/>
  <c r="K65" i="3" s="1"/>
  <c r="H180" i="5" s="1"/>
  <c r="G884" i="2"/>
  <c r="K884" i="2" s="1"/>
  <c r="BP10" i="5" s="1"/>
  <c r="G885" i="2"/>
  <c r="K885" i="2" s="1"/>
  <c r="BP11" i="5" s="1"/>
  <c r="G886" i="2"/>
  <c r="K886" i="2" s="1"/>
  <c r="BP12" i="5" s="1"/>
  <c r="G887" i="2"/>
  <c r="K887" i="2" s="1"/>
  <c r="BP13" i="5" s="1"/>
  <c r="G888" i="2"/>
  <c r="K888" i="2" s="1"/>
  <c r="BP14" i="5" s="1"/>
  <c r="G889" i="2"/>
  <c r="K889" i="2" s="1"/>
  <c r="BP15" i="5" s="1"/>
  <c r="G890" i="2"/>
  <c r="K890" i="2" s="1"/>
  <c r="BP16" i="5" s="1"/>
  <c r="G891" i="2"/>
  <c r="K891" i="2" s="1"/>
  <c r="BP17" i="5" s="1"/>
  <c r="G892" i="2"/>
  <c r="K892" i="2" s="1"/>
  <c r="BP18" i="5" s="1"/>
  <c r="G893" i="2"/>
  <c r="K893" i="2" s="1"/>
  <c r="BP19" i="5" s="1"/>
  <c r="G894" i="2"/>
  <c r="K894" i="2" s="1"/>
  <c r="BP20" i="5" s="1"/>
  <c r="G895" i="2"/>
  <c r="K895" i="2" s="1"/>
  <c r="BP21" i="5" s="1"/>
  <c r="G896" i="2"/>
  <c r="K896" i="2" s="1"/>
  <c r="BP22" i="5" s="1"/>
  <c r="G897" i="2"/>
  <c r="K897" i="2" s="1"/>
  <c r="BP23" i="5" s="1"/>
  <c r="G898" i="2"/>
  <c r="K898" i="2" s="1"/>
  <c r="BP24" i="5" s="1"/>
  <c r="G899" i="2"/>
  <c r="K899" i="2" s="1"/>
  <c r="BP25" i="5" s="1"/>
  <c r="G900" i="2"/>
  <c r="K900" i="2" s="1"/>
  <c r="BP26" i="5" s="1"/>
  <c r="G901" i="2"/>
  <c r="K901" i="2" s="1"/>
  <c r="BP27" i="5" s="1"/>
  <c r="G902" i="2"/>
  <c r="K902" i="2" s="1"/>
  <c r="BP28" i="5" s="1"/>
  <c r="G903" i="2"/>
  <c r="K903" i="2" s="1"/>
  <c r="BP29" i="5" s="1"/>
  <c r="G904" i="2"/>
  <c r="K904" i="2" s="1"/>
  <c r="BP30" i="5" s="1"/>
  <c r="G905" i="2"/>
  <c r="K905" i="2" s="1"/>
  <c r="BP31" i="5" s="1"/>
  <c r="G906" i="2"/>
  <c r="K906" i="2" s="1"/>
  <c r="BP32" i="5" s="1"/>
  <c r="G907" i="2"/>
  <c r="K907" i="2" s="1"/>
  <c r="BP33" i="5" s="1"/>
  <c r="G908" i="2"/>
  <c r="K908" i="2" s="1"/>
  <c r="BP34" i="5" s="1"/>
  <c r="G909" i="2"/>
  <c r="K909" i="2" s="1"/>
  <c r="BP35" i="5" s="1"/>
  <c r="G910" i="2"/>
  <c r="K910" i="2" s="1"/>
  <c r="BP36" i="5" s="1"/>
  <c r="G911" i="2"/>
  <c r="K911" i="2" s="1"/>
  <c r="BP37" i="5" s="1"/>
  <c r="G912" i="2"/>
  <c r="K912" i="2" s="1"/>
  <c r="BP38" i="5" s="1"/>
  <c r="G913" i="2"/>
  <c r="K913" i="2" s="1"/>
  <c r="BP39" i="5" s="1"/>
  <c r="G914" i="2"/>
  <c r="K914" i="2" s="1"/>
  <c r="BP40" i="5" s="1"/>
  <c r="G915" i="2"/>
  <c r="K915" i="2" s="1"/>
  <c r="BP41" i="5" s="1"/>
  <c r="G916" i="2"/>
  <c r="K916" i="2" s="1"/>
  <c r="BP42" i="5" s="1"/>
  <c r="G917" i="2"/>
  <c r="K917" i="2" s="1"/>
  <c r="BP43" i="5" s="1"/>
  <c r="G918" i="2"/>
  <c r="K918" i="2" s="1"/>
  <c r="BP44" i="5" s="1"/>
  <c r="G919" i="2"/>
  <c r="K919" i="2" s="1"/>
  <c r="BP45" i="5" s="1"/>
  <c r="G920" i="2"/>
  <c r="K920" i="2" s="1"/>
  <c r="BP46" i="5" s="1"/>
  <c r="G921" i="2"/>
  <c r="K921" i="2" s="1"/>
  <c r="BP47" i="5" s="1"/>
  <c r="G922" i="2"/>
  <c r="K922" i="2" s="1"/>
  <c r="BP48" i="5" s="1"/>
  <c r="G923" i="2"/>
  <c r="K923" i="2" s="1"/>
  <c r="BP49" i="5" s="1"/>
  <c r="G924" i="2"/>
  <c r="K924" i="2" s="1"/>
  <c r="BP50" i="5" s="1"/>
  <c r="G925" i="2"/>
  <c r="K925" i="2" s="1"/>
  <c r="BP51" i="5" s="1"/>
  <c r="G926" i="2"/>
  <c r="K926" i="2" s="1"/>
  <c r="BP52" i="5" s="1"/>
  <c r="G927" i="2"/>
  <c r="K927" i="2" s="1"/>
  <c r="BP53" i="5" s="1"/>
  <c r="G928" i="2"/>
  <c r="K928" i="2" s="1"/>
  <c r="BP54" i="5" s="1"/>
  <c r="G929" i="2"/>
  <c r="K929" i="2" s="1"/>
  <c r="BP55" i="5" s="1"/>
  <c r="G930" i="2"/>
  <c r="K930" i="2" s="1"/>
  <c r="BP56" i="5" s="1"/>
  <c r="G931" i="2"/>
  <c r="K931" i="2" s="1"/>
  <c r="BP57" i="5" s="1"/>
  <c r="G932" i="2"/>
  <c r="K932" i="2" s="1"/>
  <c r="BP58" i="5" s="1"/>
  <c r="G933" i="2"/>
  <c r="K933" i="2" s="1"/>
  <c r="BP59" i="5" s="1"/>
  <c r="G934" i="2"/>
  <c r="K934" i="2" s="1"/>
  <c r="BP60" i="5" s="1"/>
  <c r="G935" i="2"/>
  <c r="K935" i="2" s="1"/>
  <c r="BP61" i="5" s="1"/>
  <c r="G936" i="2"/>
  <c r="K936" i="2" s="1"/>
  <c r="BP62" i="5" s="1"/>
  <c r="G883" i="2"/>
  <c r="G812" i="2"/>
  <c r="K812" i="2" s="1"/>
  <c r="BK10" i="5" s="1"/>
  <c r="G813" i="2"/>
  <c r="K813" i="2" s="1"/>
  <c r="BK11" i="5" s="1"/>
  <c r="G814" i="2"/>
  <c r="K814" i="2" s="1"/>
  <c r="BK12" i="5" s="1"/>
  <c r="G815" i="2"/>
  <c r="K815" i="2" s="1"/>
  <c r="BK13" i="5" s="1"/>
  <c r="G816" i="2"/>
  <c r="K816" i="2" s="1"/>
  <c r="BK14" i="5" s="1"/>
  <c r="G817" i="2"/>
  <c r="K817" i="2" s="1"/>
  <c r="BK15" i="5" s="1"/>
  <c r="G818" i="2"/>
  <c r="K818" i="2" s="1"/>
  <c r="BK16" i="5" s="1"/>
  <c r="G819" i="2"/>
  <c r="K819" i="2" s="1"/>
  <c r="BK17" i="5" s="1"/>
  <c r="G820" i="2"/>
  <c r="K820" i="2" s="1"/>
  <c r="BK18" i="5" s="1"/>
  <c r="G821" i="2"/>
  <c r="K821" i="2" s="1"/>
  <c r="BK19" i="5" s="1"/>
  <c r="G822" i="2"/>
  <c r="K822" i="2" s="1"/>
  <c r="BK20" i="5" s="1"/>
  <c r="G823" i="2"/>
  <c r="K823" i="2" s="1"/>
  <c r="BK21" i="5" s="1"/>
  <c r="G824" i="2"/>
  <c r="G825" i="2"/>
  <c r="K825" i="2" s="1"/>
  <c r="BK23" i="5" s="1"/>
  <c r="G826" i="2"/>
  <c r="K826" i="2" s="1"/>
  <c r="BK24" i="5" s="1"/>
  <c r="G827" i="2"/>
  <c r="K827" i="2" s="1"/>
  <c r="BK25" i="5" s="1"/>
  <c r="G828" i="2"/>
  <c r="K828" i="2" s="1"/>
  <c r="BK26" i="5" s="1"/>
  <c r="G829" i="2"/>
  <c r="K829" i="2" s="1"/>
  <c r="BK27" i="5" s="1"/>
  <c r="G830" i="2"/>
  <c r="K830" i="2" s="1"/>
  <c r="BK28" i="5" s="1"/>
  <c r="G831" i="2"/>
  <c r="K831" i="2" s="1"/>
  <c r="BK29" i="5" s="1"/>
  <c r="G832" i="2"/>
  <c r="K832" i="2" s="1"/>
  <c r="BK30" i="5" s="1"/>
  <c r="G833" i="2"/>
  <c r="K833" i="2" s="1"/>
  <c r="BK31" i="5" s="1"/>
  <c r="G834" i="2"/>
  <c r="K834" i="2" s="1"/>
  <c r="BK32" i="5" s="1"/>
  <c r="G835" i="2"/>
  <c r="K835" i="2" s="1"/>
  <c r="BK33" i="5" s="1"/>
  <c r="G836" i="2"/>
  <c r="K836" i="2" s="1"/>
  <c r="BK34" i="5" s="1"/>
  <c r="G837" i="2"/>
  <c r="K837" i="2" s="1"/>
  <c r="BK35" i="5" s="1"/>
  <c r="G838" i="2"/>
  <c r="K838" i="2" s="1"/>
  <c r="BK36" i="5" s="1"/>
  <c r="G839" i="2"/>
  <c r="K839" i="2" s="1"/>
  <c r="BK37" i="5" s="1"/>
  <c r="G840" i="2"/>
  <c r="K840" i="2" s="1"/>
  <c r="BK38" i="5" s="1"/>
  <c r="G841" i="2"/>
  <c r="K841" i="2" s="1"/>
  <c r="BK39" i="5" s="1"/>
  <c r="G842" i="2"/>
  <c r="K842" i="2" s="1"/>
  <c r="BK40" i="5" s="1"/>
  <c r="G843" i="2"/>
  <c r="K843" i="2" s="1"/>
  <c r="BK41" i="5" s="1"/>
  <c r="G844" i="2"/>
  <c r="K844" i="2" s="1"/>
  <c r="BK42" i="5" s="1"/>
  <c r="G845" i="2"/>
  <c r="K845" i="2" s="1"/>
  <c r="BK43" i="5" s="1"/>
  <c r="G846" i="2"/>
  <c r="K846" i="2" s="1"/>
  <c r="BK44" i="5" s="1"/>
  <c r="K847" i="2"/>
  <c r="BK45" i="5" s="1"/>
  <c r="G848" i="2"/>
  <c r="K848" i="2" s="1"/>
  <c r="BK46" i="5" s="1"/>
  <c r="G849" i="2"/>
  <c r="K849" i="2" s="1"/>
  <c r="BK47" i="5" s="1"/>
  <c r="G850" i="2"/>
  <c r="K850" i="2" s="1"/>
  <c r="BK48" i="5" s="1"/>
  <c r="G851" i="2"/>
  <c r="K851" i="2" s="1"/>
  <c r="BK49" i="5" s="1"/>
  <c r="G852" i="2"/>
  <c r="K852" i="2" s="1"/>
  <c r="BK50" i="5" s="1"/>
  <c r="G853" i="2"/>
  <c r="K853" i="2" s="1"/>
  <c r="BK51" i="5" s="1"/>
  <c r="G854" i="2"/>
  <c r="K854" i="2" s="1"/>
  <c r="BK52" i="5" s="1"/>
  <c r="G855" i="2"/>
  <c r="K855" i="2" s="1"/>
  <c r="BK53" i="5" s="1"/>
  <c r="G856" i="2"/>
  <c r="K856" i="2" s="1"/>
  <c r="BK54" i="5" s="1"/>
  <c r="G857" i="2"/>
  <c r="K857" i="2" s="1"/>
  <c r="BK55" i="5" s="1"/>
  <c r="G858" i="2"/>
  <c r="K858" i="2" s="1"/>
  <c r="BK56" i="5" s="1"/>
  <c r="G859" i="2"/>
  <c r="K859" i="2" s="1"/>
  <c r="BK57" i="5" s="1"/>
  <c r="G860" i="2"/>
  <c r="K860" i="2" s="1"/>
  <c r="BK58" i="5" s="1"/>
  <c r="G861" i="2"/>
  <c r="K861" i="2" s="1"/>
  <c r="BK59" i="5" s="1"/>
  <c r="G862" i="2"/>
  <c r="K862" i="2" s="1"/>
  <c r="BK60" i="5" s="1"/>
  <c r="G863" i="2"/>
  <c r="K863" i="2" s="1"/>
  <c r="BK61" i="5" s="1"/>
  <c r="G864" i="2"/>
  <c r="K864" i="2" s="1"/>
  <c r="BK62" i="5" s="1"/>
  <c r="G811" i="2"/>
  <c r="G744" i="2"/>
  <c r="K744" i="2" s="1"/>
  <c r="BF10" i="5" s="1"/>
  <c r="G745" i="2"/>
  <c r="K745" i="2" s="1"/>
  <c r="BF11" i="5" s="1"/>
  <c r="G746" i="2"/>
  <c r="K746" i="2" s="1"/>
  <c r="BF12" i="5" s="1"/>
  <c r="G747" i="2"/>
  <c r="G748" i="2"/>
  <c r="K748" i="2" s="1"/>
  <c r="BF14" i="5" s="1"/>
  <c r="G749" i="2"/>
  <c r="K749" i="2" s="1"/>
  <c r="BF15" i="5" s="1"/>
  <c r="G750" i="2"/>
  <c r="K750" i="2" s="1"/>
  <c r="BF16" i="5" s="1"/>
  <c r="G751" i="2"/>
  <c r="K751" i="2" s="1"/>
  <c r="BF17" i="5" s="1"/>
  <c r="G752" i="2"/>
  <c r="K752" i="2" s="1"/>
  <c r="BF18" i="5" s="1"/>
  <c r="G753" i="2"/>
  <c r="K753" i="2" s="1"/>
  <c r="BF19" i="5" s="1"/>
  <c r="G754" i="2"/>
  <c r="K754" i="2" s="1"/>
  <c r="BF20" i="5" s="1"/>
  <c r="G755" i="2"/>
  <c r="K755" i="2" s="1"/>
  <c r="BF21" i="5" s="1"/>
  <c r="G756" i="2"/>
  <c r="K756" i="2" s="1"/>
  <c r="BF22" i="5" s="1"/>
  <c r="G757" i="2"/>
  <c r="K757" i="2" s="1"/>
  <c r="BF23" i="5" s="1"/>
  <c r="G758" i="2"/>
  <c r="K758" i="2" s="1"/>
  <c r="BF24" i="5" s="1"/>
  <c r="G759" i="2"/>
  <c r="K759" i="2" s="1"/>
  <c r="BF25" i="5" s="1"/>
  <c r="G760" i="2"/>
  <c r="G761" i="2"/>
  <c r="K761" i="2" s="1"/>
  <c r="BF27" i="5" s="1"/>
  <c r="G762" i="2"/>
  <c r="K762" i="2" s="1"/>
  <c r="BF28" i="5" s="1"/>
  <c r="G763" i="2"/>
  <c r="K763" i="2" s="1"/>
  <c r="BF29" i="5" s="1"/>
  <c r="G764" i="2"/>
  <c r="G765" i="2"/>
  <c r="K765" i="2" s="1"/>
  <c r="BF31" i="5" s="1"/>
  <c r="G766" i="2"/>
  <c r="K766" i="2" s="1"/>
  <c r="BF32" i="5" s="1"/>
  <c r="G767" i="2"/>
  <c r="K767" i="2" s="1"/>
  <c r="BF33" i="5" s="1"/>
  <c r="G768" i="2"/>
  <c r="K768" i="2" s="1"/>
  <c r="BF34" i="5" s="1"/>
  <c r="G769" i="2"/>
  <c r="K769" i="2" s="1"/>
  <c r="BF35" i="5" s="1"/>
  <c r="G770" i="2"/>
  <c r="K770" i="2" s="1"/>
  <c r="BF36" i="5" s="1"/>
  <c r="G771" i="2"/>
  <c r="K771" i="2" s="1"/>
  <c r="BF37" i="5" s="1"/>
  <c r="G772" i="2"/>
  <c r="G773" i="2"/>
  <c r="K773" i="2" s="1"/>
  <c r="BF39" i="5" s="1"/>
  <c r="G774" i="2"/>
  <c r="K774" i="2" s="1"/>
  <c r="BF40" i="5" s="1"/>
  <c r="G775" i="2"/>
  <c r="K775" i="2" s="1"/>
  <c r="BF41" i="5" s="1"/>
  <c r="G776" i="2"/>
  <c r="K776" i="2" s="1"/>
  <c r="BF42" i="5" s="1"/>
  <c r="G777" i="2"/>
  <c r="K777" i="2" s="1"/>
  <c r="BF43" i="5" s="1"/>
  <c r="G778" i="2"/>
  <c r="K778" i="2" s="1"/>
  <c r="BF44" i="5" s="1"/>
  <c r="G779" i="2"/>
  <c r="K779" i="2" s="1"/>
  <c r="BF45" i="5" s="1"/>
  <c r="G780" i="2"/>
  <c r="K780" i="2" s="1"/>
  <c r="BF46" i="5" s="1"/>
  <c r="G781" i="2"/>
  <c r="K781" i="2" s="1"/>
  <c r="BF47" i="5" s="1"/>
  <c r="G782" i="2"/>
  <c r="K782" i="2" s="1"/>
  <c r="BF48" i="5" s="1"/>
  <c r="G783" i="2"/>
  <c r="K783" i="2" s="1"/>
  <c r="BF49" i="5" s="1"/>
  <c r="G784" i="2"/>
  <c r="G785" i="2"/>
  <c r="K785" i="2" s="1"/>
  <c r="BF51" i="5" s="1"/>
  <c r="G786" i="2"/>
  <c r="K786" i="2" s="1"/>
  <c r="BF52" i="5" s="1"/>
  <c r="G787" i="2"/>
  <c r="K787" i="2" s="1"/>
  <c r="BF53" i="5" s="1"/>
  <c r="G788" i="2"/>
  <c r="K788" i="2" s="1"/>
  <c r="BF54" i="5" s="1"/>
  <c r="G789" i="2"/>
  <c r="K789" i="2" s="1"/>
  <c r="BF55" i="5" s="1"/>
  <c r="G790" i="2"/>
  <c r="K790" i="2" s="1"/>
  <c r="BF56" i="5" s="1"/>
  <c r="G791" i="2"/>
  <c r="K791" i="2" s="1"/>
  <c r="BF57" i="5" s="1"/>
  <c r="G792" i="2"/>
  <c r="K792" i="2" s="1"/>
  <c r="BF58" i="5" s="1"/>
  <c r="G793" i="2"/>
  <c r="K793" i="2" s="1"/>
  <c r="BF59" i="5" s="1"/>
  <c r="G794" i="2"/>
  <c r="K794" i="2" s="1"/>
  <c r="BF60" i="5" s="1"/>
  <c r="G795" i="2"/>
  <c r="K795" i="2" s="1"/>
  <c r="BF61" i="5" s="1"/>
  <c r="G796" i="2"/>
  <c r="K796" i="2" s="1"/>
  <c r="BF62" i="5" s="1"/>
  <c r="K747" i="2"/>
  <c r="BF13" i="5" s="1"/>
  <c r="K760" i="2"/>
  <c r="BF26" i="5" s="1"/>
  <c r="K764" i="2"/>
  <c r="BF30" i="5" s="1"/>
  <c r="K772" i="2"/>
  <c r="BF38" i="5" s="1"/>
  <c r="K784" i="2"/>
  <c r="BF50" i="5" s="1"/>
  <c r="G743" i="2"/>
  <c r="G669" i="2"/>
  <c r="K669" i="2" s="1"/>
  <c r="G670" i="2"/>
  <c r="K670" i="2" s="1"/>
  <c r="BA11" i="5" s="1"/>
  <c r="G671" i="2"/>
  <c r="K671" i="2" s="1"/>
  <c r="BA12" i="5" s="1"/>
  <c r="G672" i="2"/>
  <c r="K672" i="2" s="1"/>
  <c r="BA13" i="5" s="1"/>
  <c r="G673" i="2"/>
  <c r="K673" i="2" s="1"/>
  <c r="BA14" i="5" s="1"/>
  <c r="G674" i="2"/>
  <c r="K674" i="2" s="1"/>
  <c r="BA15" i="5" s="1"/>
  <c r="G675" i="2"/>
  <c r="K675" i="2" s="1"/>
  <c r="BA16" i="5" s="1"/>
  <c r="G676" i="2"/>
  <c r="K676" i="2" s="1"/>
  <c r="BA17" i="5" s="1"/>
  <c r="G677" i="2"/>
  <c r="K677" i="2" s="1"/>
  <c r="BA18" i="5" s="1"/>
  <c r="G678" i="2"/>
  <c r="K678" i="2" s="1"/>
  <c r="BA19" i="5" s="1"/>
  <c r="G679" i="2"/>
  <c r="K679" i="2" s="1"/>
  <c r="BA20" i="5" s="1"/>
  <c r="G680" i="2"/>
  <c r="K680" i="2" s="1"/>
  <c r="BA21" i="5" s="1"/>
  <c r="G681" i="2"/>
  <c r="K681" i="2" s="1"/>
  <c r="BA22" i="5" s="1"/>
  <c r="G682" i="2"/>
  <c r="K682" i="2" s="1"/>
  <c r="BA23" i="5" s="1"/>
  <c r="G683" i="2"/>
  <c r="K683" i="2" s="1"/>
  <c r="BA24" i="5" s="1"/>
  <c r="G684" i="2"/>
  <c r="K684" i="2" s="1"/>
  <c r="BA25" i="5" s="1"/>
  <c r="G685" i="2"/>
  <c r="K685" i="2" s="1"/>
  <c r="BA26" i="5" s="1"/>
  <c r="G686" i="2"/>
  <c r="K686" i="2" s="1"/>
  <c r="BA27" i="5" s="1"/>
  <c r="G687" i="2"/>
  <c r="K687" i="2" s="1"/>
  <c r="BA28" i="5" s="1"/>
  <c r="G688" i="2"/>
  <c r="K688" i="2" s="1"/>
  <c r="BA29" i="5" s="1"/>
  <c r="G689" i="2"/>
  <c r="K689" i="2" s="1"/>
  <c r="BA30" i="5" s="1"/>
  <c r="G690" i="2"/>
  <c r="K690" i="2" s="1"/>
  <c r="BA31" i="5" s="1"/>
  <c r="G691" i="2"/>
  <c r="K691" i="2" s="1"/>
  <c r="BA32" i="5" s="1"/>
  <c r="G692" i="2"/>
  <c r="K692" i="2" s="1"/>
  <c r="BA33" i="5" s="1"/>
  <c r="G693" i="2"/>
  <c r="K693" i="2" s="1"/>
  <c r="BA34" i="5" s="1"/>
  <c r="G694" i="2"/>
  <c r="K694" i="2" s="1"/>
  <c r="BA35" i="5" s="1"/>
  <c r="G695" i="2"/>
  <c r="K695" i="2" s="1"/>
  <c r="BA36" i="5" s="1"/>
  <c r="G696" i="2"/>
  <c r="K696" i="2" s="1"/>
  <c r="BA37" i="5" s="1"/>
  <c r="G697" i="2"/>
  <c r="K697" i="2" s="1"/>
  <c r="BA38" i="5" s="1"/>
  <c r="G698" i="2"/>
  <c r="K698" i="2" s="1"/>
  <c r="BA39" i="5" s="1"/>
  <c r="G699" i="2"/>
  <c r="K699" i="2" s="1"/>
  <c r="BA40" i="5" s="1"/>
  <c r="G700" i="2"/>
  <c r="K700" i="2" s="1"/>
  <c r="BA41" i="5" s="1"/>
  <c r="G701" i="2"/>
  <c r="K701" i="2" s="1"/>
  <c r="BA42" i="5" s="1"/>
  <c r="G702" i="2"/>
  <c r="K702" i="2" s="1"/>
  <c r="BA43" i="5" s="1"/>
  <c r="G703" i="2"/>
  <c r="K703" i="2" s="1"/>
  <c r="BA44" i="5" s="1"/>
  <c r="G704" i="2"/>
  <c r="K704" i="2" s="1"/>
  <c r="BA45" i="5" s="1"/>
  <c r="G705" i="2"/>
  <c r="K705" i="2" s="1"/>
  <c r="BA46" i="5" s="1"/>
  <c r="G706" i="2"/>
  <c r="K706" i="2" s="1"/>
  <c r="BA47" i="5" s="1"/>
  <c r="G707" i="2"/>
  <c r="K707" i="2" s="1"/>
  <c r="BA48" i="5" s="1"/>
  <c r="G708" i="2"/>
  <c r="K708" i="2" s="1"/>
  <c r="BA49" i="5" s="1"/>
  <c r="G709" i="2"/>
  <c r="K709" i="2" s="1"/>
  <c r="BA50" i="5" s="1"/>
  <c r="G710" i="2"/>
  <c r="K710" i="2" s="1"/>
  <c r="BA51" i="5" s="1"/>
  <c r="G711" i="2"/>
  <c r="K711" i="2" s="1"/>
  <c r="BA52" i="5" s="1"/>
  <c r="G712" i="2"/>
  <c r="K712" i="2" s="1"/>
  <c r="BA53" i="5" s="1"/>
  <c r="G713" i="2"/>
  <c r="K713" i="2" s="1"/>
  <c r="BA54" i="5" s="1"/>
  <c r="G714" i="2"/>
  <c r="K714" i="2" s="1"/>
  <c r="BA55" i="5" s="1"/>
  <c r="G715" i="2"/>
  <c r="K715" i="2" s="1"/>
  <c r="BA56" i="5" s="1"/>
  <c r="G716" i="2"/>
  <c r="K716" i="2" s="1"/>
  <c r="BA57" i="5" s="1"/>
  <c r="G717" i="2"/>
  <c r="K717" i="2" s="1"/>
  <c r="BA58" i="5" s="1"/>
  <c r="G718" i="2"/>
  <c r="K718" i="2" s="1"/>
  <c r="BA59" i="5" s="1"/>
  <c r="G719" i="2"/>
  <c r="K719" i="2" s="1"/>
  <c r="BA60" i="5" s="1"/>
  <c r="G720" i="2"/>
  <c r="K720" i="2" s="1"/>
  <c r="BA61" i="5" s="1"/>
  <c r="G721" i="2"/>
  <c r="K721" i="2" s="1"/>
  <c r="BA62" i="5" s="1"/>
  <c r="G668" i="2"/>
  <c r="K668" i="2" s="1"/>
  <c r="BA9" i="5" s="1"/>
  <c r="G598" i="2"/>
  <c r="K598" i="2" s="1"/>
  <c r="AV10" i="5" s="1"/>
  <c r="G599" i="2"/>
  <c r="K599" i="2" s="1"/>
  <c r="AV11" i="5" s="1"/>
  <c r="G600" i="2"/>
  <c r="K600" i="2" s="1"/>
  <c r="AV12" i="5" s="1"/>
  <c r="G601" i="2"/>
  <c r="K601" i="2" s="1"/>
  <c r="AV13" i="5" s="1"/>
  <c r="G602" i="2"/>
  <c r="K602" i="2" s="1"/>
  <c r="AV14" i="5" s="1"/>
  <c r="G603" i="2"/>
  <c r="K603" i="2" s="1"/>
  <c r="AV15" i="5" s="1"/>
  <c r="G604" i="2"/>
  <c r="K604" i="2" s="1"/>
  <c r="AV16" i="5" s="1"/>
  <c r="G605" i="2"/>
  <c r="K605" i="2" s="1"/>
  <c r="AV17" i="5" s="1"/>
  <c r="G606" i="2"/>
  <c r="K606" i="2" s="1"/>
  <c r="AV18" i="5" s="1"/>
  <c r="G607" i="2"/>
  <c r="K607" i="2" s="1"/>
  <c r="AV19" i="5" s="1"/>
  <c r="G608" i="2"/>
  <c r="K608" i="2" s="1"/>
  <c r="AV20" i="5" s="1"/>
  <c r="G609" i="2"/>
  <c r="K609" i="2" s="1"/>
  <c r="AV21" i="5" s="1"/>
  <c r="G610" i="2"/>
  <c r="K610" i="2" s="1"/>
  <c r="AV22" i="5" s="1"/>
  <c r="G611" i="2"/>
  <c r="K611" i="2" s="1"/>
  <c r="AV23" i="5" s="1"/>
  <c r="G612" i="2"/>
  <c r="K612" i="2" s="1"/>
  <c r="AV24" i="5" s="1"/>
  <c r="G613" i="2"/>
  <c r="K613" i="2" s="1"/>
  <c r="AV25" i="5" s="1"/>
  <c r="G614" i="2"/>
  <c r="K614" i="2" s="1"/>
  <c r="AV26" i="5" s="1"/>
  <c r="G615" i="2"/>
  <c r="K615" i="2" s="1"/>
  <c r="AV27" i="5" s="1"/>
  <c r="G616" i="2"/>
  <c r="K616" i="2" s="1"/>
  <c r="AV28" i="5" s="1"/>
  <c r="G617" i="2"/>
  <c r="K617" i="2" s="1"/>
  <c r="AV29" i="5" s="1"/>
  <c r="G618" i="2"/>
  <c r="K618" i="2" s="1"/>
  <c r="AV30" i="5" s="1"/>
  <c r="G619" i="2"/>
  <c r="K619" i="2" s="1"/>
  <c r="AV31" i="5" s="1"/>
  <c r="G620" i="2"/>
  <c r="K620" i="2" s="1"/>
  <c r="AV32" i="5" s="1"/>
  <c r="G621" i="2"/>
  <c r="K621" i="2" s="1"/>
  <c r="AV33" i="5" s="1"/>
  <c r="G622" i="2"/>
  <c r="K622" i="2" s="1"/>
  <c r="AV34" i="5" s="1"/>
  <c r="G623" i="2"/>
  <c r="K623" i="2" s="1"/>
  <c r="AV35" i="5" s="1"/>
  <c r="G624" i="2"/>
  <c r="K624" i="2" s="1"/>
  <c r="AV36" i="5" s="1"/>
  <c r="G625" i="2"/>
  <c r="K625" i="2" s="1"/>
  <c r="AV37" i="5" s="1"/>
  <c r="G626" i="2"/>
  <c r="K626" i="2" s="1"/>
  <c r="AV38" i="5" s="1"/>
  <c r="G627" i="2"/>
  <c r="K627" i="2" s="1"/>
  <c r="AV39" i="5" s="1"/>
  <c r="G628" i="2"/>
  <c r="K628" i="2" s="1"/>
  <c r="AV40" i="5" s="1"/>
  <c r="G629" i="2"/>
  <c r="K629" i="2" s="1"/>
  <c r="AV41" i="5" s="1"/>
  <c r="G630" i="2"/>
  <c r="K630" i="2" s="1"/>
  <c r="AV42" i="5" s="1"/>
  <c r="G631" i="2"/>
  <c r="K631" i="2" s="1"/>
  <c r="AV43" i="5" s="1"/>
  <c r="G632" i="2"/>
  <c r="K632" i="2" s="1"/>
  <c r="AV44" i="5" s="1"/>
  <c r="G633" i="2"/>
  <c r="K633" i="2" s="1"/>
  <c r="AV45" i="5" s="1"/>
  <c r="G634" i="2"/>
  <c r="K634" i="2" s="1"/>
  <c r="AV46" i="5" s="1"/>
  <c r="G635" i="2"/>
  <c r="K635" i="2" s="1"/>
  <c r="AV47" i="5" s="1"/>
  <c r="G636" i="2"/>
  <c r="K636" i="2" s="1"/>
  <c r="AV48" i="5" s="1"/>
  <c r="G637" i="2"/>
  <c r="K637" i="2" s="1"/>
  <c r="AV49" i="5" s="1"/>
  <c r="G638" i="2"/>
  <c r="K638" i="2" s="1"/>
  <c r="AV50" i="5" s="1"/>
  <c r="G639" i="2"/>
  <c r="K639" i="2" s="1"/>
  <c r="AV51" i="5" s="1"/>
  <c r="G640" i="2"/>
  <c r="K640" i="2" s="1"/>
  <c r="AV52" i="5" s="1"/>
  <c r="K641" i="2"/>
  <c r="AV53" i="5" s="1"/>
  <c r="AV54" i="5"/>
  <c r="G643" i="2"/>
  <c r="K643" i="2" s="1"/>
  <c r="AV55" i="5" s="1"/>
  <c r="G644" i="2"/>
  <c r="K644" i="2" s="1"/>
  <c r="AV56" i="5" s="1"/>
  <c r="G645" i="2"/>
  <c r="K645" i="2" s="1"/>
  <c r="AV57" i="5" s="1"/>
  <c r="G646" i="2"/>
  <c r="K646" i="2" s="1"/>
  <c r="AV58" i="5" s="1"/>
  <c r="G647" i="2"/>
  <c r="K647" i="2" s="1"/>
  <c r="AV59" i="5" s="1"/>
  <c r="G648" i="2"/>
  <c r="K648" i="2" s="1"/>
  <c r="AV60" i="5" s="1"/>
  <c r="G649" i="2"/>
  <c r="K649" i="2" s="1"/>
  <c r="AV61" i="5" s="1"/>
  <c r="G650" i="2"/>
  <c r="K650" i="2" s="1"/>
  <c r="AV62" i="5" s="1"/>
  <c r="G597" i="2"/>
  <c r="K597" i="2" s="1"/>
  <c r="AV9" i="5" s="1"/>
  <c r="G580" i="2"/>
  <c r="K580" i="2" s="1"/>
  <c r="AQ62" i="5" s="1"/>
  <c r="G528" i="2"/>
  <c r="K528" i="2" s="1"/>
  <c r="AQ10" i="5" s="1"/>
  <c r="G529" i="2"/>
  <c r="K529" i="2" s="1"/>
  <c r="AQ11" i="5" s="1"/>
  <c r="G530" i="2"/>
  <c r="K530" i="2" s="1"/>
  <c r="AQ12" i="5" s="1"/>
  <c r="G531" i="2"/>
  <c r="K531" i="2" s="1"/>
  <c r="AQ13" i="5" s="1"/>
  <c r="G532" i="2"/>
  <c r="K532" i="2" s="1"/>
  <c r="AQ14" i="5" s="1"/>
  <c r="G533" i="2"/>
  <c r="K533" i="2" s="1"/>
  <c r="AQ15" i="5" s="1"/>
  <c r="G534" i="2"/>
  <c r="K534" i="2" s="1"/>
  <c r="AQ16" i="5" s="1"/>
  <c r="G535" i="2"/>
  <c r="K535" i="2" s="1"/>
  <c r="AQ17" i="5" s="1"/>
  <c r="G536" i="2"/>
  <c r="K536" i="2" s="1"/>
  <c r="AQ18" i="5" s="1"/>
  <c r="K537" i="2"/>
  <c r="AQ19" i="5" s="1"/>
  <c r="G538" i="2"/>
  <c r="K538" i="2" s="1"/>
  <c r="AQ20" i="5" s="1"/>
  <c r="G539" i="2"/>
  <c r="K539" i="2" s="1"/>
  <c r="AQ21" i="5" s="1"/>
  <c r="G540" i="2"/>
  <c r="K540" i="2" s="1"/>
  <c r="AQ22" i="5" s="1"/>
  <c r="G541" i="2"/>
  <c r="K541" i="2" s="1"/>
  <c r="AQ23" i="5" s="1"/>
  <c r="G542" i="2"/>
  <c r="K542" i="2" s="1"/>
  <c r="AQ24" i="5" s="1"/>
  <c r="G543" i="2"/>
  <c r="K543" i="2" s="1"/>
  <c r="AQ25" i="5" s="1"/>
  <c r="G544" i="2"/>
  <c r="K544" i="2" s="1"/>
  <c r="AQ26" i="5" s="1"/>
  <c r="G545" i="2"/>
  <c r="K545" i="2" s="1"/>
  <c r="AQ27" i="5" s="1"/>
  <c r="G546" i="2"/>
  <c r="K546" i="2" s="1"/>
  <c r="AQ28" i="5" s="1"/>
  <c r="G547" i="2"/>
  <c r="K547" i="2" s="1"/>
  <c r="AQ29" i="5" s="1"/>
  <c r="G548" i="2"/>
  <c r="K548" i="2" s="1"/>
  <c r="AQ30" i="5" s="1"/>
  <c r="G549" i="2"/>
  <c r="K549" i="2" s="1"/>
  <c r="AQ31" i="5" s="1"/>
  <c r="G550" i="2"/>
  <c r="K550" i="2" s="1"/>
  <c r="AQ32" i="5" s="1"/>
  <c r="G551" i="2"/>
  <c r="K551" i="2" s="1"/>
  <c r="AQ33" i="5" s="1"/>
  <c r="G552" i="2"/>
  <c r="K552" i="2" s="1"/>
  <c r="AQ34" i="5" s="1"/>
  <c r="G553" i="2"/>
  <c r="K553" i="2" s="1"/>
  <c r="AQ35" i="5" s="1"/>
  <c r="G554" i="2"/>
  <c r="K554" i="2" s="1"/>
  <c r="AQ36" i="5" s="1"/>
  <c r="G555" i="2"/>
  <c r="K555" i="2" s="1"/>
  <c r="AQ37" i="5" s="1"/>
  <c r="G556" i="2"/>
  <c r="K556" i="2" s="1"/>
  <c r="AQ38" i="5" s="1"/>
  <c r="G557" i="2"/>
  <c r="K557" i="2" s="1"/>
  <c r="AQ39" i="5" s="1"/>
  <c r="G558" i="2"/>
  <c r="K558" i="2" s="1"/>
  <c r="AQ40" i="5" s="1"/>
  <c r="G559" i="2"/>
  <c r="K559" i="2" s="1"/>
  <c r="AQ41" i="5" s="1"/>
  <c r="G560" i="2"/>
  <c r="K560" i="2" s="1"/>
  <c r="AQ42" i="5" s="1"/>
  <c r="G561" i="2"/>
  <c r="K561" i="2" s="1"/>
  <c r="AQ43" i="5" s="1"/>
  <c r="G562" i="2"/>
  <c r="K562" i="2" s="1"/>
  <c r="AQ44" i="5" s="1"/>
  <c r="G563" i="2"/>
  <c r="K563" i="2" s="1"/>
  <c r="AQ45" i="5" s="1"/>
  <c r="G564" i="2"/>
  <c r="K564" i="2" s="1"/>
  <c r="AQ46" i="5" s="1"/>
  <c r="G565" i="2"/>
  <c r="K565" i="2" s="1"/>
  <c r="AQ47" i="5" s="1"/>
  <c r="G566" i="2"/>
  <c r="K566" i="2" s="1"/>
  <c r="AQ48" i="5" s="1"/>
  <c r="G567" i="2"/>
  <c r="K567" i="2" s="1"/>
  <c r="AQ49" i="5" s="1"/>
  <c r="G568" i="2"/>
  <c r="K568" i="2" s="1"/>
  <c r="AQ50" i="5" s="1"/>
  <c r="G569" i="2"/>
  <c r="K569" i="2" s="1"/>
  <c r="AQ51" i="5" s="1"/>
  <c r="G570" i="2"/>
  <c r="K570" i="2" s="1"/>
  <c r="AQ52" i="5" s="1"/>
  <c r="G571" i="2"/>
  <c r="K571" i="2" s="1"/>
  <c r="AQ53" i="5" s="1"/>
  <c r="G572" i="2"/>
  <c r="K572" i="2" s="1"/>
  <c r="AQ54" i="5" s="1"/>
  <c r="G573" i="2"/>
  <c r="K573" i="2" s="1"/>
  <c r="AQ55" i="5" s="1"/>
  <c r="G574" i="2"/>
  <c r="K574" i="2" s="1"/>
  <c r="AQ56" i="5" s="1"/>
  <c r="G575" i="2"/>
  <c r="K575" i="2" s="1"/>
  <c r="AQ57" i="5" s="1"/>
  <c r="G576" i="2"/>
  <c r="K576" i="2" s="1"/>
  <c r="AQ58" i="5" s="1"/>
  <c r="G577" i="2"/>
  <c r="K577" i="2" s="1"/>
  <c r="AQ59" i="5" s="1"/>
  <c r="G578" i="2"/>
  <c r="K578" i="2" s="1"/>
  <c r="AQ60" i="5" s="1"/>
  <c r="G579" i="2"/>
  <c r="K579" i="2" s="1"/>
  <c r="AQ61" i="5" s="1"/>
  <c r="G527" i="2"/>
  <c r="G452" i="2"/>
  <c r="K452" i="2" s="1"/>
  <c r="AL10" i="5" s="1"/>
  <c r="G453" i="2"/>
  <c r="K453" i="2" s="1"/>
  <c r="AL11" i="5" s="1"/>
  <c r="G454" i="2"/>
  <c r="K454" i="2" s="1"/>
  <c r="AL12" i="5" s="1"/>
  <c r="G455" i="2"/>
  <c r="K455" i="2" s="1"/>
  <c r="AL13" i="5" s="1"/>
  <c r="G456" i="2"/>
  <c r="K456" i="2" s="1"/>
  <c r="AL14" i="5" s="1"/>
  <c r="G457" i="2"/>
  <c r="K457" i="2" s="1"/>
  <c r="AL15" i="5" s="1"/>
  <c r="G458" i="2"/>
  <c r="K458" i="2" s="1"/>
  <c r="AL16" i="5" s="1"/>
  <c r="G459" i="2"/>
  <c r="K459" i="2" s="1"/>
  <c r="AL17" i="5" s="1"/>
  <c r="G460" i="2"/>
  <c r="K460" i="2" s="1"/>
  <c r="AL18" i="5" s="1"/>
  <c r="G461" i="2"/>
  <c r="K461" i="2" s="1"/>
  <c r="AL19" i="5" s="1"/>
  <c r="G462" i="2"/>
  <c r="K462" i="2" s="1"/>
  <c r="AL20" i="5" s="1"/>
  <c r="G463" i="2"/>
  <c r="K463" i="2" s="1"/>
  <c r="AL21" i="5" s="1"/>
  <c r="G464" i="2"/>
  <c r="K464" i="2" s="1"/>
  <c r="AL22" i="5" s="1"/>
  <c r="G465" i="2"/>
  <c r="K465" i="2" s="1"/>
  <c r="AL23" i="5" s="1"/>
  <c r="G466" i="2"/>
  <c r="K466" i="2" s="1"/>
  <c r="AL24" i="5" s="1"/>
  <c r="G467" i="2"/>
  <c r="K467" i="2" s="1"/>
  <c r="AL25" i="5" s="1"/>
  <c r="G468" i="2"/>
  <c r="K468" i="2" s="1"/>
  <c r="AL26" i="5" s="1"/>
  <c r="G469" i="2"/>
  <c r="K469" i="2" s="1"/>
  <c r="AL27" i="5" s="1"/>
  <c r="G470" i="2"/>
  <c r="K470" i="2" s="1"/>
  <c r="AL28" i="5" s="1"/>
  <c r="G471" i="2"/>
  <c r="K471" i="2" s="1"/>
  <c r="AL29" i="5" s="1"/>
  <c r="G472" i="2"/>
  <c r="K472" i="2" s="1"/>
  <c r="AL30" i="5" s="1"/>
  <c r="G473" i="2"/>
  <c r="K473" i="2" s="1"/>
  <c r="AL31" i="5" s="1"/>
  <c r="G474" i="2"/>
  <c r="K474" i="2" s="1"/>
  <c r="AL32" i="5" s="1"/>
  <c r="G475" i="2"/>
  <c r="K475" i="2" s="1"/>
  <c r="AL33" i="5" s="1"/>
  <c r="G476" i="2"/>
  <c r="K476" i="2" s="1"/>
  <c r="AL34" i="5" s="1"/>
  <c r="G477" i="2"/>
  <c r="K477" i="2" s="1"/>
  <c r="AL35" i="5" s="1"/>
  <c r="G478" i="2"/>
  <c r="K478" i="2" s="1"/>
  <c r="AL36" i="5" s="1"/>
  <c r="G479" i="2"/>
  <c r="K479" i="2" s="1"/>
  <c r="AL37" i="5" s="1"/>
  <c r="G480" i="2"/>
  <c r="K480" i="2" s="1"/>
  <c r="AL38" i="5" s="1"/>
  <c r="G481" i="2"/>
  <c r="K481" i="2" s="1"/>
  <c r="AL39" i="5" s="1"/>
  <c r="G482" i="2"/>
  <c r="K482" i="2" s="1"/>
  <c r="AL40" i="5" s="1"/>
  <c r="G483" i="2"/>
  <c r="K483" i="2" s="1"/>
  <c r="AL41" i="5" s="1"/>
  <c r="G484" i="2"/>
  <c r="K484" i="2" s="1"/>
  <c r="AL42" i="5" s="1"/>
  <c r="G485" i="2"/>
  <c r="K485" i="2" s="1"/>
  <c r="AL43" i="5" s="1"/>
  <c r="G486" i="2"/>
  <c r="K486" i="2" s="1"/>
  <c r="AL44" i="5" s="1"/>
  <c r="G487" i="2"/>
  <c r="K487" i="2" s="1"/>
  <c r="AL45" i="5" s="1"/>
  <c r="G488" i="2"/>
  <c r="K488" i="2" s="1"/>
  <c r="AL46" i="5" s="1"/>
  <c r="G489" i="2"/>
  <c r="K489" i="2" s="1"/>
  <c r="AL47" i="5" s="1"/>
  <c r="G490" i="2"/>
  <c r="K490" i="2" s="1"/>
  <c r="AL48" i="5" s="1"/>
  <c r="G491" i="2"/>
  <c r="K491" i="2" s="1"/>
  <c r="AL49" i="5" s="1"/>
  <c r="G492" i="2"/>
  <c r="K492" i="2" s="1"/>
  <c r="AL50" i="5" s="1"/>
  <c r="G493" i="2"/>
  <c r="K493" i="2" s="1"/>
  <c r="AL51" i="5" s="1"/>
  <c r="G494" i="2"/>
  <c r="K494" i="2" s="1"/>
  <c r="AL52" i="5" s="1"/>
  <c r="G495" i="2"/>
  <c r="K495" i="2" s="1"/>
  <c r="AL53" i="5" s="1"/>
  <c r="G496" i="2"/>
  <c r="K496" i="2" s="1"/>
  <c r="AL54" i="5" s="1"/>
  <c r="G497" i="2"/>
  <c r="K497" i="2" s="1"/>
  <c r="AL55" i="5" s="1"/>
  <c r="G498" i="2"/>
  <c r="K498" i="2" s="1"/>
  <c r="AL56" i="5" s="1"/>
  <c r="G499" i="2"/>
  <c r="K499" i="2" s="1"/>
  <c r="AL57" i="5" s="1"/>
  <c r="G500" i="2"/>
  <c r="K500" i="2" s="1"/>
  <c r="AL58" i="5" s="1"/>
  <c r="G501" i="2"/>
  <c r="K501" i="2" s="1"/>
  <c r="AL59" i="5" s="1"/>
  <c r="G502" i="2"/>
  <c r="K502" i="2" s="1"/>
  <c r="AL60" i="5" s="1"/>
  <c r="G503" i="2"/>
  <c r="K503" i="2" s="1"/>
  <c r="AL61" i="5" s="1"/>
  <c r="G504" i="2"/>
  <c r="K504" i="2" s="1"/>
  <c r="AL62" i="5" s="1"/>
  <c r="G451" i="2"/>
  <c r="G374" i="2"/>
  <c r="G375" i="2"/>
  <c r="K375" i="2" s="1"/>
  <c r="AG11" i="5" s="1"/>
  <c r="G376" i="2"/>
  <c r="K376" i="2" s="1"/>
  <c r="AG12" i="5" s="1"/>
  <c r="G377" i="2"/>
  <c r="K377" i="2" s="1"/>
  <c r="AG13" i="5" s="1"/>
  <c r="G378" i="2"/>
  <c r="K378" i="2" s="1"/>
  <c r="AG14" i="5" s="1"/>
  <c r="G379" i="2"/>
  <c r="K379" i="2" s="1"/>
  <c r="AG15" i="5" s="1"/>
  <c r="G380" i="2"/>
  <c r="K380" i="2" s="1"/>
  <c r="AG16" i="5" s="1"/>
  <c r="G381" i="2"/>
  <c r="K381" i="2" s="1"/>
  <c r="AG17" i="5" s="1"/>
  <c r="G382" i="2"/>
  <c r="K382" i="2" s="1"/>
  <c r="AG18" i="5" s="1"/>
  <c r="G383" i="2"/>
  <c r="K383" i="2" s="1"/>
  <c r="AG19" i="5" s="1"/>
  <c r="G384" i="2"/>
  <c r="K384" i="2" s="1"/>
  <c r="AG20" i="5" s="1"/>
  <c r="G385" i="2"/>
  <c r="K385" i="2" s="1"/>
  <c r="AG21" i="5" s="1"/>
  <c r="G386" i="2"/>
  <c r="K386" i="2" s="1"/>
  <c r="AG22" i="5" s="1"/>
  <c r="G387" i="2"/>
  <c r="K387" i="2" s="1"/>
  <c r="AG23" i="5" s="1"/>
  <c r="G388" i="2"/>
  <c r="K388" i="2" s="1"/>
  <c r="AG24" i="5" s="1"/>
  <c r="G389" i="2"/>
  <c r="K389" i="2" s="1"/>
  <c r="AG25" i="5" s="1"/>
  <c r="G390" i="2"/>
  <c r="K390" i="2" s="1"/>
  <c r="AG26" i="5" s="1"/>
  <c r="G391" i="2"/>
  <c r="K391" i="2" s="1"/>
  <c r="AG27" i="5" s="1"/>
  <c r="G392" i="2"/>
  <c r="K392" i="2" s="1"/>
  <c r="AG28" i="5" s="1"/>
  <c r="G393" i="2"/>
  <c r="K393" i="2" s="1"/>
  <c r="AG29" i="5" s="1"/>
  <c r="G394" i="2"/>
  <c r="K394" i="2" s="1"/>
  <c r="AG30" i="5" s="1"/>
  <c r="G395" i="2"/>
  <c r="K395" i="2" s="1"/>
  <c r="AG31" i="5" s="1"/>
  <c r="G396" i="2"/>
  <c r="K396" i="2" s="1"/>
  <c r="AG32" i="5" s="1"/>
  <c r="G397" i="2"/>
  <c r="K397" i="2" s="1"/>
  <c r="AG33" i="5" s="1"/>
  <c r="G398" i="2"/>
  <c r="K398" i="2" s="1"/>
  <c r="AG34" i="5" s="1"/>
  <c r="G399" i="2"/>
  <c r="K399" i="2" s="1"/>
  <c r="AG35" i="5" s="1"/>
  <c r="G400" i="2"/>
  <c r="K400" i="2" s="1"/>
  <c r="AG36" i="5" s="1"/>
  <c r="G401" i="2"/>
  <c r="K401" i="2" s="1"/>
  <c r="AG37" i="5" s="1"/>
  <c r="G402" i="2"/>
  <c r="K402" i="2" s="1"/>
  <c r="AG38" i="5" s="1"/>
  <c r="G403" i="2"/>
  <c r="K403" i="2" s="1"/>
  <c r="AG39" i="5" s="1"/>
  <c r="G404" i="2"/>
  <c r="K404" i="2" s="1"/>
  <c r="AG40" i="5" s="1"/>
  <c r="G405" i="2"/>
  <c r="K405" i="2" s="1"/>
  <c r="AG41" i="5" s="1"/>
  <c r="G406" i="2"/>
  <c r="K406" i="2" s="1"/>
  <c r="AG42" i="5" s="1"/>
  <c r="G407" i="2"/>
  <c r="K407" i="2" s="1"/>
  <c r="AG43" i="5" s="1"/>
  <c r="G408" i="2"/>
  <c r="K408" i="2" s="1"/>
  <c r="AG44" i="5" s="1"/>
  <c r="G409" i="2"/>
  <c r="K409" i="2" s="1"/>
  <c r="AG45" i="5" s="1"/>
  <c r="G410" i="2"/>
  <c r="K410" i="2" s="1"/>
  <c r="AG46" i="5" s="1"/>
  <c r="G411" i="2"/>
  <c r="K411" i="2" s="1"/>
  <c r="AG47" i="5" s="1"/>
  <c r="G412" i="2"/>
  <c r="K412" i="2" s="1"/>
  <c r="AG48" i="5" s="1"/>
  <c r="G413" i="2"/>
  <c r="K413" i="2" s="1"/>
  <c r="AG49" i="5" s="1"/>
  <c r="G414" i="2"/>
  <c r="K414" i="2" s="1"/>
  <c r="AG50" i="5" s="1"/>
  <c r="G415" i="2"/>
  <c r="K415" i="2" s="1"/>
  <c r="AG51" i="5" s="1"/>
  <c r="G416" i="2"/>
  <c r="K416" i="2" s="1"/>
  <c r="AG52" i="5" s="1"/>
  <c r="G417" i="2"/>
  <c r="K417" i="2" s="1"/>
  <c r="AG53" i="5" s="1"/>
  <c r="G418" i="2"/>
  <c r="K418" i="2" s="1"/>
  <c r="AG54" i="5" s="1"/>
  <c r="G419" i="2"/>
  <c r="K419" i="2" s="1"/>
  <c r="AG55" i="5" s="1"/>
  <c r="G420" i="2"/>
  <c r="K420" i="2" s="1"/>
  <c r="AG56" i="5" s="1"/>
  <c r="G421" i="2"/>
  <c r="K421" i="2" s="1"/>
  <c r="AG57" i="5" s="1"/>
  <c r="G422" i="2"/>
  <c r="K422" i="2" s="1"/>
  <c r="AG58" i="5" s="1"/>
  <c r="G423" i="2"/>
  <c r="K423" i="2" s="1"/>
  <c r="AG59" i="5" s="1"/>
  <c r="G424" i="2"/>
  <c r="K424" i="2" s="1"/>
  <c r="AG60" i="5" s="1"/>
  <c r="G425" i="2"/>
  <c r="K425" i="2" s="1"/>
  <c r="AG61" i="5" s="1"/>
  <c r="G426" i="2"/>
  <c r="K426" i="2" s="1"/>
  <c r="AG62" i="5" s="1"/>
  <c r="G373" i="2"/>
  <c r="K373" i="2" s="1"/>
  <c r="AG9" i="5" s="1"/>
  <c r="G303" i="2"/>
  <c r="K303" i="2" s="1"/>
  <c r="AB10" i="5" s="1"/>
  <c r="G304" i="2"/>
  <c r="K304" i="2" s="1"/>
  <c r="AB11" i="5" s="1"/>
  <c r="G305" i="2"/>
  <c r="K305" i="2" s="1"/>
  <c r="AB12" i="5" s="1"/>
  <c r="G306" i="2"/>
  <c r="K306" i="2" s="1"/>
  <c r="AB13" i="5" s="1"/>
  <c r="G307" i="2"/>
  <c r="K307" i="2" s="1"/>
  <c r="AB14" i="5" s="1"/>
  <c r="AB15" i="5"/>
  <c r="G309" i="2"/>
  <c r="K309" i="2" s="1"/>
  <c r="AB16" i="5" s="1"/>
  <c r="G310" i="2"/>
  <c r="K310" i="2" s="1"/>
  <c r="AB17" i="5" s="1"/>
  <c r="G311" i="2"/>
  <c r="K311" i="2" s="1"/>
  <c r="AB18" i="5" s="1"/>
  <c r="G312" i="2"/>
  <c r="K312" i="2" s="1"/>
  <c r="AB19" i="5" s="1"/>
  <c r="G313" i="2"/>
  <c r="K313" i="2" s="1"/>
  <c r="AB20" i="5" s="1"/>
  <c r="G314" i="2"/>
  <c r="K314" i="2" s="1"/>
  <c r="AB21" i="5" s="1"/>
  <c r="G315" i="2"/>
  <c r="K315" i="2" s="1"/>
  <c r="AB22" i="5" s="1"/>
  <c r="G316" i="2"/>
  <c r="K316" i="2" s="1"/>
  <c r="AB23" i="5" s="1"/>
  <c r="G317" i="2"/>
  <c r="K317" i="2" s="1"/>
  <c r="AB24" i="5" s="1"/>
  <c r="G318" i="2"/>
  <c r="K318" i="2" s="1"/>
  <c r="AB25" i="5" s="1"/>
  <c r="G319" i="2"/>
  <c r="K319" i="2" s="1"/>
  <c r="AB26" i="5" s="1"/>
  <c r="G320" i="2"/>
  <c r="K320" i="2" s="1"/>
  <c r="AB27" i="5" s="1"/>
  <c r="G321" i="2"/>
  <c r="K321" i="2" s="1"/>
  <c r="AB28" i="5" s="1"/>
  <c r="G322" i="2"/>
  <c r="K322" i="2" s="1"/>
  <c r="AB29" i="5" s="1"/>
  <c r="G323" i="2"/>
  <c r="K323" i="2" s="1"/>
  <c r="AB30" i="5" s="1"/>
  <c r="G324" i="2"/>
  <c r="K324" i="2" s="1"/>
  <c r="AB31" i="5" s="1"/>
  <c r="G325" i="2"/>
  <c r="K325" i="2" s="1"/>
  <c r="AB32" i="5" s="1"/>
  <c r="G326" i="2"/>
  <c r="K326" i="2" s="1"/>
  <c r="AB33" i="5" s="1"/>
  <c r="G327" i="2"/>
  <c r="K327" i="2" s="1"/>
  <c r="AB34" i="5" s="1"/>
  <c r="G328" i="2"/>
  <c r="K328" i="2" s="1"/>
  <c r="AB35" i="5" s="1"/>
  <c r="G329" i="2"/>
  <c r="K329" i="2" s="1"/>
  <c r="AB36" i="5" s="1"/>
  <c r="G330" i="2"/>
  <c r="K330" i="2" s="1"/>
  <c r="AB37" i="5" s="1"/>
  <c r="G331" i="2"/>
  <c r="K331" i="2" s="1"/>
  <c r="AB38" i="5" s="1"/>
  <c r="G332" i="2"/>
  <c r="K332" i="2" s="1"/>
  <c r="AB39" i="5" s="1"/>
  <c r="G333" i="2"/>
  <c r="K333" i="2" s="1"/>
  <c r="AB40" i="5" s="1"/>
  <c r="G334" i="2"/>
  <c r="K334" i="2" s="1"/>
  <c r="AB41" i="5" s="1"/>
  <c r="AB42" i="5"/>
  <c r="G336" i="2"/>
  <c r="K336" i="2" s="1"/>
  <c r="AB43" i="5" s="1"/>
  <c r="G337" i="2"/>
  <c r="K337" i="2" s="1"/>
  <c r="AB44" i="5" s="1"/>
  <c r="G338" i="2"/>
  <c r="K338" i="2" s="1"/>
  <c r="AB45" i="5" s="1"/>
  <c r="G339" i="2"/>
  <c r="K339" i="2" s="1"/>
  <c r="AB46" i="5" s="1"/>
  <c r="G340" i="2"/>
  <c r="K340" i="2" s="1"/>
  <c r="AB47" i="5" s="1"/>
  <c r="G341" i="2"/>
  <c r="K341" i="2" s="1"/>
  <c r="AB48" i="5" s="1"/>
  <c r="G342" i="2"/>
  <c r="K342" i="2" s="1"/>
  <c r="AB49" i="5" s="1"/>
  <c r="G343" i="2"/>
  <c r="K343" i="2" s="1"/>
  <c r="AB50" i="5" s="1"/>
  <c r="G344" i="2"/>
  <c r="K344" i="2" s="1"/>
  <c r="AB51" i="5" s="1"/>
  <c r="G345" i="2"/>
  <c r="K345" i="2" s="1"/>
  <c r="AB52" i="5" s="1"/>
  <c r="G346" i="2"/>
  <c r="K346" i="2" s="1"/>
  <c r="AB53" i="5" s="1"/>
  <c r="G347" i="2"/>
  <c r="K347" i="2" s="1"/>
  <c r="AB54" i="5" s="1"/>
  <c r="G348" i="2"/>
  <c r="K348" i="2" s="1"/>
  <c r="AB55" i="5" s="1"/>
  <c r="G349" i="2"/>
  <c r="K349" i="2" s="1"/>
  <c r="AB56" i="5" s="1"/>
  <c r="G350" i="2"/>
  <c r="K350" i="2" s="1"/>
  <c r="AB57" i="5" s="1"/>
  <c r="G351" i="2"/>
  <c r="K351" i="2" s="1"/>
  <c r="AB58" i="5" s="1"/>
  <c r="G352" i="2"/>
  <c r="K352" i="2" s="1"/>
  <c r="AB59" i="5" s="1"/>
  <c r="G353" i="2"/>
  <c r="K353" i="2" s="1"/>
  <c r="AB60" i="5" s="1"/>
  <c r="G354" i="2"/>
  <c r="K354" i="2" s="1"/>
  <c r="AB61" i="5" s="1"/>
  <c r="G355" i="2"/>
  <c r="K355" i="2" s="1"/>
  <c r="AB62" i="5" s="1"/>
  <c r="G302" i="2"/>
  <c r="K302" i="2" s="1"/>
  <c r="AB9" i="5" s="1"/>
  <c r="G231" i="2"/>
  <c r="G232" i="2"/>
  <c r="K232" i="2" s="1"/>
  <c r="W11" i="5" s="1"/>
  <c r="G233" i="2"/>
  <c r="K233" i="2" s="1"/>
  <c r="W12" i="5" s="1"/>
  <c r="G234" i="2"/>
  <c r="K234" i="2" s="1"/>
  <c r="W13" i="5" s="1"/>
  <c r="G235" i="2"/>
  <c r="K235" i="2" s="1"/>
  <c r="W14" i="5" s="1"/>
  <c r="G236" i="2"/>
  <c r="K236" i="2" s="1"/>
  <c r="W15" i="5" s="1"/>
  <c r="G237" i="2"/>
  <c r="K237" i="2" s="1"/>
  <c r="W16" i="5" s="1"/>
  <c r="G238" i="2"/>
  <c r="K238" i="2" s="1"/>
  <c r="W17" i="5" s="1"/>
  <c r="G239" i="2"/>
  <c r="K239" i="2" s="1"/>
  <c r="W18" i="5" s="1"/>
  <c r="G240" i="2"/>
  <c r="K240" i="2" s="1"/>
  <c r="W19" i="5" s="1"/>
  <c r="G241" i="2"/>
  <c r="K241" i="2" s="1"/>
  <c r="W20" i="5" s="1"/>
  <c r="G242" i="2"/>
  <c r="K242" i="2" s="1"/>
  <c r="W21" i="5" s="1"/>
  <c r="G243" i="2"/>
  <c r="K243" i="2" s="1"/>
  <c r="W22" i="5" s="1"/>
  <c r="G244" i="2"/>
  <c r="K244" i="2" s="1"/>
  <c r="W23" i="5" s="1"/>
  <c r="G245" i="2"/>
  <c r="K245" i="2" s="1"/>
  <c r="W24" i="5" s="1"/>
  <c r="G246" i="2"/>
  <c r="K246" i="2" s="1"/>
  <c r="W25" i="5" s="1"/>
  <c r="G247" i="2"/>
  <c r="K247" i="2" s="1"/>
  <c r="W26" i="5" s="1"/>
  <c r="G248" i="2"/>
  <c r="K248" i="2" s="1"/>
  <c r="W27" i="5" s="1"/>
  <c r="G249" i="2"/>
  <c r="K249" i="2" s="1"/>
  <c r="W28" i="5" s="1"/>
  <c r="G250" i="2"/>
  <c r="K250" i="2" s="1"/>
  <c r="W29" i="5" s="1"/>
  <c r="G251" i="2"/>
  <c r="G252" i="2"/>
  <c r="K252" i="2" s="1"/>
  <c r="W31" i="5" s="1"/>
  <c r="G253" i="2"/>
  <c r="K253" i="2" s="1"/>
  <c r="W32" i="5" s="1"/>
  <c r="G254" i="2"/>
  <c r="K254" i="2" s="1"/>
  <c r="W33" i="5" s="1"/>
  <c r="G255" i="2"/>
  <c r="K255" i="2" s="1"/>
  <c r="W34" i="5" s="1"/>
  <c r="G256" i="2"/>
  <c r="K256" i="2" s="1"/>
  <c r="W35" i="5" s="1"/>
  <c r="G257" i="2"/>
  <c r="K257" i="2" s="1"/>
  <c r="W36" i="5" s="1"/>
  <c r="G258" i="2"/>
  <c r="K258" i="2" s="1"/>
  <c r="W37" i="5" s="1"/>
  <c r="G259" i="2"/>
  <c r="K259" i="2" s="1"/>
  <c r="W38" i="5" s="1"/>
  <c r="G261" i="2"/>
  <c r="K261" i="2" s="1"/>
  <c r="W40" i="5" s="1"/>
  <c r="G262" i="2"/>
  <c r="K262" i="2" s="1"/>
  <c r="W41" i="5" s="1"/>
  <c r="G263" i="2"/>
  <c r="K263" i="2" s="1"/>
  <c r="W42" i="5" s="1"/>
  <c r="G264" i="2"/>
  <c r="K264" i="2" s="1"/>
  <c r="W43" i="5" s="1"/>
  <c r="G265" i="2"/>
  <c r="K265" i="2" s="1"/>
  <c r="W44" i="5" s="1"/>
  <c r="G266" i="2"/>
  <c r="K266" i="2" s="1"/>
  <c r="W45" i="5" s="1"/>
  <c r="G267" i="2"/>
  <c r="K267" i="2" s="1"/>
  <c r="W46" i="5" s="1"/>
  <c r="G268" i="2"/>
  <c r="K268" i="2" s="1"/>
  <c r="W47" i="5" s="1"/>
  <c r="G269" i="2"/>
  <c r="K269" i="2" s="1"/>
  <c r="W48" i="5" s="1"/>
  <c r="G270" i="2"/>
  <c r="K270" i="2" s="1"/>
  <c r="W49" i="5" s="1"/>
  <c r="G271" i="2"/>
  <c r="K271" i="2" s="1"/>
  <c r="W50" i="5" s="1"/>
  <c r="G272" i="2"/>
  <c r="K272" i="2" s="1"/>
  <c r="W51" i="5" s="1"/>
  <c r="G273" i="2"/>
  <c r="W52" i="5" s="1"/>
  <c r="G274" i="2"/>
  <c r="K274" i="2" s="1"/>
  <c r="W53" i="5" s="1"/>
  <c r="W54" i="5"/>
  <c r="G276" i="2"/>
  <c r="K276" i="2" s="1"/>
  <c r="W55" i="5" s="1"/>
  <c r="G277" i="2"/>
  <c r="K277" i="2" s="1"/>
  <c r="W56" i="5" s="1"/>
  <c r="G278" i="2"/>
  <c r="K278" i="2" s="1"/>
  <c r="W57" i="5" s="1"/>
  <c r="G279" i="2"/>
  <c r="K279" i="2" s="1"/>
  <c r="W58" i="5" s="1"/>
  <c r="G280" i="2"/>
  <c r="K280" i="2" s="1"/>
  <c r="W59" i="5" s="1"/>
  <c r="G281" i="2"/>
  <c r="K281" i="2" s="1"/>
  <c r="W60" i="5" s="1"/>
  <c r="G282" i="2"/>
  <c r="K282" i="2" s="1"/>
  <c r="W61" i="5" s="1"/>
  <c r="G283" i="2"/>
  <c r="K283" i="2" s="1"/>
  <c r="W62" i="5" s="1"/>
  <c r="G230" i="2"/>
  <c r="K230" i="2" s="1"/>
  <c r="G163" i="2"/>
  <c r="K163" i="2" s="1"/>
  <c r="R11" i="5" s="1"/>
  <c r="G164" i="2"/>
  <c r="K164" i="2" s="1"/>
  <c r="R12" i="5" s="1"/>
  <c r="G165" i="2"/>
  <c r="K165" i="2" s="1"/>
  <c r="R13" i="5" s="1"/>
  <c r="G166" i="2"/>
  <c r="K166" i="2" s="1"/>
  <c r="R14" i="5" s="1"/>
  <c r="G167" i="2"/>
  <c r="K167" i="2" s="1"/>
  <c r="R15" i="5" s="1"/>
  <c r="G168" i="2"/>
  <c r="K168" i="2" s="1"/>
  <c r="R16" i="5" s="1"/>
  <c r="G169" i="2"/>
  <c r="K169" i="2" s="1"/>
  <c r="R17" i="5" s="1"/>
  <c r="G170" i="2"/>
  <c r="K170" i="2" s="1"/>
  <c r="R18" i="5" s="1"/>
  <c r="G171" i="2"/>
  <c r="K171" i="2" s="1"/>
  <c r="R19" i="5" s="1"/>
  <c r="G172" i="2"/>
  <c r="K172" i="2" s="1"/>
  <c r="R20" i="5" s="1"/>
  <c r="G173" i="2"/>
  <c r="K173" i="2" s="1"/>
  <c r="R21" i="5" s="1"/>
  <c r="G174" i="2"/>
  <c r="K174" i="2" s="1"/>
  <c r="R22" i="5" s="1"/>
  <c r="G175" i="2"/>
  <c r="K175" i="2" s="1"/>
  <c r="R23" i="5" s="1"/>
  <c r="G176" i="2"/>
  <c r="K176" i="2" s="1"/>
  <c r="R24" i="5" s="1"/>
  <c r="G177" i="2"/>
  <c r="K177" i="2" s="1"/>
  <c r="R25" i="5" s="1"/>
  <c r="G178" i="2"/>
  <c r="K178" i="2" s="1"/>
  <c r="R26" i="5" s="1"/>
  <c r="G179" i="2"/>
  <c r="K179" i="2" s="1"/>
  <c r="R27" i="5" s="1"/>
  <c r="G180" i="2"/>
  <c r="K180" i="2" s="1"/>
  <c r="R28" i="5" s="1"/>
  <c r="G181" i="2"/>
  <c r="K181" i="2" s="1"/>
  <c r="R29" i="5" s="1"/>
  <c r="G182" i="2"/>
  <c r="K182" i="2" s="1"/>
  <c r="R30" i="5" s="1"/>
  <c r="G183" i="2"/>
  <c r="K183" i="2" s="1"/>
  <c r="R31" i="5" s="1"/>
  <c r="G184" i="2"/>
  <c r="G185" i="2"/>
  <c r="K185" i="2" s="1"/>
  <c r="R33" i="5" s="1"/>
  <c r="G186" i="2"/>
  <c r="K186" i="2" s="1"/>
  <c r="R34" i="5" s="1"/>
  <c r="G187" i="2"/>
  <c r="K187" i="2" s="1"/>
  <c r="R35" i="5" s="1"/>
  <c r="G188" i="2"/>
  <c r="K188" i="2" s="1"/>
  <c r="R36" i="5" s="1"/>
  <c r="G189" i="2"/>
  <c r="K189" i="2" s="1"/>
  <c r="R37" i="5" s="1"/>
  <c r="G190" i="2"/>
  <c r="K190" i="2" s="1"/>
  <c r="R38" i="5" s="1"/>
  <c r="G191" i="2"/>
  <c r="K191" i="2" s="1"/>
  <c r="R39" i="5" s="1"/>
  <c r="G192" i="2"/>
  <c r="K192" i="2" s="1"/>
  <c r="R40" i="5" s="1"/>
  <c r="G193" i="2"/>
  <c r="K193" i="2" s="1"/>
  <c r="R41" i="5" s="1"/>
  <c r="G194" i="2"/>
  <c r="K194" i="2" s="1"/>
  <c r="R42" i="5" s="1"/>
  <c r="G195" i="2"/>
  <c r="K195" i="2" s="1"/>
  <c r="R43" i="5" s="1"/>
  <c r="G196" i="2"/>
  <c r="K196" i="2" s="1"/>
  <c r="R44" i="5" s="1"/>
  <c r="G197" i="2"/>
  <c r="K197" i="2" s="1"/>
  <c r="R45" i="5" s="1"/>
  <c r="G198" i="2"/>
  <c r="K198" i="2" s="1"/>
  <c r="R46" i="5" s="1"/>
  <c r="G199" i="2"/>
  <c r="K199" i="2" s="1"/>
  <c r="R47" i="5" s="1"/>
  <c r="G200" i="2"/>
  <c r="K200" i="2" s="1"/>
  <c r="R48" i="5" s="1"/>
  <c r="G201" i="2"/>
  <c r="K201" i="2" s="1"/>
  <c r="R49" i="5" s="1"/>
  <c r="G202" i="2"/>
  <c r="K202" i="2" s="1"/>
  <c r="R50" i="5" s="1"/>
  <c r="G203" i="2"/>
  <c r="K203" i="2" s="1"/>
  <c r="R51" i="5" s="1"/>
  <c r="G204" i="2"/>
  <c r="K204" i="2" s="1"/>
  <c r="R52" i="5" s="1"/>
  <c r="G205" i="2"/>
  <c r="K205" i="2" s="1"/>
  <c r="R53" i="5" s="1"/>
  <c r="G206" i="2"/>
  <c r="K206" i="2" s="1"/>
  <c r="R54" i="5" s="1"/>
  <c r="G207" i="2"/>
  <c r="K207" i="2" s="1"/>
  <c r="R55" i="5" s="1"/>
  <c r="G208" i="2"/>
  <c r="K208" i="2" s="1"/>
  <c r="R56" i="5" s="1"/>
  <c r="G209" i="2"/>
  <c r="K209" i="2" s="1"/>
  <c r="R57" i="5" s="1"/>
  <c r="G210" i="2"/>
  <c r="K210" i="2" s="1"/>
  <c r="R58" i="5" s="1"/>
  <c r="G211" i="2"/>
  <c r="K211" i="2" s="1"/>
  <c r="R59" i="5" s="1"/>
  <c r="G212" i="2"/>
  <c r="K212" i="2" s="1"/>
  <c r="R60" i="5" s="1"/>
  <c r="G213" i="2"/>
  <c r="K213" i="2" s="1"/>
  <c r="R61" i="5" s="1"/>
  <c r="G214" i="2"/>
  <c r="K214" i="2" s="1"/>
  <c r="R62" i="5" s="1"/>
  <c r="G161" i="2"/>
  <c r="K459" i="3" l="1"/>
  <c r="AL164" i="5" s="1"/>
  <c r="K775" i="3"/>
  <c r="BK148" i="5" s="1"/>
  <c r="AL175" i="5"/>
  <c r="K470" i="3"/>
  <c r="AL161" i="5"/>
  <c r="K456" i="3"/>
  <c r="K444" i="3"/>
  <c r="AL149" i="5" s="1"/>
  <c r="K430" i="3"/>
  <c r="AL135" i="5" s="1"/>
  <c r="K774" i="3"/>
  <c r="BK147" i="5" s="1"/>
  <c r="K762" i="3"/>
  <c r="BK135" i="5" s="1"/>
  <c r="BP131" i="5"/>
  <c r="K802" i="3"/>
  <c r="AL140" i="5"/>
  <c r="K435" i="3"/>
  <c r="K766" i="3"/>
  <c r="BK139" i="5" s="1"/>
  <c r="K473" i="3"/>
  <c r="AL178" i="5" s="1"/>
  <c r="K447" i="3"/>
  <c r="AL152" i="5" s="1"/>
  <c r="K765" i="3"/>
  <c r="BK138" i="5" s="1"/>
  <c r="AL177" i="5"/>
  <c r="K472" i="3"/>
  <c r="AL150" i="5"/>
  <c r="K445" i="3"/>
  <c r="K455" i="3"/>
  <c r="AL160" i="5" s="1"/>
  <c r="K443" i="3"/>
  <c r="AL148" i="5" s="1"/>
  <c r="K429" i="3"/>
  <c r="AL134" i="5" s="1"/>
  <c r="K773" i="3"/>
  <c r="BK146" i="5" s="1"/>
  <c r="BK134" i="5"/>
  <c r="K761" i="3"/>
  <c r="AL165" i="5"/>
  <c r="K460" i="3"/>
  <c r="O753" i="3"/>
  <c r="K776" i="3"/>
  <c r="BK149" i="5" s="1"/>
  <c r="AL176" i="5"/>
  <c r="K471" i="3"/>
  <c r="K763" i="3"/>
  <c r="BK136" i="5" s="1"/>
  <c r="O529" i="2"/>
  <c r="H17" i="11" s="1"/>
  <c r="AL171" i="5"/>
  <c r="K466" i="3"/>
  <c r="AL147" i="5"/>
  <c r="K442" i="3"/>
  <c r="K427" i="3"/>
  <c r="AL132" i="5" s="1"/>
  <c r="K759" i="3"/>
  <c r="BK132" i="5" s="1"/>
  <c r="K433" i="3"/>
  <c r="AL138" i="5" s="1"/>
  <c r="K465" i="3"/>
  <c r="AL170" i="5" s="1"/>
  <c r="AL158" i="5"/>
  <c r="K453" i="3"/>
  <c r="AL146" i="5"/>
  <c r="K441" i="3"/>
  <c r="K426" i="3"/>
  <c r="AL131" i="5" s="1"/>
  <c r="K758" i="3"/>
  <c r="BK131" i="5" s="1"/>
  <c r="K458" i="3"/>
  <c r="AL163" i="5" s="1"/>
  <c r="K464" i="3"/>
  <c r="AL169" i="5" s="1"/>
  <c r="AL145" i="5"/>
  <c r="K440" i="3"/>
  <c r="AL130" i="5"/>
  <c r="K425" i="3"/>
  <c r="K770" i="3"/>
  <c r="BK143" i="5" s="1"/>
  <c r="K757" i="3"/>
  <c r="BK130" i="5" s="1"/>
  <c r="K448" i="3"/>
  <c r="AL153" i="5" s="1"/>
  <c r="K463" i="3"/>
  <c r="AL168" i="5" s="1"/>
  <c r="AL156" i="5"/>
  <c r="K451" i="3"/>
  <c r="K438" i="3"/>
  <c r="AL143" i="5" s="1"/>
  <c r="K424" i="3"/>
  <c r="O428" i="3" s="1"/>
  <c r="AM195" i="5" s="1"/>
  <c r="K769" i="3"/>
  <c r="BK142" i="5" s="1"/>
  <c r="K756" i="3"/>
  <c r="BK129" i="5" s="1"/>
  <c r="K434" i="3"/>
  <c r="AL139" i="5" s="1"/>
  <c r="AL162" i="5"/>
  <c r="K457" i="3"/>
  <c r="K462" i="3"/>
  <c r="AL167" i="5" s="1"/>
  <c r="K450" i="3"/>
  <c r="AL155" i="5" s="1"/>
  <c r="K437" i="3"/>
  <c r="AL142" i="5" s="1"/>
  <c r="K423" i="3"/>
  <c r="AL128" i="5" s="1"/>
  <c r="K768" i="3"/>
  <c r="BK141" i="5" s="1"/>
  <c r="BK128" i="5"/>
  <c r="K755" i="3"/>
  <c r="K474" i="3"/>
  <c r="AL179" i="5" s="1"/>
  <c r="K446" i="3"/>
  <c r="AL151" i="5" s="1"/>
  <c r="K475" i="3"/>
  <c r="AL180" i="5" s="1"/>
  <c r="K461" i="3"/>
  <c r="AL166" i="5" s="1"/>
  <c r="K449" i="3"/>
  <c r="AL154" i="5" s="1"/>
  <c r="AL141" i="5"/>
  <c r="K436" i="3"/>
  <c r="K767" i="3"/>
  <c r="BK140" i="5" s="1"/>
  <c r="K454" i="3"/>
  <c r="AL159" i="5" s="1"/>
  <c r="K824" i="2"/>
  <c r="O813" i="2"/>
  <c r="H60" i="11" s="1"/>
  <c r="K251" i="2"/>
  <c r="W30" i="5" s="1"/>
  <c r="O233" i="2"/>
  <c r="H90" i="11" s="1"/>
  <c r="W39" i="5"/>
  <c r="K161" i="2"/>
  <c r="R9" i="5" s="1"/>
  <c r="O163" i="2"/>
  <c r="K431" i="3"/>
  <c r="AL136" i="5" s="1"/>
  <c r="BA10" i="5"/>
  <c r="BB92" i="5" s="1"/>
  <c r="O677" i="2"/>
  <c r="O670" i="2"/>
  <c r="H59" i="11" s="1"/>
  <c r="K184" i="2"/>
  <c r="R32" i="5" s="1"/>
  <c r="O745" i="2"/>
  <c r="K743" i="2"/>
  <c r="K527" i="2"/>
  <c r="O536" i="2" s="1"/>
  <c r="W9" i="5"/>
  <c r="M230" i="2"/>
  <c r="L230" i="2"/>
  <c r="X9" i="5" s="1"/>
  <c r="K811" i="2"/>
  <c r="O885" i="2"/>
  <c r="K883" i="2"/>
  <c r="AC90" i="5"/>
  <c r="AC91" i="5" s="1"/>
  <c r="AC88" i="5"/>
  <c r="AC89" i="5" s="1"/>
  <c r="AC92" i="5"/>
  <c r="O453" i="2"/>
  <c r="H18" i="11" s="1"/>
  <c r="K451" i="2"/>
  <c r="AW90" i="5"/>
  <c r="AW91" i="5" s="1"/>
  <c r="AW88" i="5"/>
  <c r="AW89" i="5" s="1"/>
  <c r="AW92" i="5"/>
  <c r="K997" i="3"/>
  <c r="O996" i="3"/>
  <c r="K1064" i="3"/>
  <c r="O1063" i="3"/>
  <c r="K1131" i="3"/>
  <c r="O1130" i="3"/>
  <c r="M1032" i="3"/>
  <c r="L1032" i="3"/>
  <c r="CU162" i="5" s="1"/>
  <c r="O1035" i="3"/>
  <c r="CU195" i="5" s="1"/>
  <c r="O1028" i="3"/>
  <c r="K1099" i="3"/>
  <c r="O1098" i="3"/>
  <c r="K964" i="3"/>
  <c r="O962" i="3"/>
  <c r="CK188" i="5" s="1"/>
  <c r="O901" i="3"/>
  <c r="CA195" i="5" s="1"/>
  <c r="K930" i="3"/>
  <c r="O929" i="3"/>
  <c r="O838" i="3"/>
  <c r="BV188" i="5" s="1"/>
  <c r="O894" i="3"/>
  <c r="O654" i="3"/>
  <c r="BB195" i="5" s="1"/>
  <c r="O804" i="3"/>
  <c r="BQ195" i="5" s="1"/>
  <c r="O699" i="3"/>
  <c r="K839" i="3"/>
  <c r="O302" i="3"/>
  <c r="AC195" i="5" s="1"/>
  <c r="O370" i="3"/>
  <c r="K700" i="3"/>
  <c r="K754" i="3"/>
  <c r="O647" i="3"/>
  <c r="O797" i="3"/>
  <c r="O581" i="3"/>
  <c r="AW195" i="5" s="1"/>
  <c r="K371" i="3"/>
  <c r="O503" i="3"/>
  <c r="AR195" i="5" s="1"/>
  <c r="O295" i="3"/>
  <c r="AC188" i="5" s="1"/>
  <c r="O421" i="3"/>
  <c r="O496" i="3"/>
  <c r="O574" i="3"/>
  <c r="AW188" i="5" s="1"/>
  <c r="K222" i="3"/>
  <c r="O221" i="3"/>
  <c r="X188" i="5" s="1"/>
  <c r="K81" i="3"/>
  <c r="O79" i="3"/>
  <c r="O155" i="3"/>
  <c r="S195" i="5" s="1"/>
  <c r="O10" i="3"/>
  <c r="I188" i="5" s="1"/>
  <c r="K12" i="3"/>
  <c r="O148" i="3"/>
  <c r="K374" i="2"/>
  <c r="O375" i="2"/>
  <c r="H16" i="11" s="1"/>
  <c r="O311" i="2"/>
  <c r="K231" i="2"/>
  <c r="O304" i="2"/>
  <c r="H123" i="11" s="1"/>
  <c r="G82" i="2"/>
  <c r="K82" i="2" s="1"/>
  <c r="M10" i="5" s="1"/>
  <c r="G83" i="2"/>
  <c r="K83" i="2" s="1"/>
  <c r="M11" i="5" s="1"/>
  <c r="G84" i="2"/>
  <c r="K84" i="2" s="1"/>
  <c r="M12" i="5" s="1"/>
  <c r="G85" i="2"/>
  <c r="K85" i="2" s="1"/>
  <c r="M13" i="5" s="1"/>
  <c r="G86" i="2"/>
  <c r="K86" i="2" s="1"/>
  <c r="M14" i="5" s="1"/>
  <c r="G87" i="2"/>
  <c r="K87" i="2" s="1"/>
  <c r="M15" i="5" s="1"/>
  <c r="G88" i="2"/>
  <c r="K88" i="2" s="1"/>
  <c r="M16" i="5" s="1"/>
  <c r="G89" i="2"/>
  <c r="K89" i="2" s="1"/>
  <c r="M17" i="5" s="1"/>
  <c r="G90" i="2"/>
  <c r="K90" i="2" s="1"/>
  <c r="M18" i="5" s="1"/>
  <c r="G91" i="2"/>
  <c r="K91" i="2" s="1"/>
  <c r="M19" i="5" s="1"/>
  <c r="G92" i="2"/>
  <c r="K92" i="2" s="1"/>
  <c r="M20" i="5" s="1"/>
  <c r="G93" i="2"/>
  <c r="K93" i="2" s="1"/>
  <c r="M21" i="5" s="1"/>
  <c r="G94" i="2"/>
  <c r="K94" i="2" s="1"/>
  <c r="M22" i="5" s="1"/>
  <c r="G95" i="2"/>
  <c r="K95" i="2" s="1"/>
  <c r="M23" i="5" s="1"/>
  <c r="G96" i="2"/>
  <c r="K96" i="2" s="1"/>
  <c r="M24" i="5" s="1"/>
  <c r="G97" i="2"/>
  <c r="K97" i="2" s="1"/>
  <c r="M25" i="5" s="1"/>
  <c r="G98" i="2"/>
  <c r="K98" i="2" s="1"/>
  <c r="M26" i="5" s="1"/>
  <c r="G99" i="2"/>
  <c r="K99" i="2" s="1"/>
  <c r="M27" i="5" s="1"/>
  <c r="G100" i="2"/>
  <c r="K100" i="2" s="1"/>
  <c r="M28" i="5" s="1"/>
  <c r="G101" i="2"/>
  <c r="K101" i="2" s="1"/>
  <c r="M29" i="5" s="1"/>
  <c r="G102" i="2"/>
  <c r="K102" i="2" s="1"/>
  <c r="M30" i="5" s="1"/>
  <c r="G103" i="2"/>
  <c r="K103" i="2" s="1"/>
  <c r="M31" i="5" s="1"/>
  <c r="G104" i="2"/>
  <c r="K104" i="2" s="1"/>
  <c r="M32" i="5" s="1"/>
  <c r="G105" i="2"/>
  <c r="K105" i="2" s="1"/>
  <c r="M33" i="5" s="1"/>
  <c r="G106" i="2"/>
  <c r="K106" i="2" s="1"/>
  <c r="M34" i="5" s="1"/>
  <c r="G107" i="2"/>
  <c r="K107" i="2" s="1"/>
  <c r="M35" i="5" s="1"/>
  <c r="G108" i="2"/>
  <c r="K108" i="2" s="1"/>
  <c r="M36" i="5" s="1"/>
  <c r="G109" i="2"/>
  <c r="K109" i="2" s="1"/>
  <c r="M37" i="5" s="1"/>
  <c r="G110" i="2"/>
  <c r="K110" i="2" s="1"/>
  <c r="M38" i="5" s="1"/>
  <c r="G111" i="2"/>
  <c r="K111" i="2" s="1"/>
  <c r="M39" i="5" s="1"/>
  <c r="G112" i="2"/>
  <c r="K112" i="2" s="1"/>
  <c r="M40" i="5" s="1"/>
  <c r="G113" i="2"/>
  <c r="K113" i="2" s="1"/>
  <c r="M41" i="5" s="1"/>
  <c r="G114" i="2"/>
  <c r="K114" i="2" s="1"/>
  <c r="M42" i="5" s="1"/>
  <c r="G115" i="2"/>
  <c r="K115" i="2" s="1"/>
  <c r="M43" i="5" s="1"/>
  <c r="G116" i="2"/>
  <c r="K116" i="2" s="1"/>
  <c r="M44" i="5" s="1"/>
  <c r="G117" i="2"/>
  <c r="K117" i="2" s="1"/>
  <c r="M45" i="5" s="1"/>
  <c r="G118" i="2"/>
  <c r="K118" i="2" s="1"/>
  <c r="M46" i="5" s="1"/>
  <c r="G119" i="2"/>
  <c r="K119" i="2" s="1"/>
  <c r="M47" i="5" s="1"/>
  <c r="G120" i="2"/>
  <c r="K120" i="2" s="1"/>
  <c r="M48" i="5" s="1"/>
  <c r="G121" i="2"/>
  <c r="K121" i="2" s="1"/>
  <c r="M49" i="5" s="1"/>
  <c r="G122" i="2"/>
  <c r="K122" i="2" s="1"/>
  <c r="M50" i="5" s="1"/>
  <c r="G123" i="2"/>
  <c r="K123" i="2" s="1"/>
  <c r="M51" i="5" s="1"/>
  <c r="G124" i="2"/>
  <c r="K124" i="2" s="1"/>
  <c r="M52" i="5" s="1"/>
  <c r="G125" i="2"/>
  <c r="K125" i="2" s="1"/>
  <c r="M53" i="5" s="1"/>
  <c r="G126" i="2"/>
  <c r="K126" i="2" s="1"/>
  <c r="M54" i="5" s="1"/>
  <c r="G127" i="2"/>
  <c r="K127" i="2" s="1"/>
  <c r="M55" i="5" s="1"/>
  <c r="G128" i="2"/>
  <c r="K128" i="2" s="1"/>
  <c r="M56" i="5" s="1"/>
  <c r="G129" i="2"/>
  <c r="K129" i="2" s="1"/>
  <c r="M57" i="5" s="1"/>
  <c r="G130" i="2"/>
  <c r="K130" i="2" s="1"/>
  <c r="M58" i="5" s="1"/>
  <c r="G131" i="2"/>
  <c r="K131" i="2" s="1"/>
  <c r="M59" i="5" s="1"/>
  <c r="G132" i="2"/>
  <c r="K132" i="2" s="1"/>
  <c r="M60" i="5" s="1"/>
  <c r="G133" i="2"/>
  <c r="K133" i="2" s="1"/>
  <c r="M61" i="5" s="1"/>
  <c r="G134" i="2"/>
  <c r="K134" i="2" s="1"/>
  <c r="M62" i="5" s="1"/>
  <c r="G81" i="2"/>
  <c r="CU188" i="5" l="1"/>
  <c r="H120" i="4"/>
  <c r="H125" i="11"/>
  <c r="H20" i="11"/>
  <c r="S188" i="5"/>
  <c r="CA188" i="5"/>
  <c r="H159" i="11"/>
  <c r="H154" i="4"/>
  <c r="AL129" i="5"/>
  <c r="DJ188" i="5"/>
  <c r="H121" i="4"/>
  <c r="H126" i="11"/>
  <c r="H14" i="4"/>
  <c r="N188" i="5"/>
  <c r="H65" i="11"/>
  <c r="BQ188" i="5"/>
  <c r="CF188" i="5"/>
  <c r="H158" i="11"/>
  <c r="H153" i="4"/>
  <c r="BB188" i="5"/>
  <c r="H156" i="11"/>
  <c r="CZ188" i="5"/>
  <c r="H119" i="4"/>
  <c r="H124" i="11"/>
  <c r="H129" i="11" s="1"/>
  <c r="H63" i="11"/>
  <c r="BG188" i="5"/>
  <c r="O760" i="3"/>
  <c r="BL195" i="5" s="1"/>
  <c r="CP188" i="5"/>
  <c r="H127" i="11"/>
  <c r="H122" i="4"/>
  <c r="H64" i="11"/>
  <c r="BL188" i="5"/>
  <c r="H62" i="11"/>
  <c r="AH188" i="5"/>
  <c r="H91" i="11"/>
  <c r="AR188" i="5"/>
  <c r="DE188" i="5"/>
  <c r="H123" i="4"/>
  <c r="H128" i="11"/>
  <c r="H197" i="11"/>
  <c r="H19" i="11"/>
  <c r="AM188" i="5"/>
  <c r="H155" i="11"/>
  <c r="H150" i="4"/>
  <c r="H157" i="11"/>
  <c r="H152" i="4"/>
  <c r="O815" i="2"/>
  <c r="BK22" i="5"/>
  <c r="O820" i="2"/>
  <c r="O240" i="2"/>
  <c r="H10" i="4"/>
  <c r="H10" i="11"/>
  <c r="H22" i="11" s="1"/>
  <c r="O223" i="3"/>
  <c r="X190" i="5" s="1"/>
  <c r="H61" i="11"/>
  <c r="K81" i="2"/>
  <c r="M9" i="5" s="1"/>
  <c r="O83" i="2"/>
  <c r="H154" i="11" s="1"/>
  <c r="BB88" i="5"/>
  <c r="BB89" i="5" s="1"/>
  <c r="BB90" i="5"/>
  <c r="BB91" i="5" s="1"/>
  <c r="O377" i="3"/>
  <c r="AH195" i="5" s="1"/>
  <c r="AG127" i="5"/>
  <c r="O228" i="3"/>
  <c r="X195" i="5" s="1"/>
  <c r="W127" i="5"/>
  <c r="BF9" i="5"/>
  <c r="O752" i="2"/>
  <c r="AQ9" i="5"/>
  <c r="W10" i="5"/>
  <c r="O170" i="2"/>
  <c r="R10" i="5"/>
  <c r="O936" i="3"/>
  <c r="CF195" i="5" s="1"/>
  <c r="CE150" i="5"/>
  <c r="O969" i="3"/>
  <c r="CK195" i="5" s="1"/>
  <c r="CJ151" i="5"/>
  <c r="O1105" i="3"/>
  <c r="DE195" i="5" s="1"/>
  <c r="DD159" i="5"/>
  <c r="O1003" i="3"/>
  <c r="CP195" i="5" s="1"/>
  <c r="CO159" i="5"/>
  <c r="H55" i="4"/>
  <c r="BK9" i="5"/>
  <c r="O86" i="3"/>
  <c r="N195" i="5" s="1"/>
  <c r="M127" i="5"/>
  <c r="BP9" i="5"/>
  <c r="O892" i="2"/>
  <c r="O845" i="3"/>
  <c r="BV195" i="5" s="1"/>
  <c r="BU127" i="5"/>
  <c r="O1137" i="3"/>
  <c r="DJ195" i="5" s="1"/>
  <c r="DI159" i="5"/>
  <c r="O1070" i="3"/>
  <c r="CZ195" i="5" s="1"/>
  <c r="CY159" i="5"/>
  <c r="O382" i="2"/>
  <c r="AG10" i="5"/>
  <c r="O17" i="3"/>
  <c r="I195" i="5" s="1"/>
  <c r="H127" i="5"/>
  <c r="AL9" i="5"/>
  <c r="O460" i="2"/>
  <c r="BK127" i="5"/>
  <c r="O706" i="3"/>
  <c r="BG195" i="5" s="1"/>
  <c r="BF127" i="5"/>
  <c r="G14" i="2"/>
  <c r="G15" i="2"/>
  <c r="K15" i="2" s="1"/>
  <c r="H12" i="5" s="1"/>
  <c r="G16" i="2"/>
  <c r="K16" i="2" s="1"/>
  <c r="H13" i="5" s="1"/>
  <c r="G17" i="2"/>
  <c r="K17" i="2" s="1"/>
  <c r="H14" i="5" s="1"/>
  <c r="G18" i="2"/>
  <c r="K18" i="2" s="1"/>
  <c r="H15" i="5" s="1"/>
  <c r="G19" i="2"/>
  <c r="K19" i="2" s="1"/>
  <c r="H16" i="5" s="1"/>
  <c r="G20" i="2"/>
  <c r="K20" i="2" s="1"/>
  <c r="H17" i="5" s="1"/>
  <c r="G21" i="2"/>
  <c r="K21" i="2" s="1"/>
  <c r="H18" i="5" s="1"/>
  <c r="G22" i="2"/>
  <c r="K22" i="2" s="1"/>
  <c r="H19" i="5" s="1"/>
  <c r="G23" i="2"/>
  <c r="K23" i="2" s="1"/>
  <c r="H20" i="5" s="1"/>
  <c r="G24" i="2"/>
  <c r="K24" i="2" s="1"/>
  <c r="H21" i="5" s="1"/>
  <c r="G25" i="2"/>
  <c r="K25" i="2" s="1"/>
  <c r="H22" i="5" s="1"/>
  <c r="G26" i="2"/>
  <c r="K26" i="2" s="1"/>
  <c r="H23" i="5" s="1"/>
  <c r="G27" i="2"/>
  <c r="K27" i="2" s="1"/>
  <c r="H24" i="5" s="1"/>
  <c r="G28" i="2"/>
  <c r="K28" i="2" s="1"/>
  <c r="H25" i="5" s="1"/>
  <c r="G29" i="2"/>
  <c r="K29" i="2" s="1"/>
  <c r="H26" i="5" s="1"/>
  <c r="G30" i="2"/>
  <c r="K30" i="2" s="1"/>
  <c r="H27" i="5" s="1"/>
  <c r="G31" i="2"/>
  <c r="K31" i="2" s="1"/>
  <c r="H28" i="5" s="1"/>
  <c r="G32" i="2"/>
  <c r="K32" i="2" s="1"/>
  <c r="H29" i="5" s="1"/>
  <c r="G33" i="2"/>
  <c r="K33" i="2" s="1"/>
  <c r="H30" i="5" s="1"/>
  <c r="G34" i="2"/>
  <c r="K34" i="2" s="1"/>
  <c r="H31" i="5" s="1"/>
  <c r="G35" i="2"/>
  <c r="K35" i="2" s="1"/>
  <c r="H32" i="5" s="1"/>
  <c r="G36" i="2"/>
  <c r="K36" i="2" s="1"/>
  <c r="H33" i="5" s="1"/>
  <c r="G37" i="2"/>
  <c r="K37" i="2" s="1"/>
  <c r="H34" i="5" s="1"/>
  <c r="G38" i="2"/>
  <c r="K38" i="2" s="1"/>
  <c r="H35" i="5" s="1"/>
  <c r="G39" i="2"/>
  <c r="K39" i="2" s="1"/>
  <c r="H36" i="5" s="1"/>
  <c r="G40" i="2"/>
  <c r="K40" i="2" s="1"/>
  <c r="H37" i="5" s="1"/>
  <c r="G41" i="2"/>
  <c r="K41" i="2" s="1"/>
  <c r="H38" i="5" s="1"/>
  <c r="G42" i="2"/>
  <c r="K42" i="2" s="1"/>
  <c r="H39" i="5" s="1"/>
  <c r="G43" i="2"/>
  <c r="K43" i="2" s="1"/>
  <c r="H40" i="5" s="1"/>
  <c r="G44" i="2"/>
  <c r="K44" i="2" s="1"/>
  <c r="H41" i="5" s="1"/>
  <c r="G45" i="2"/>
  <c r="K45" i="2" s="1"/>
  <c r="H42" i="5" s="1"/>
  <c r="G46" i="2"/>
  <c r="K46" i="2" s="1"/>
  <c r="H43" i="5" s="1"/>
  <c r="G47" i="2"/>
  <c r="K47" i="2" s="1"/>
  <c r="H44" i="5" s="1"/>
  <c r="G48" i="2"/>
  <c r="K48" i="2" s="1"/>
  <c r="H45" i="5" s="1"/>
  <c r="G49" i="2"/>
  <c r="K49" i="2" s="1"/>
  <c r="H46" i="5" s="1"/>
  <c r="G50" i="2"/>
  <c r="K50" i="2" s="1"/>
  <c r="H47" i="5" s="1"/>
  <c r="G51" i="2"/>
  <c r="K51" i="2" s="1"/>
  <c r="H48" i="5" s="1"/>
  <c r="G52" i="2"/>
  <c r="K52" i="2" s="1"/>
  <c r="H49" i="5" s="1"/>
  <c r="G53" i="2"/>
  <c r="K53" i="2" s="1"/>
  <c r="H50" i="5" s="1"/>
  <c r="G54" i="2"/>
  <c r="K54" i="2" s="1"/>
  <c r="H51" i="5" s="1"/>
  <c r="G55" i="2"/>
  <c r="K55" i="2" s="1"/>
  <c r="H52" i="5" s="1"/>
  <c r="G56" i="2"/>
  <c r="K56" i="2" s="1"/>
  <c r="H53" i="5" s="1"/>
  <c r="G57" i="2"/>
  <c r="K57" i="2" s="1"/>
  <c r="H54" i="5" s="1"/>
  <c r="G58" i="2"/>
  <c r="K58" i="2" s="1"/>
  <c r="H55" i="5" s="1"/>
  <c r="G59" i="2"/>
  <c r="K59" i="2" s="1"/>
  <c r="H56" i="5" s="1"/>
  <c r="G60" i="2"/>
  <c r="K60" i="2" s="1"/>
  <c r="H57" i="5" s="1"/>
  <c r="G61" i="2"/>
  <c r="K61" i="2" s="1"/>
  <c r="H58" i="5" s="1"/>
  <c r="G62" i="2"/>
  <c r="K62" i="2" s="1"/>
  <c r="H59" i="5" s="1"/>
  <c r="G63" i="2"/>
  <c r="K63" i="2" s="1"/>
  <c r="H60" i="5" s="1"/>
  <c r="O90" i="2" l="1"/>
  <c r="AR90" i="5"/>
  <c r="AR91" i="5" s="1"/>
  <c r="AR88" i="5"/>
  <c r="AR89" i="5" s="1"/>
  <c r="AR92" i="5"/>
  <c r="AH92" i="5"/>
  <c r="AH90" i="5"/>
  <c r="AH91" i="5" s="1"/>
  <c r="AH88" i="5"/>
  <c r="AH89" i="5" s="1"/>
  <c r="BL92" i="5"/>
  <c r="BL90" i="5"/>
  <c r="BL91" i="5" s="1"/>
  <c r="BL88" i="5"/>
  <c r="BL89" i="5" s="1"/>
  <c r="N90" i="5"/>
  <c r="N91" i="5" s="1"/>
  <c r="N88" i="5"/>
  <c r="N89" i="5" s="1"/>
  <c r="N92" i="5"/>
  <c r="X88" i="5"/>
  <c r="X89" i="5" s="1"/>
  <c r="X90" i="5"/>
  <c r="X91" i="5" s="1"/>
  <c r="X92" i="5"/>
  <c r="BG88" i="5"/>
  <c r="BG89" i="5" s="1"/>
  <c r="BG92" i="5"/>
  <c r="BG90" i="5"/>
  <c r="BG91" i="5" s="1"/>
  <c r="S92" i="5"/>
  <c r="S90" i="5"/>
  <c r="S91" i="5" s="1"/>
  <c r="S88" i="5"/>
  <c r="S89" i="5" s="1"/>
  <c r="BQ92" i="5"/>
  <c r="BQ90" i="5"/>
  <c r="BQ91" i="5" s="1"/>
  <c r="BQ88" i="5"/>
  <c r="BQ89" i="5" s="1"/>
  <c r="AM90" i="5"/>
  <c r="AM91" i="5" s="1"/>
  <c r="AM92" i="5"/>
  <c r="AM88" i="5"/>
  <c r="AM89" i="5" s="1"/>
  <c r="K14" i="2"/>
  <c r="O13" i="2"/>
  <c r="H153" i="11" s="1"/>
  <c r="H160" i="11" s="1"/>
  <c r="L1038" i="3"/>
  <c r="CU168" i="5" s="1"/>
  <c r="M1038" i="3"/>
  <c r="L1073" i="3"/>
  <c r="CZ168" i="5" s="1"/>
  <c r="M1073" i="3"/>
  <c r="L1108" i="3"/>
  <c r="DE168" i="5" s="1"/>
  <c r="M1108" i="3"/>
  <c r="L1140" i="3"/>
  <c r="DJ168" i="5" s="1"/>
  <c r="M1140" i="3"/>
  <c r="L1006" i="3"/>
  <c r="CP168" i="5" s="1"/>
  <c r="M1006" i="3"/>
  <c r="L969" i="3"/>
  <c r="CK156" i="5" s="1"/>
  <c r="M969" i="3"/>
  <c r="L970" i="3"/>
  <c r="CK157" i="5" s="1"/>
  <c r="M970" i="3"/>
  <c r="L971" i="3"/>
  <c r="CK158" i="5" s="1"/>
  <c r="M971" i="3"/>
  <c r="L850" i="3"/>
  <c r="BV138" i="5" s="1"/>
  <c r="M850" i="3"/>
  <c r="L901" i="3"/>
  <c r="CA156" i="5" s="1"/>
  <c r="M901" i="3"/>
  <c r="L902" i="3"/>
  <c r="CA157" i="5" s="1"/>
  <c r="M902" i="3"/>
  <c r="L903" i="3"/>
  <c r="CA158" i="5" s="1"/>
  <c r="M903" i="3"/>
  <c r="L936" i="3"/>
  <c r="CF156" i="5" s="1"/>
  <c r="M936" i="3"/>
  <c r="L937" i="3"/>
  <c r="CF157" i="5" s="1"/>
  <c r="M937" i="3"/>
  <c r="L938" i="3"/>
  <c r="CF158" i="5" s="1"/>
  <c r="M938" i="3"/>
  <c r="BV133" i="5"/>
  <c r="L846" i="3"/>
  <c r="BV134" i="5" s="1"/>
  <c r="M846" i="3"/>
  <c r="L847" i="3"/>
  <c r="BV135" i="5" s="1"/>
  <c r="M847" i="3"/>
  <c r="L848" i="3"/>
  <c r="BV136" i="5" s="1"/>
  <c r="M848" i="3"/>
  <c r="L810" i="3"/>
  <c r="BQ139" i="5" s="1"/>
  <c r="M810" i="3"/>
  <c r="L811" i="3"/>
  <c r="BQ140" i="5" s="1"/>
  <c r="M811" i="3"/>
  <c r="L812" i="3"/>
  <c r="BQ141" i="5" s="1"/>
  <c r="M812" i="3"/>
  <c r="L813" i="3"/>
  <c r="BQ142" i="5" s="1"/>
  <c r="M813" i="3"/>
  <c r="L814" i="3"/>
  <c r="BQ143" i="5" s="1"/>
  <c r="M814" i="3"/>
  <c r="L815" i="3"/>
  <c r="BQ144" i="5" s="1"/>
  <c r="M815" i="3"/>
  <c r="L816" i="3"/>
  <c r="BQ145" i="5" s="1"/>
  <c r="M816" i="3"/>
  <c r="L817" i="3"/>
  <c r="BQ146" i="5" s="1"/>
  <c r="M817" i="3"/>
  <c r="L818" i="3"/>
  <c r="BQ147" i="5" s="1"/>
  <c r="M818" i="3"/>
  <c r="L819" i="3"/>
  <c r="BQ148" i="5" s="1"/>
  <c r="M819" i="3"/>
  <c r="L820" i="3"/>
  <c r="BQ149" i="5" s="1"/>
  <c r="M820" i="3"/>
  <c r="L766" i="3"/>
  <c r="BL139" i="5" s="1"/>
  <c r="M766" i="3"/>
  <c r="L767" i="3"/>
  <c r="BL140" i="5" s="1"/>
  <c r="M767" i="3"/>
  <c r="L768" i="3"/>
  <c r="BL141" i="5" s="1"/>
  <c r="M768" i="3"/>
  <c r="L769" i="3"/>
  <c r="BL142" i="5" s="1"/>
  <c r="M769" i="3"/>
  <c r="L770" i="3"/>
  <c r="BL143" i="5" s="1"/>
  <c r="M770" i="3"/>
  <c r="BL144" i="5"/>
  <c r="BL145" i="5"/>
  <c r="L773" i="3"/>
  <c r="BL146" i="5" s="1"/>
  <c r="M773" i="3"/>
  <c r="L774" i="3"/>
  <c r="BL147" i="5" s="1"/>
  <c r="M774" i="3"/>
  <c r="L775" i="3"/>
  <c r="BL148" i="5" s="1"/>
  <c r="M775" i="3"/>
  <c r="L776" i="3"/>
  <c r="BL149" i="5" s="1"/>
  <c r="M776" i="3"/>
  <c r="L712" i="3"/>
  <c r="BG139" i="5" s="1"/>
  <c r="M712" i="3"/>
  <c r="L713" i="3"/>
  <c r="BG140" i="5" s="1"/>
  <c r="M713" i="3"/>
  <c r="L714" i="3"/>
  <c r="BG141" i="5" s="1"/>
  <c r="M714" i="3"/>
  <c r="L715" i="3"/>
  <c r="BG142" i="5" s="1"/>
  <c r="M715" i="3"/>
  <c r="L716" i="3"/>
  <c r="BG143" i="5" s="1"/>
  <c r="M716" i="3"/>
  <c r="L717" i="3"/>
  <c r="BG144" i="5" s="1"/>
  <c r="M717" i="3"/>
  <c r="L718" i="3"/>
  <c r="BG145" i="5" s="1"/>
  <c r="M718" i="3"/>
  <c r="L719" i="3"/>
  <c r="BG146" i="5" s="1"/>
  <c r="M719" i="3"/>
  <c r="L720" i="3"/>
  <c r="BG147" i="5" s="1"/>
  <c r="M720" i="3"/>
  <c r="L721" i="3"/>
  <c r="BG148" i="5" s="1"/>
  <c r="M721" i="3"/>
  <c r="L722" i="3"/>
  <c r="BG149" i="5" s="1"/>
  <c r="M722" i="3"/>
  <c r="L386" i="3"/>
  <c r="AH142" i="5" s="1"/>
  <c r="M386" i="3"/>
  <c r="L387" i="3"/>
  <c r="AH143" i="5" s="1"/>
  <c r="M387" i="3"/>
  <c r="L388" i="3"/>
  <c r="AH144" i="5" s="1"/>
  <c r="M388" i="3"/>
  <c r="L390" i="3"/>
  <c r="AH146" i="5" s="1"/>
  <c r="M390" i="3"/>
  <c r="L391" i="3"/>
  <c r="AH147" i="5" s="1"/>
  <c r="M391" i="3"/>
  <c r="L392" i="3"/>
  <c r="AH148" i="5" s="1"/>
  <c r="M392" i="3"/>
  <c r="L393" i="3"/>
  <c r="AH149" i="5" s="1"/>
  <c r="M393" i="3"/>
  <c r="O20" i="2" l="1"/>
  <c r="H11" i="5"/>
  <c r="L450" i="3"/>
  <c r="AM155" i="5" s="1"/>
  <c r="M450" i="3"/>
  <c r="L451" i="3"/>
  <c r="AM156" i="5" s="1"/>
  <c r="M451" i="3"/>
  <c r="AM157" i="5"/>
  <c r="L453" i="3"/>
  <c r="AM158" i="5" s="1"/>
  <c r="M453" i="3"/>
  <c r="L454" i="3"/>
  <c r="AM159" i="5" s="1"/>
  <c r="M454" i="3"/>
  <c r="L455" i="3"/>
  <c r="AM160" i="5" s="1"/>
  <c r="M455" i="3"/>
  <c r="L456" i="3"/>
  <c r="AM161" i="5" s="1"/>
  <c r="M456" i="3"/>
  <c r="L457" i="3"/>
  <c r="AM162" i="5" s="1"/>
  <c r="M457" i="3"/>
  <c r="L458" i="3"/>
  <c r="AM163" i="5" s="1"/>
  <c r="M458" i="3"/>
  <c r="L459" i="3"/>
  <c r="AM164" i="5" s="1"/>
  <c r="M459" i="3"/>
  <c r="L460" i="3"/>
  <c r="AM165" i="5" s="1"/>
  <c r="M460" i="3"/>
  <c r="L461" i="3"/>
  <c r="AM166" i="5" s="1"/>
  <c r="M461" i="3"/>
  <c r="L462" i="3"/>
  <c r="AM167" i="5" s="1"/>
  <c r="M462" i="3"/>
  <c r="L463" i="3"/>
  <c r="AM168" i="5" s="1"/>
  <c r="M463" i="3"/>
  <c r="L464" i="3"/>
  <c r="AM169" i="5" s="1"/>
  <c r="M464" i="3"/>
  <c r="L465" i="3"/>
  <c r="AM170" i="5" s="1"/>
  <c r="M465" i="3"/>
  <c r="L466" i="3"/>
  <c r="AM171" i="5" s="1"/>
  <c r="M466" i="3"/>
  <c r="AM172" i="5"/>
  <c r="AM173" i="5"/>
  <c r="AM174" i="5"/>
  <c r="L470" i="3"/>
  <c r="AM175" i="5" s="1"/>
  <c r="M470" i="3"/>
  <c r="L471" i="3"/>
  <c r="AM176" i="5" s="1"/>
  <c r="M471" i="3"/>
  <c r="L472" i="3"/>
  <c r="AM177" i="5" s="1"/>
  <c r="M472" i="3"/>
  <c r="L473" i="3"/>
  <c r="AM178" i="5" s="1"/>
  <c r="M473" i="3"/>
  <c r="L474" i="3"/>
  <c r="AM179" i="5" s="1"/>
  <c r="M474" i="3"/>
  <c r="L475" i="3"/>
  <c r="AM180" i="5" s="1"/>
  <c r="M475" i="3"/>
  <c r="I88" i="5" l="1"/>
  <c r="I89" i="5" s="1"/>
  <c r="I90" i="5"/>
  <c r="I91" i="5" s="1"/>
  <c r="I92" i="5"/>
  <c r="L602" i="3"/>
  <c r="AW154" i="5" s="1"/>
  <c r="M602" i="3"/>
  <c r="L603" i="3"/>
  <c r="AW155" i="5" s="1"/>
  <c r="M603" i="3"/>
  <c r="L604" i="3"/>
  <c r="AW156" i="5" s="1"/>
  <c r="M604" i="3"/>
  <c r="L605" i="3"/>
  <c r="AW157" i="5" s="1"/>
  <c r="M605" i="3"/>
  <c r="L606" i="3"/>
  <c r="AW158" i="5" s="1"/>
  <c r="M606" i="3"/>
  <c r="L607" i="3"/>
  <c r="AW159" i="5" s="1"/>
  <c r="M607" i="3"/>
  <c r="L608" i="3"/>
  <c r="AW160" i="5" s="1"/>
  <c r="M608" i="3"/>
  <c r="L609" i="3"/>
  <c r="AW161" i="5" s="1"/>
  <c r="M609" i="3"/>
  <c r="L610" i="3"/>
  <c r="AW162" i="5" s="1"/>
  <c r="M610" i="3"/>
  <c r="L611" i="3"/>
  <c r="AW163" i="5" s="1"/>
  <c r="M611" i="3"/>
  <c r="L612" i="3"/>
  <c r="AW164" i="5" s="1"/>
  <c r="M612" i="3"/>
  <c r="L613" i="3"/>
  <c r="AW165" i="5" s="1"/>
  <c r="M613" i="3"/>
  <c r="L614" i="3"/>
  <c r="AW166" i="5" s="1"/>
  <c r="M614" i="3"/>
  <c r="L615" i="3"/>
  <c r="AW167" i="5" s="1"/>
  <c r="M615" i="3"/>
  <c r="L616" i="3"/>
  <c r="AW168" i="5" s="1"/>
  <c r="M616" i="3"/>
  <c r="L617" i="3"/>
  <c r="AW169" i="5" s="1"/>
  <c r="M617" i="3"/>
  <c r="L618" i="3"/>
  <c r="AW170" i="5" s="1"/>
  <c r="M618" i="3"/>
  <c r="L619" i="3"/>
  <c r="AW171" i="5" s="1"/>
  <c r="M619" i="3"/>
  <c r="AW172" i="5"/>
  <c r="AW173" i="5"/>
  <c r="AW174" i="5"/>
  <c r="L623" i="3"/>
  <c r="AW175" i="5" s="1"/>
  <c r="M623" i="3"/>
  <c r="L624" i="3"/>
  <c r="AW176" i="5" s="1"/>
  <c r="M624" i="3"/>
  <c r="L625" i="3"/>
  <c r="AW177" i="5" s="1"/>
  <c r="M625" i="3"/>
  <c r="L626" i="3"/>
  <c r="AW178" i="5" s="1"/>
  <c r="M626" i="3"/>
  <c r="L627" i="3"/>
  <c r="AW179" i="5" s="1"/>
  <c r="M627" i="3"/>
  <c r="L628" i="3"/>
  <c r="AW180" i="5" s="1"/>
  <c r="M628" i="3"/>
  <c r="L525" i="3"/>
  <c r="AR155" i="5" s="1"/>
  <c r="M525" i="3"/>
  <c r="L526" i="3"/>
  <c r="AR156" i="5" s="1"/>
  <c r="M526" i="3"/>
  <c r="AR157" i="5"/>
  <c r="L528" i="3"/>
  <c r="AR158" i="5" s="1"/>
  <c r="M528" i="3"/>
  <c r="L529" i="3"/>
  <c r="AR159" i="5" s="1"/>
  <c r="M529" i="3"/>
  <c r="L530" i="3"/>
  <c r="AR160" i="5" s="1"/>
  <c r="M530" i="3"/>
  <c r="L531" i="3"/>
  <c r="AR161" i="5" s="1"/>
  <c r="M531" i="3"/>
  <c r="L532" i="3"/>
  <c r="AR162" i="5" s="1"/>
  <c r="M532" i="3"/>
  <c r="L533" i="3"/>
  <c r="AR163" i="5" s="1"/>
  <c r="M533" i="3"/>
  <c r="L534" i="3"/>
  <c r="AR164" i="5" s="1"/>
  <c r="M534" i="3"/>
  <c r="L535" i="3"/>
  <c r="AR165" i="5" s="1"/>
  <c r="M535" i="3"/>
  <c r="L536" i="3"/>
  <c r="AR166" i="5" s="1"/>
  <c r="M536" i="3"/>
  <c r="L537" i="3"/>
  <c r="AR167" i="5" s="1"/>
  <c r="M537" i="3"/>
  <c r="L538" i="3"/>
  <c r="AR168" i="5" s="1"/>
  <c r="M538" i="3"/>
  <c r="L539" i="3"/>
  <c r="AR169" i="5" s="1"/>
  <c r="M539" i="3"/>
  <c r="L540" i="3"/>
  <c r="AR170" i="5" s="1"/>
  <c r="M540" i="3"/>
  <c r="L541" i="3"/>
  <c r="AR171" i="5" s="1"/>
  <c r="M541" i="3"/>
  <c r="L545" i="3"/>
  <c r="AR175" i="5" s="1"/>
  <c r="M545" i="3"/>
  <c r="L546" i="3"/>
  <c r="AR176" i="5" s="1"/>
  <c r="M546" i="3"/>
  <c r="L547" i="3"/>
  <c r="AR177" i="5" s="1"/>
  <c r="M547" i="3"/>
  <c r="L548" i="3"/>
  <c r="AR178" i="5" s="1"/>
  <c r="M548" i="3"/>
  <c r="L549" i="3"/>
  <c r="AR179" i="5" s="1"/>
  <c r="M549" i="3"/>
  <c r="L550" i="3"/>
  <c r="AR180" i="5" s="1"/>
  <c r="M550" i="3"/>
  <c r="L323" i="3"/>
  <c r="AC154" i="5" s="1"/>
  <c r="M323" i="3"/>
  <c r="L324" i="3"/>
  <c r="AC155" i="5" s="1"/>
  <c r="M324" i="3"/>
  <c r="L325" i="3"/>
  <c r="AC156" i="5" s="1"/>
  <c r="M325" i="3"/>
  <c r="L326" i="3"/>
  <c r="AC157" i="5" s="1"/>
  <c r="M326" i="3"/>
  <c r="L327" i="3"/>
  <c r="AC158" i="5" s="1"/>
  <c r="M327" i="3"/>
  <c r="L328" i="3"/>
  <c r="AC159" i="5" s="1"/>
  <c r="M328" i="3"/>
  <c r="L329" i="3"/>
  <c r="AC160" i="5" s="1"/>
  <c r="M329" i="3"/>
  <c r="L330" i="3"/>
  <c r="AC161" i="5" s="1"/>
  <c r="M330" i="3"/>
  <c r="L331" i="3"/>
  <c r="AC162" i="5" s="1"/>
  <c r="M331" i="3"/>
  <c r="L332" i="3"/>
  <c r="AC163" i="5" s="1"/>
  <c r="M332" i="3"/>
  <c r="L333" i="3"/>
  <c r="AC164" i="5" s="1"/>
  <c r="M333" i="3"/>
  <c r="L334" i="3"/>
  <c r="AC165" i="5" s="1"/>
  <c r="M334" i="3"/>
  <c r="L335" i="3"/>
  <c r="AC166" i="5" s="1"/>
  <c r="M335" i="3"/>
  <c r="L336" i="3"/>
  <c r="AC167" i="5" s="1"/>
  <c r="M336" i="3"/>
  <c r="L337" i="3"/>
  <c r="AC168" i="5" s="1"/>
  <c r="M337" i="3"/>
  <c r="L338" i="3"/>
  <c r="AC169" i="5" s="1"/>
  <c r="M338" i="3"/>
  <c r="L339" i="3"/>
  <c r="AC170" i="5" s="1"/>
  <c r="M339" i="3"/>
  <c r="L340" i="3"/>
  <c r="AC171" i="5" s="1"/>
  <c r="M340" i="3"/>
  <c r="AC172" i="5"/>
  <c r="L344" i="3"/>
  <c r="AC175" i="5" s="1"/>
  <c r="M344" i="3"/>
  <c r="L345" i="3"/>
  <c r="AC176" i="5" s="1"/>
  <c r="M345" i="3"/>
  <c r="L346" i="3"/>
  <c r="AC177" i="5" s="1"/>
  <c r="M346" i="3"/>
  <c r="L347" i="3"/>
  <c r="AC178" i="5" s="1"/>
  <c r="M347" i="3"/>
  <c r="L348" i="3"/>
  <c r="AC179" i="5" s="1"/>
  <c r="M348" i="3"/>
  <c r="L349" i="3"/>
  <c r="AC180" i="5" s="1"/>
  <c r="M349" i="3"/>
  <c r="L251" i="3"/>
  <c r="X156" i="5" s="1"/>
  <c r="M251" i="3"/>
  <c r="L252" i="3"/>
  <c r="X157" i="5" s="1"/>
  <c r="M252" i="3"/>
  <c r="L253" i="3"/>
  <c r="X158" i="5" s="1"/>
  <c r="M253" i="3"/>
  <c r="L254" i="3"/>
  <c r="X159" i="5" s="1"/>
  <c r="M254" i="3"/>
  <c r="L255" i="3"/>
  <c r="X160" i="5" s="1"/>
  <c r="M255" i="3"/>
  <c r="L256" i="3"/>
  <c r="X161" i="5" s="1"/>
  <c r="M256" i="3"/>
  <c r="L257" i="3"/>
  <c r="X162" i="5" s="1"/>
  <c r="M257" i="3"/>
  <c r="L258" i="3"/>
  <c r="X163" i="5" s="1"/>
  <c r="M258" i="3"/>
  <c r="L259" i="3"/>
  <c r="X164" i="5" s="1"/>
  <c r="M259" i="3"/>
  <c r="L260" i="3"/>
  <c r="X165" i="5" s="1"/>
  <c r="M260" i="3"/>
  <c r="L261" i="3"/>
  <c r="X166" i="5" s="1"/>
  <c r="M261" i="3"/>
  <c r="L262" i="3"/>
  <c r="X167" i="5" s="1"/>
  <c r="M262" i="3"/>
  <c r="L263" i="3"/>
  <c r="X168" i="5" s="1"/>
  <c r="M263" i="3"/>
  <c r="L264" i="3"/>
  <c r="X169" i="5" s="1"/>
  <c r="M264" i="3"/>
  <c r="L265" i="3"/>
  <c r="X170" i="5" s="1"/>
  <c r="M265" i="3"/>
  <c r="L266" i="3"/>
  <c r="X171" i="5" s="1"/>
  <c r="M266" i="3"/>
  <c r="L270" i="3"/>
  <c r="X175" i="5" s="1"/>
  <c r="M270" i="3"/>
  <c r="L271" i="3"/>
  <c r="X176" i="5" s="1"/>
  <c r="M271" i="3"/>
  <c r="L272" i="3"/>
  <c r="X177" i="5" s="1"/>
  <c r="M272" i="3"/>
  <c r="L273" i="3"/>
  <c r="X178" i="5" s="1"/>
  <c r="M273" i="3"/>
  <c r="L274" i="3"/>
  <c r="X179" i="5" s="1"/>
  <c r="M274" i="3"/>
  <c r="L275" i="3"/>
  <c r="X180" i="5" s="1"/>
  <c r="M275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22" i="3"/>
  <c r="L177" i="3"/>
  <c r="S154" i="5" s="1"/>
  <c r="M177" i="3"/>
  <c r="L178" i="3"/>
  <c r="S155" i="5" s="1"/>
  <c r="M178" i="3"/>
  <c r="L179" i="3"/>
  <c r="S156" i="5" s="1"/>
  <c r="M179" i="3"/>
  <c r="L180" i="3"/>
  <c r="S157" i="5" s="1"/>
  <c r="M180" i="3"/>
  <c r="L181" i="3"/>
  <c r="S158" i="5" s="1"/>
  <c r="M181" i="3"/>
  <c r="L182" i="3"/>
  <c r="S159" i="5" s="1"/>
  <c r="M182" i="3"/>
  <c r="L183" i="3"/>
  <c r="S160" i="5" s="1"/>
  <c r="M183" i="3"/>
  <c r="L184" i="3"/>
  <c r="S161" i="5" s="1"/>
  <c r="M184" i="3"/>
  <c r="L185" i="3"/>
  <c r="S162" i="5" s="1"/>
  <c r="M185" i="3"/>
  <c r="L186" i="3"/>
  <c r="S163" i="5" s="1"/>
  <c r="M186" i="3"/>
  <c r="L187" i="3"/>
  <c r="S164" i="5" s="1"/>
  <c r="M187" i="3"/>
  <c r="L188" i="3"/>
  <c r="S165" i="5" s="1"/>
  <c r="M188" i="3"/>
  <c r="L189" i="3"/>
  <c r="S166" i="5" s="1"/>
  <c r="M189" i="3"/>
  <c r="L190" i="3"/>
  <c r="S167" i="5" s="1"/>
  <c r="M190" i="3"/>
  <c r="L191" i="3"/>
  <c r="S168" i="5" s="1"/>
  <c r="M191" i="3"/>
  <c r="L192" i="3"/>
  <c r="S169" i="5" s="1"/>
  <c r="M192" i="3"/>
  <c r="L193" i="3"/>
  <c r="S170" i="5" s="1"/>
  <c r="M193" i="3"/>
  <c r="L194" i="3"/>
  <c r="S171" i="5" s="1"/>
  <c r="M194" i="3"/>
  <c r="S172" i="5"/>
  <c r="S173" i="5"/>
  <c r="L198" i="3"/>
  <c r="S175" i="5" s="1"/>
  <c r="M198" i="3"/>
  <c r="L199" i="3"/>
  <c r="S176" i="5" s="1"/>
  <c r="M199" i="3"/>
  <c r="L200" i="3"/>
  <c r="S177" i="5" s="1"/>
  <c r="M200" i="3"/>
  <c r="L201" i="3"/>
  <c r="S178" i="5" s="1"/>
  <c r="M201" i="3"/>
  <c r="L202" i="3"/>
  <c r="S179" i="5" s="1"/>
  <c r="M202" i="3"/>
  <c r="L203" i="3"/>
  <c r="S180" i="5" s="1"/>
  <c r="M203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150" i="3"/>
  <c r="L108" i="3"/>
  <c r="N154" i="5" s="1"/>
  <c r="M108" i="3"/>
  <c r="L109" i="3"/>
  <c r="N155" i="5" s="1"/>
  <c r="M109" i="3"/>
  <c r="L110" i="3"/>
  <c r="N156" i="5" s="1"/>
  <c r="M110" i="3"/>
  <c r="N157" i="5"/>
  <c r="L112" i="3"/>
  <c r="N158" i="5" s="1"/>
  <c r="M112" i="3"/>
  <c r="L113" i="3"/>
  <c r="N159" i="5" s="1"/>
  <c r="M113" i="3"/>
  <c r="L114" i="3"/>
  <c r="N160" i="5" s="1"/>
  <c r="M114" i="3"/>
  <c r="L115" i="3"/>
  <c r="N161" i="5" s="1"/>
  <c r="M115" i="3"/>
  <c r="L116" i="3"/>
  <c r="N162" i="5" s="1"/>
  <c r="M116" i="3"/>
  <c r="L117" i="3"/>
  <c r="N163" i="5" s="1"/>
  <c r="M117" i="3"/>
  <c r="L118" i="3"/>
  <c r="N164" i="5" s="1"/>
  <c r="M118" i="3"/>
  <c r="L119" i="3"/>
  <c r="N165" i="5" s="1"/>
  <c r="M119" i="3"/>
  <c r="L120" i="3"/>
  <c r="N166" i="5" s="1"/>
  <c r="M120" i="3"/>
  <c r="L121" i="3"/>
  <c r="N167" i="5" s="1"/>
  <c r="M121" i="3"/>
  <c r="L122" i="3"/>
  <c r="N168" i="5" s="1"/>
  <c r="M122" i="3"/>
  <c r="L123" i="3"/>
  <c r="N169" i="5" s="1"/>
  <c r="M123" i="3"/>
  <c r="L124" i="3"/>
  <c r="N170" i="5" s="1"/>
  <c r="M124" i="3"/>
  <c r="L125" i="3"/>
  <c r="N171" i="5" s="1"/>
  <c r="M125" i="3"/>
  <c r="N172" i="5"/>
  <c r="L129" i="3"/>
  <c r="N175" i="5" s="1"/>
  <c r="M129" i="3"/>
  <c r="L130" i="3"/>
  <c r="N176" i="5" s="1"/>
  <c r="M130" i="3"/>
  <c r="L131" i="3"/>
  <c r="N177" i="5" s="1"/>
  <c r="M131" i="3"/>
  <c r="L132" i="3"/>
  <c r="N178" i="5" s="1"/>
  <c r="M132" i="3"/>
  <c r="L133" i="3"/>
  <c r="N179" i="5" s="1"/>
  <c r="M133" i="3"/>
  <c r="L134" i="3"/>
  <c r="N180" i="5" s="1"/>
  <c r="M134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81" i="3"/>
  <c r="A13" i="3"/>
  <c r="A14" i="3"/>
  <c r="A15" i="3"/>
  <c r="A16" i="3"/>
  <c r="A17" i="3"/>
  <c r="A18" i="3"/>
  <c r="A19" i="3"/>
  <c r="A20" i="3"/>
  <c r="A21" i="3"/>
  <c r="A22" i="3"/>
  <c r="A23" i="3"/>
  <c r="A24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12" i="3"/>
  <c r="X172" i="5" l="1"/>
  <c r="L65" i="3"/>
  <c r="I180" i="5" s="1"/>
  <c r="M65" i="3"/>
  <c r="L12" i="3"/>
  <c r="I127" i="5" s="1"/>
  <c r="L13" i="3"/>
  <c r="I128" i="5" s="1"/>
  <c r="L896" i="2"/>
  <c r="BQ22" i="5" s="1"/>
  <c r="M896" i="2"/>
  <c r="L911" i="2"/>
  <c r="BQ37" i="5" s="1"/>
  <c r="M911" i="2"/>
  <c r="L921" i="2"/>
  <c r="BQ47" i="5" s="1"/>
  <c r="M921" i="2"/>
  <c r="L922" i="2"/>
  <c r="BQ48" i="5" s="1"/>
  <c r="M922" i="2"/>
  <c r="L929" i="2"/>
  <c r="BQ55" i="5" s="1"/>
  <c r="M929" i="2"/>
  <c r="L930" i="2"/>
  <c r="BQ56" i="5" s="1"/>
  <c r="M930" i="2"/>
  <c r="M936" i="2"/>
  <c r="L936" i="2"/>
  <c r="BQ62" i="5" s="1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883" i="2"/>
  <c r="L839" i="2"/>
  <c r="BL37" i="5" s="1"/>
  <c r="M839" i="2"/>
  <c r="L855" i="2"/>
  <c r="BL53" i="5" s="1"/>
  <c r="M855" i="2"/>
  <c r="M863" i="2"/>
  <c r="M864" i="2"/>
  <c r="L863" i="2"/>
  <c r="BL61" i="5" s="1"/>
  <c r="L864" i="2"/>
  <c r="BL62" i="5" s="1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11" i="2"/>
  <c r="A744" i="2"/>
  <c r="A745" i="2"/>
  <c r="A746" i="2"/>
  <c r="A747" i="2"/>
  <c r="A748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43" i="2"/>
  <c r="M756" i="2"/>
  <c r="L756" i="2"/>
  <c r="BG22" i="5" s="1"/>
  <c r="M796" i="2"/>
  <c r="L796" i="2"/>
  <c r="BG62" i="5" s="1"/>
  <c r="L696" i="2"/>
  <c r="BB37" i="5" s="1"/>
  <c r="M696" i="2"/>
  <c r="L712" i="2"/>
  <c r="BB53" i="5" s="1"/>
  <c r="M712" i="2"/>
  <c r="M721" i="2"/>
  <c r="L721" i="2"/>
  <c r="BB62" i="5" s="1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668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597" i="2"/>
  <c r="M625" i="2"/>
  <c r="L625" i="2"/>
  <c r="AW37" i="5" s="1"/>
  <c r="M555" i="2"/>
  <c r="L555" i="2"/>
  <c r="AR37" i="5" s="1"/>
  <c r="M580" i="2"/>
  <c r="L580" i="2"/>
  <c r="AR62" i="5" s="1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27" i="2"/>
  <c r="M479" i="2"/>
  <c r="L479" i="2"/>
  <c r="AM37" i="5" s="1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451" i="2"/>
  <c r="M426" i="2" l="1"/>
  <c r="L426" i="2"/>
  <c r="AH62" i="5" s="1"/>
  <c r="M401" i="2"/>
  <c r="L401" i="2"/>
  <c r="AH37" i="5" s="1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373" i="2"/>
  <c r="M355" i="2"/>
  <c r="L355" i="2"/>
  <c r="AC62" i="5" s="1"/>
  <c r="M330" i="2"/>
  <c r="L330" i="2"/>
  <c r="AC37" i="5" s="1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02" i="2"/>
  <c r="M283" i="2"/>
  <c r="L283" i="2"/>
  <c r="X62" i="5" s="1"/>
  <c r="M258" i="2"/>
  <c r="L258" i="2"/>
  <c r="X37" i="5" s="1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30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161" i="2"/>
  <c r="M214" i="2"/>
  <c r="L214" i="2"/>
  <c r="S62" i="5" s="1"/>
  <c r="M206" i="2"/>
  <c r="L206" i="2"/>
  <c r="S54" i="5" s="1"/>
  <c r="M189" i="2"/>
  <c r="L189" i="2"/>
  <c r="S37" i="5" s="1"/>
  <c r="M124" i="2"/>
  <c r="M125" i="2"/>
  <c r="M126" i="2"/>
  <c r="L124" i="2"/>
  <c r="N52" i="5" s="1"/>
  <c r="L125" i="2"/>
  <c r="N53" i="5" s="1"/>
  <c r="L126" i="2"/>
  <c r="N54" i="5" s="1"/>
  <c r="M82" i="2"/>
  <c r="L82" i="2"/>
  <c r="N10" i="5" s="1"/>
  <c r="M89" i="2"/>
  <c r="L89" i="2"/>
  <c r="N17" i="5" s="1"/>
  <c r="M94" i="2"/>
  <c r="L94" i="2"/>
  <c r="N22" i="5" s="1"/>
  <c r="M109" i="2"/>
  <c r="L109" i="2"/>
  <c r="N37" i="5" s="1"/>
  <c r="M134" i="2"/>
  <c r="L134" i="2"/>
  <c r="N62" i="5" s="1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81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12" i="2"/>
  <c r="L40" i="3" l="1"/>
  <c r="I155" i="5" s="1"/>
  <c r="L41" i="3"/>
  <c r="I156" i="5" s="1"/>
  <c r="L44" i="3"/>
  <c r="I159" i="5" s="1"/>
  <c r="L45" i="3"/>
  <c r="I160" i="5" s="1"/>
  <c r="L48" i="3"/>
  <c r="I163" i="5" s="1"/>
  <c r="L49" i="3"/>
  <c r="I164" i="5" s="1"/>
  <c r="L52" i="3"/>
  <c r="I167" i="5" s="1"/>
  <c r="L53" i="3"/>
  <c r="I168" i="5" s="1"/>
  <c r="L56" i="3"/>
  <c r="I171" i="5" s="1"/>
  <c r="I172" i="5"/>
  <c r="L60" i="3"/>
  <c r="I175" i="5" s="1"/>
  <c r="L61" i="3"/>
  <c r="I176" i="5" s="1"/>
  <c r="L64" i="3"/>
  <c r="I179" i="5" s="1"/>
  <c r="M39" i="3"/>
  <c r="M40" i="3"/>
  <c r="M41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60" i="3"/>
  <c r="M61" i="3"/>
  <c r="M62" i="3"/>
  <c r="M63" i="3"/>
  <c r="M64" i="3"/>
  <c r="L39" i="3"/>
  <c r="I154" i="5" s="1"/>
  <c r="L43" i="3"/>
  <c r="I158" i="5" s="1"/>
  <c r="L46" i="3"/>
  <c r="I161" i="5" s="1"/>
  <c r="L47" i="3"/>
  <c r="I162" i="5" s="1"/>
  <c r="L50" i="3"/>
  <c r="I165" i="5" s="1"/>
  <c r="L51" i="3"/>
  <c r="I166" i="5" s="1"/>
  <c r="L54" i="3"/>
  <c r="I169" i="5" s="1"/>
  <c r="L55" i="3"/>
  <c r="I170" i="5" s="1"/>
  <c r="I173" i="5"/>
  <c r="I174" i="5"/>
  <c r="L62" i="3"/>
  <c r="I177" i="5" s="1"/>
  <c r="L63" i="3"/>
  <c r="I178" i="5" s="1"/>
  <c r="L14" i="3"/>
  <c r="I129" i="5" s="1"/>
  <c r="L15" i="3"/>
  <c r="I130" i="5" s="1"/>
  <c r="M17" i="3"/>
  <c r="L26" i="3"/>
  <c r="I141" i="5" s="1"/>
  <c r="M26" i="3"/>
  <c r="L84" i="3"/>
  <c r="N130" i="5" s="1"/>
  <c r="L85" i="3"/>
  <c r="N131" i="5" s="1"/>
  <c r="M92" i="3"/>
  <c r="M93" i="3"/>
  <c r="L94" i="3"/>
  <c r="N140" i="5" s="1"/>
  <c r="L95" i="3"/>
  <c r="N141" i="5" s="1"/>
  <c r="L98" i="3"/>
  <c r="N144" i="5" s="1"/>
  <c r="L100" i="3"/>
  <c r="N146" i="5" s="1"/>
  <c r="L102" i="3"/>
  <c r="N148" i="5" s="1"/>
  <c r="L104" i="3"/>
  <c r="N150" i="5" s="1"/>
  <c r="L106" i="3"/>
  <c r="N152" i="5" s="1"/>
  <c r="L150" i="3"/>
  <c r="S127" i="5" s="1"/>
  <c r="M153" i="3"/>
  <c r="L157" i="3"/>
  <c r="S134" i="5" s="1"/>
  <c r="M164" i="3"/>
  <c r="L170" i="3"/>
  <c r="S147" i="5" s="1"/>
  <c r="L172" i="3"/>
  <c r="S149" i="5" s="1"/>
  <c r="L173" i="3"/>
  <c r="S150" i="5" s="1"/>
  <c r="L219" i="3"/>
  <c r="M219" i="3"/>
  <c r="M224" i="3"/>
  <c r="L225" i="3"/>
  <c r="X130" i="5" s="1"/>
  <c r="L226" i="3"/>
  <c r="X131" i="5" s="1"/>
  <c r="L230" i="3"/>
  <c r="X135" i="5" s="1"/>
  <c r="L241" i="3"/>
  <c r="X146" i="5" s="1"/>
  <c r="L242" i="3"/>
  <c r="X147" i="5" s="1"/>
  <c r="L245" i="3"/>
  <c r="X150" i="5" s="1"/>
  <c r="L246" i="3"/>
  <c r="X151" i="5" s="1"/>
  <c r="L249" i="3"/>
  <c r="X154" i="5" s="1"/>
  <c r="L250" i="3"/>
  <c r="X155" i="5" s="1"/>
  <c r="M296" i="3"/>
  <c r="M298" i="3"/>
  <c r="L299" i="3"/>
  <c r="AC130" i="5" s="1"/>
  <c r="L301" i="3"/>
  <c r="AC132" i="5" s="1"/>
  <c r="L303" i="3"/>
  <c r="AC134" i="5" s="1"/>
  <c r="M308" i="3"/>
  <c r="L309" i="3"/>
  <c r="AC140" i="5" s="1"/>
  <c r="L310" i="3"/>
  <c r="AC141" i="5" s="1"/>
  <c r="L313" i="3"/>
  <c r="AC144" i="5" s="1"/>
  <c r="L315" i="3"/>
  <c r="AC146" i="5" s="1"/>
  <c r="L317" i="3"/>
  <c r="AC148" i="5" s="1"/>
  <c r="L319" i="3"/>
  <c r="AC150" i="5" s="1"/>
  <c r="L321" i="3"/>
  <c r="AC152" i="5" s="1"/>
  <c r="L371" i="3"/>
  <c r="AH127" i="5" s="1"/>
  <c r="M385" i="3"/>
  <c r="L423" i="3"/>
  <c r="AM128" i="5" s="1"/>
  <c r="L426" i="3"/>
  <c r="AM131" i="5" s="1"/>
  <c r="L427" i="3"/>
  <c r="AM132" i="5" s="1"/>
  <c r="L433" i="3"/>
  <c r="AM138" i="5" s="1"/>
  <c r="M436" i="3"/>
  <c r="L437" i="3"/>
  <c r="AM142" i="5" s="1"/>
  <c r="L440" i="3"/>
  <c r="AM145" i="5" s="1"/>
  <c r="L442" i="3"/>
  <c r="AM147" i="5" s="1"/>
  <c r="L444" i="3"/>
  <c r="AM149" i="5" s="1"/>
  <c r="L446" i="3"/>
  <c r="AM151" i="5" s="1"/>
  <c r="L448" i="3"/>
  <c r="AM153" i="5" s="1"/>
  <c r="L501" i="3"/>
  <c r="AR131" i="5" s="1"/>
  <c r="L512" i="3"/>
  <c r="AR142" i="5" s="1"/>
  <c r="M524" i="3"/>
  <c r="L576" i="3"/>
  <c r="AW128" i="5" s="1"/>
  <c r="M577" i="3"/>
  <c r="L579" i="3"/>
  <c r="AW131" i="5" s="1"/>
  <c r="L580" i="3"/>
  <c r="AW132" i="5" s="1"/>
  <c r="M583" i="3"/>
  <c r="M584" i="3"/>
  <c r="AW137" i="5"/>
  <c r="L586" i="3"/>
  <c r="AW138" i="5" s="1"/>
  <c r="M588" i="3"/>
  <c r="L589" i="3"/>
  <c r="AW141" i="5" s="1"/>
  <c r="L590" i="3"/>
  <c r="AW142" i="5" s="1"/>
  <c r="M592" i="3"/>
  <c r="M595" i="3"/>
  <c r="M596" i="3"/>
  <c r="M599" i="3"/>
  <c r="M600" i="3"/>
  <c r="M649" i="3"/>
  <c r="L650" i="3"/>
  <c r="BB129" i="5" s="1"/>
  <c r="M653" i="3"/>
  <c r="M657" i="3"/>
  <c r="L659" i="3"/>
  <c r="BB138" i="5" s="1"/>
  <c r="M700" i="3"/>
  <c r="L701" i="3"/>
  <c r="BG128" i="5" s="1"/>
  <c r="L702" i="3"/>
  <c r="BG129" i="5" s="1"/>
  <c r="L705" i="3"/>
  <c r="BG132" i="5" s="1"/>
  <c r="M707" i="3"/>
  <c r="M708" i="3"/>
  <c r="M711" i="3"/>
  <c r="M755" i="3"/>
  <c r="L756" i="3"/>
  <c r="BL129" i="5" s="1"/>
  <c r="M759" i="3"/>
  <c r="BL133" i="5"/>
  <c r="M763" i="3"/>
  <c r="L765" i="3"/>
  <c r="BL138" i="5" s="1"/>
  <c r="M798" i="3"/>
  <c r="L799" i="3"/>
  <c r="BQ128" i="5" s="1"/>
  <c r="L803" i="3"/>
  <c r="BQ132" i="5" s="1"/>
  <c r="M806" i="3"/>
  <c r="M809" i="3"/>
  <c r="M840" i="3"/>
  <c r="L841" i="3"/>
  <c r="BV129" i="5" s="1"/>
  <c r="L844" i="3"/>
  <c r="BV132" i="5" s="1"/>
  <c r="L896" i="3"/>
  <c r="CA151" i="5" s="1"/>
  <c r="L900" i="3"/>
  <c r="CA155" i="5" s="1"/>
  <c r="L931" i="3"/>
  <c r="CF151" i="5" s="1"/>
  <c r="L935" i="3"/>
  <c r="CF155" i="5" s="1"/>
  <c r="L964" i="3"/>
  <c r="CK151" i="5" s="1"/>
  <c r="L968" i="3"/>
  <c r="CK155" i="5" s="1"/>
  <c r="L998" i="3"/>
  <c r="CP160" i="5" s="1"/>
  <c r="L1002" i="3"/>
  <c r="CP164" i="5" s="1"/>
  <c r="L1004" i="3"/>
  <c r="CP166" i="5" s="1"/>
  <c r="L1005" i="3"/>
  <c r="CP167" i="5" s="1"/>
  <c r="L1029" i="3"/>
  <c r="CU159" i="5" s="1"/>
  <c r="L1035" i="3"/>
  <c r="CU165" i="5" s="1"/>
  <c r="M1036" i="3"/>
  <c r="M1037" i="3"/>
  <c r="L1066" i="3"/>
  <c r="CZ161" i="5" s="1"/>
  <c r="M1067" i="3"/>
  <c r="L1070" i="3"/>
  <c r="CZ165" i="5" s="1"/>
  <c r="M1071" i="3"/>
  <c r="L1101" i="3"/>
  <c r="DE161" i="5" s="1"/>
  <c r="L1105" i="3"/>
  <c r="DE165" i="5" s="1"/>
  <c r="M1106" i="3"/>
  <c r="L1133" i="3"/>
  <c r="DJ161" i="5" s="1"/>
  <c r="M1134" i="3"/>
  <c r="L1137" i="3"/>
  <c r="DJ165" i="5" s="1"/>
  <c r="M1138" i="3"/>
  <c r="M1139" i="3"/>
  <c r="O1167" i="3"/>
  <c r="DO189" i="5" s="1"/>
  <c r="L1173" i="3"/>
  <c r="DO175" i="5" s="1"/>
  <c r="M1174" i="3"/>
  <c r="M1175" i="3"/>
  <c r="C9" i="6"/>
  <c r="C8" i="6"/>
  <c r="C14" i="6" l="1"/>
  <c r="I88" i="4"/>
  <c r="I93" i="11"/>
  <c r="I96" i="11" s="1"/>
  <c r="M371" i="3"/>
  <c r="M705" i="3"/>
  <c r="M659" i="3"/>
  <c r="L224" i="3"/>
  <c r="X129" i="5" s="1"/>
  <c r="M433" i="3"/>
  <c r="M310" i="3"/>
  <c r="L1036" i="3"/>
  <c r="CU166" i="5" s="1"/>
  <c r="M1004" i="3"/>
  <c r="M512" i="3"/>
  <c r="L1175" i="3"/>
  <c r="DO177" i="5" s="1"/>
  <c r="L1106" i="3"/>
  <c r="DE166" i="5" s="1"/>
  <c r="M1066" i="3"/>
  <c r="M702" i="3"/>
  <c r="M501" i="3"/>
  <c r="M426" i="3"/>
  <c r="L308" i="3"/>
  <c r="AC139" i="5" s="1"/>
  <c r="M301" i="3"/>
  <c r="M803" i="3"/>
  <c r="DO172" i="5"/>
  <c r="O964" i="3"/>
  <c r="CK190" i="5" s="1"/>
  <c r="M765" i="3"/>
  <c r="M701" i="3"/>
  <c r="L588" i="3"/>
  <c r="AW140" i="5" s="1"/>
  <c r="M226" i="3"/>
  <c r="M1072" i="3"/>
  <c r="L1072" i="3"/>
  <c r="CZ167" i="5" s="1"/>
  <c r="M801" i="3"/>
  <c r="L801" i="3"/>
  <c r="BQ130" i="5" s="1"/>
  <c r="L502" i="3"/>
  <c r="AR132" i="5" s="1"/>
  <c r="M502" i="3"/>
  <c r="M237" i="3"/>
  <c r="L237" i="3"/>
  <c r="X142" i="5" s="1"/>
  <c r="M1107" i="3"/>
  <c r="L1107" i="3"/>
  <c r="DE167" i="5" s="1"/>
  <c r="M805" i="3"/>
  <c r="L805" i="3"/>
  <c r="BQ134" i="5" s="1"/>
  <c r="L800" i="3"/>
  <c r="BQ129" i="5" s="1"/>
  <c r="M800" i="3"/>
  <c r="L587" i="3"/>
  <c r="AW139" i="5" s="1"/>
  <c r="M587" i="3"/>
  <c r="L508" i="3"/>
  <c r="AR138" i="5" s="1"/>
  <c r="M508" i="3"/>
  <c r="L375" i="3"/>
  <c r="AH131" i="5" s="1"/>
  <c r="M375" i="3"/>
  <c r="M311" i="3"/>
  <c r="L311" i="3"/>
  <c r="AC142" i="5" s="1"/>
  <c r="L430" i="3"/>
  <c r="AM135" i="5" s="1"/>
  <c r="M430" i="3"/>
  <c r="M233" i="3"/>
  <c r="L233" i="3"/>
  <c r="X138" i="5" s="1"/>
  <c r="L161" i="3"/>
  <c r="S138" i="5" s="1"/>
  <c r="M161" i="3"/>
  <c r="M154" i="3"/>
  <c r="L154" i="3"/>
  <c r="S131" i="5" s="1"/>
  <c r="L1169" i="3"/>
  <c r="DO171" i="5" s="1"/>
  <c r="M1169" i="3"/>
  <c r="L1134" i="3"/>
  <c r="DJ162" i="5" s="1"/>
  <c r="L802" i="3"/>
  <c r="BQ131" i="5" s="1"/>
  <c r="M802" i="3"/>
  <c r="L704" i="3"/>
  <c r="BG131" i="5" s="1"/>
  <c r="M704" i="3"/>
  <c r="M511" i="3"/>
  <c r="L511" i="3"/>
  <c r="AR141" i="5" s="1"/>
  <c r="AM137" i="5"/>
  <c r="L297" i="3"/>
  <c r="AC128" i="5" s="1"/>
  <c r="M297" i="3"/>
  <c r="L227" i="3"/>
  <c r="X132" i="5" s="1"/>
  <c r="M227" i="3"/>
  <c r="L16" i="3"/>
  <c r="I131" i="5" s="1"/>
  <c r="M16" i="3"/>
  <c r="M1173" i="3"/>
  <c r="M1102" i="3"/>
  <c r="L1102" i="3"/>
  <c r="DE162" i="5" s="1"/>
  <c r="L707" i="3"/>
  <c r="BG134" i="5" s="1"/>
  <c r="M703" i="3"/>
  <c r="L703" i="3"/>
  <c r="BG130" i="5" s="1"/>
  <c r="L591" i="3"/>
  <c r="AW143" i="5" s="1"/>
  <c r="M591" i="3"/>
  <c r="L497" i="3"/>
  <c r="AR127" i="5" s="1"/>
  <c r="M497" i="3"/>
  <c r="L422" i="3"/>
  <c r="AM127" i="5" s="1"/>
  <c r="M422" i="3"/>
  <c r="L382" i="3"/>
  <c r="AH138" i="5" s="1"/>
  <c r="M382" i="3"/>
  <c r="L376" i="3"/>
  <c r="AH132" i="5" s="1"/>
  <c r="M376" i="3"/>
  <c r="M307" i="3"/>
  <c r="L307" i="3"/>
  <c r="AC138" i="5" s="1"/>
  <c r="M300" i="3"/>
  <c r="L300" i="3"/>
  <c r="AC131" i="5" s="1"/>
  <c r="L165" i="3"/>
  <c r="S142" i="5" s="1"/>
  <c r="M165" i="3"/>
  <c r="M96" i="3"/>
  <c r="L96" i="3"/>
  <c r="N142" i="5" s="1"/>
  <c r="L1174" i="3"/>
  <c r="DO176" i="5" s="1"/>
  <c r="L1138" i="3"/>
  <c r="DJ166" i="5" s="1"/>
  <c r="M1101" i="3"/>
  <c r="O931" i="3"/>
  <c r="CF190" i="5" s="1"/>
  <c r="M799" i="3"/>
  <c r="M576" i="3"/>
  <c r="L385" i="3"/>
  <c r="AH141" i="5" s="1"/>
  <c r="L296" i="3"/>
  <c r="AC127" i="5" s="1"/>
  <c r="M249" i="3"/>
  <c r="L164" i="3"/>
  <c r="S141" i="5" s="1"/>
  <c r="L153" i="3"/>
  <c r="S130" i="5" s="1"/>
  <c r="M95" i="3"/>
  <c r="L93" i="3"/>
  <c r="N139" i="5" s="1"/>
  <c r="M15" i="3"/>
  <c r="M1105" i="3"/>
  <c r="M1070" i="3"/>
  <c r="L1037" i="3"/>
  <c r="CU167" i="5" s="1"/>
  <c r="M1035" i="3"/>
  <c r="M1005" i="3"/>
  <c r="O896" i="3"/>
  <c r="CA190" i="5" s="1"/>
  <c r="M580" i="3"/>
  <c r="L436" i="3"/>
  <c r="AM141" i="5" s="1"/>
  <c r="M315" i="3"/>
  <c r="M313" i="3"/>
  <c r="M309" i="3"/>
  <c r="M241" i="3"/>
  <c r="M225" i="3"/>
  <c r="M84" i="3"/>
  <c r="O998" i="3"/>
  <c r="CP190" i="5" s="1"/>
  <c r="M94" i="3"/>
  <c r="L92" i="3"/>
  <c r="N138" i="5" s="1"/>
  <c r="M85" i="3"/>
  <c r="L1136" i="3"/>
  <c r="DJ164" i="5" s="1"/>
  <c r="M1136" i="3"/>
  <c r="O1132" i="3"/>
  <c r="DJ190" i="5" s="1"/>
  <c r="L1064" i="3"/>
  <c r="CZ159" i="5" s="1"/>
  <c r="M1064" i="3"/>
  <c r="L1033" i="3"/>
  <c r="CU163" i="5" s="1"/>
  <c r="M1033" i="3"/>
  <c r="O1030" i="3"/>
  <c r="CU190" i="5" s="1"/>
  <c r="M1001" i="3"/>
  <c r="L1001" i="3"/>
  <c r="CP163" i="5" s="1"/>
  <c r="M963" i="3"/>
  <c r="L963" i="3"/>
  <c r="CK150" i="5" s="1"/>
  <c r="M933" i="3"/>
  <c r="L933" i="3"/>
  <c r="CF153" i="5" s="1"/>
  <c r="M899" i="3"/>
  <c r="L899" i="3"/>
  <c r="CA154" i="5" s="1"/>
  <c r="L843" i="3"/>
  <c r="BV131" i="5" s="1"/>
  <c r="M843" i="3"/>
  <c r="M757" i="3"/>
  <c r="L757" i="3"/>
  <c r="BL130" i="5" s="1"/>
  <c r="M651" i="3"/>
  <c r="L651" i="3"/>
  <c r="BB130" i="5" s="1"/>
  <c r="M593" i="3"/>
  <c r="L593" i="3"/>
  <c r="AW145" i="5" s="1"/>
  <c r="L575" i="3"/>
  <c r="AW127" i="5" s="1"/>
  <c r="M575" i="3"/>
  <c r="L1167" i="3"/>
  <c r="DO169" i="5" s="1"/>
  <c r="M1167" i="3"/>
  <c r="L1139" i="3"/>
  <c r="DJ167" i="5" s="1"/>
  <c r="M1137" i="3"/>
  <c r="L1135" i="3"/>
  <c r="DJ163" i="5" s="1"/>
  <c r="M1135" i="3"/>
  <c r="M1133" i="3"/>
  <c r="L1104" i="3"/>
  <c r="DE164" i="5" s="1"/>
  <c r="M1104" i="3"/>
  <c r="O1100" i="3"/>
  <c r="DE190" i="5" s="1"/>
  <c r="L1071" i="3"/>
  <c r="CZ166" i="5" s="1"/>
  <c r="L1067" i="3"/>
  <c r="CZ162" i="5" s="1"/>
  <c r="L1030" i="3"/>
  <c r="CU160" i="5" s="1"/>
  <c r="M1030" i="3"/>
  <c r="M1029" i="3"/>
  <c r="L1003" i="3"/>
  <c r="CP165" i="5" s="1"/>
  <c r="M1003" i="3"/>
  <c r="L1000" i="3"/>
  <c r="CP162" i="5" s="1"/>
  <c r="M1000" i="3"/>
  <c r="M930" i="3"/>
  <c r="L930" i="3"/>
  <c r="CF150" i="5" s="1"/>
  <c r="L898" i="3"/>
  <c r="CA153" i="5" s="1"/>
  <c r="M898" i="3"/>
  <c r="M842" i="3"/>
  <c r="L842" i="3"/>
  <c r="BV130" i="5" s="1"/>
  <c r="M762" i="3"/>
  <c r="L762" i="3"/>
  <c r="BL135" i="5" s="1"/>
  <c r="L648" i="3"/>
  <c r="BB127" i="5" s="1"/>
  <c r="M648" i="3"/>
  <c r="L1103" i="3"/>
  <c r="DE163" i="5" s="1"/>
  <c r="M1103" i="3"/>
  <c r="L1069" i="3"/>
  <c r="CZ164" i="5" s="1"/>
  <c r="M1069" i="3"/>
  <c r="O1065" i="3"/>
  <c r="CZ190" i="5" s="1"/>
  <c r="M997" i="3"/>
  <c r="L997" i="3"/>
  <c r="CP159" i="5" s="1"/>
  <c r="M967" i="3"/>
  <c r="L967" i="3"/>
  <c r="CK154" i="5" s="1"/>
  <c r="M895" i="3"/>
  <c r="L895" i="3"/>
  <c r="CA150" i="5" s="1"/>
  <c r="M761" i="3"/>
  <c r="L761" i="3"/>
  <c r="BL134" i="5" s="1"/>
  <c r="M656" i="3"/>
  <c r="L656" i="3"/>
  <c r="BB135" i="5" s="1"/>
  <c r="M601" i="3"/>
  <c r="L601" i="3"/>
  <c r="AW153" i="5" s="1"/>
  <c r="M598" i="3"/>
  <c r="L598" i="3"/>
  <c r="AW150" i="5" s="1"/>
  <c r="M578" i="3"/>
  <c r="L578" i="3"/>
  <c r="AW130" i="5" s="1"/>
  <c r="L1131" i="3"/>
  <c r="DJ159" i="5" s="1"/>
  <c r="M1131" i="3"/>
  <c r="O1173" i="3"/>
  <c r="DO195" i="5" s="1"/>
  <c r="O1166" i="3"/>
  <c r="L1099" i="3"/>
  <c r="DE159" i="5" s="1"/>
  <c r="M1099" i="3"/>
  <c r="L1068" i="3"/>
  <c r="CZ163" i="5" s="1"/>
  <c r="M1068" i="3"/>
  <c r="L1034" i="3"/>
  <c r="CU164" i="5" s="1"/>
  <c r="M1034" i="3"/>
  <c r="M966" i="3"/>
  <c r="L966" i="3"/>
  <c r="CK153" i="5" s="1"/>
  <c r="M934" i="3"/>
  <c r="L934" i="3"/>
  <c r="CF154" i="5" s="1"/>
  <c r="M655" i="3"/>
  <c r="L655" i="3"/>
  <c r="BB134" i="5" s="1"/>
  <c r="L652" i="3"/>
  <c r="BB131" i="5" s="1"/>
  <c r="M652" i="3"/>
  <c r="M597" i="3"/>
  <c r="L597" i="3"/>
  <c r="AW149" i="5" s="1"/>
  <c r="M594" i="3"/>
  <c r="L594" i="3"/>
  <c r="AW146" i="5" s="1"/>
  <c r="M582" i="3"/>
  <c r="L582" i="3"/>
  <c r="AW134" i="5" s="1"/>
  <c r="L758" i="3"/>
  <c r="BL131" i="5" s="1"/>
  <c r="M758" i="3"/>
  <c r="L754" i="3"/>
  <c r="M754" i="3"/>
  <c r="M709" i="3"/>
  <c r="L709" i="3"/>
  <c r="BG136" i="5" s="1"/>
  <c r="L519" i="3"/>
  <c r="AR149" i="5" s="1"/>
  <c r="M519" i="3"/>
  <c r="M383" i="3"/>
  <c r="L383" i="3"/>
  <c r="AH139" i="5" s="1"/>
  <c r="L378" i="3"/>
  <c r="AH134" i="5" s="1"/>
  <c r="M378" i="3"/>
  <c r="L247" i="3"/>
  <c r="X152" i="5" s="1"/>
  <c r="M247" i="3"/>
  <c r="L235" i="3"/>
  <c r="X140" i="5" s="1"/>
  <c r="M235" i="3"/>
  <c r="M151" i="3"/>
  <c r="L151" i="3"/>
  <c r="S128" i="5" s="1"/>
  <c r="L38" i="3"/>
  <c r="I153" i="5" s="1"/>
  <c r="M38" i="3"/>
  <c r="L30" i="3"/>
  <c r="I145" i="5" s="1"/>
  <c r="M30" i="3"/>
  <c r="M24" i="3"/>
  <c r="L24" i="3"/>
  <c r="I139" i="5" s="1"/>
  <c r="O12" i="3"/>
  <c r="I190" i="5" s="1"/>
  <c r="M841" i="3"/>
  <c r="L840" i="3"/>
  <c r="BV128" i="5" s="1"/>
  <c r="L798" i="3"/>
  <c r="BQ127" i="5" s="1"/>
  <c r="L763" i="3"/>
  <c r="BL136" i="5" s="1"/>
  <c r="L759" i="3"/>
  <c r="BL132" i="5" s="1"/>
  <c r="M756" i="3"/>
  <c r="L755" i="3"/>
  <c r="BL128" i="5" s="1"/>
  <c r="L700" i="3"/>
  <c r="BG127" i="5" s="1"/>
  <c r="L599" i="3"/>
  <c r="AW151" i="5" s="1"/>
  <c r="L596" i="3"/>
  <c r="AW148" i="5" s="1"/>
  <c r="M589" i="3"/>
  <c r="L584" i="3"/>
  <c r="AW136" i="5" s="1"/>
  <c r="AW133" i="5"/>
  <c r="L577" i="3"/>
  <c r="AW129" i="5" s="1"/>
  <c r="L521" i="3"/>
  <c r="AR151" i="5" s="1"/>
  <c r="M521" i="3"/>
  <c r="L518" i="3"/>
  <c r="AR148" i="5" s="1"/>
  <c r="M518" i="3"/>
  <c r="M513" i="3"/>
  <c r="L513" i="3"/>
  <c r="AR143" i="5" s="1"/>
  <c r="L506" i="3"/>
  <c r="AR136" i="5" s="1"/>
  <c r="M506" i="3"/>
  <c r="L498" i="3"/>
  <c r="AR128" i="5" s="1"/>
  <c r="M498" i="3"/>
  <c r="M437" i="3"/>
  <c r="AM133" i="5"/>
  <c r="L425" i="3"/>
  <c r="AM130" i="5" s="1"/>
  <c r="M425" i="3"/>
  <c r="O423" i="3"/>
  <c r="AM190" i="5" s="1"/>
  <c r="L380" i="3"/>
  <c r="AH136" i="5" s="1"/>
  <c r="M380" i="3"/>
  <c r="L372" i="3"/>
  <c r="AH128" i="5" s="1"/>
  <c r="M372" i="3"/>
  <c r="L305" i="3"/>
  <c r="AC136" i="5" s="1"/>
  <c r="M305" i="3"/>
  <c r="L229" i="3"/>
  <c r="X134" i="5" s="1"/>
  <c r="M229" i="3"/>
  <c r="L175" i="3"/>
  <c r="S152" i="5" s="1"/>
  <c r="M175" i="3"/>
  <c r="M172" i="3"/>
  <c r="L169" i="3"/>
  <c r="S146" i="5" s="1"/>
  <c r="M169" i="3"/>
  <c r="M166" i="3"/>
  <c r="L166" i="3"/>
  <c r="S143" i="5" s="1"/>
  <c r="M162" i="3"/>
  <c r="L162" i="3"/>
  <c r="S139" i="5" s="1"/>
  <c r="L159" i="3"/>
  <c r="S136" i="5" s="1"/>
  <c r="M159" i="3"/>
  <c r="M97" i="3"/>
  <c r="L97" i="3"/>
  <c r="N143" i="5" s="1"/>
  <c r="M86" i="3"/>
  <c r="L86" i="3"/>
  <c r="N132" i="5" s="1"/>
  <c r="O649" i="3"/>
  <c r="BB190" i="5" s="1"/>
  <c r="L500" i="3"/>
  <c r="AR130" i="5" s="1"/>
  <c r="M500" i="3"/>
  <c r="L374" i="3"/>
  <c r="AH130" i="5" s="1"/>
  <c r="M374" i="3"/>
  <c r="L240" i="3"/>
  <c r="X145" i="5" s="1"/>
  <c r="M240" i="3"/>
  <c r="L163" i="3"/>
  <c r="S140" i="5" s="1"/>
  <c r="M163" i="3"/>
  <c r="M1002" i="3"/>
  <c r="M998" i="3"/>
  <c r="M968" i="3"/>
  <c r="M964" i="3"/>
  <c r="M935" i="3"/>
  <c r="M931" i="3"/>
  <c r="M900" i="3"/>
  <c r="M896" i="3"/>
  <c r="M844" i="3"/>
  <c r="O840" i="3"/>
  <c r="BV190" i="5" s="1"/>
  <c r="L809" i="3"/>
  <c r="BQ138" i="5" s="1"/>
  <c r="L806" i="3"/>
  <c r="BQ135" i="5" s="1"/>
  <c r="O755" i="3"/>
  <c r="BL190" i="5" s="1"/>
  <c r="L711" i="3"/>
  <c r="BG138" i="5" s="1"/>
  <c r="L708" i="3"/>
  <c r="BG135" i="5" s="1"/>
  <c r="M590" i="3"/>
  <c r="O576" i="3"/>
  <c r="AW190" i="5" s="1"/>
  <c r="M523" i="3"/>
  <c r="L523" i="3"/>
  <c r="AR153" i="5" s="1"/>
  <c r="L520" i="3"/>
  <c r="AR150" i="5" s="1"/>
  <c r="M520" i="3"/>
  <c r="L515" i="3"/>
  <c r="AR145" i="5" s="1"/>
  <c r="M515" i="3"/>
  <c r="L510" i="3"/>
  <c r="AR140" i="5" s="1"/>
  <c r="M510" i="3"/>
  <c r="M448" i="3"/>
  <c r="M446" i="3"/>
  <c r="M444" i="3"/>
  <c r="M442" i="3"/>
  <c r="M440" i="3"/>
  <c r="M434" i="3"/>
  <c r="L434" i="3"/>
  <c r="AM139" i="5" s="1"/>
  <c r="M423" i="3"/>
  <c r="L384" i="3"/>
  <c r="AH140" i="5" s="1"/>
  <c r="M384" i="3"/>
  <c r="M321" i="3"/>
  <c r="M319" i="3"/>
  <c r="M317" i="3"/>
  <c r="L248" i="3"/>
  <c r="X153" i="5" s="1"/>
  <c r="M248" i="3"/>
  <c r="L239" i="3"/>
  <c r="X144" i="5" s="1"/>
  <c r="M239" i="3"/>
  <c r="L231" i="3"/>
  <c r="X136" i="5" s="1"/>
  <c r="M231" i="3"/>
  <c r="L223" i="3"/>
  <c r="M223" i="3"/>
  <c r="L174" i="3"/>
  <c r="S151" i="5" s="1"/>
  <c r="M174" i="3"/>
  <c r="L158" i="3"/>
  <c r="S135" i="5" s="1"/>
  <c r="M158" i="3"/>
  <c r="L839" i="3"/>
  <c r="BV127" i="5" s="1"/>
  <c r="M839" i="3"/>
  <c r="M807" i="3"/>
  <c r="L807" i="3"/>
  <c r="BQ136" i="5" s="1"/>
  <c r="L516" i="3"/>
  <c r="AR146" i="5" s="1"/>
  <c r="M516" i="3"/>
  <c r="M509" i="3"/>
  <c r="L509" i="3"/>
  <c r="AR139" i="5" s="1"/>
  <c r="L504" i="3"/>
  <c r="AR134" i="5" s="1"/>
  <c r="M504" i="3"/>
  <c r="M312" i="3"/>
  <c r="L312" i="3"/>
  <c r="AC143" i="5" s="1"/>
  <c r="O799" i="3"/>
  <c r="BQ190" i="5" s="1"/>
  <c r="BL137" i="5"/>
  <c r="O701" i="3"/>
  <c r="BG190" i="5" s="1"/>
  <c r="L657" i="3"/>
  <c r="BB136" i="5" s="1"/>
  <c r="L653" i="3"/>
  <c r="BB132" i="5" s="1"/>
  <c r="M650" i="3"/>
  <c r="L649" i="3"/>
  <c r="BB128" i="5" s="1"/>
  <c r="L600" i="3"/>
  <c r="AW152" i="5" s="1"/>
  <c r="L595" i="3"/>
  <c r="AW147" i="5" s="1"/>
  <c r="L592" i="3"/>
  <c r="AW144" i="5" s="1"/>
  <c r="M586" i="3"/>
  <c r="L583" i="3"/>
  <c r="AW135" i="5" s="1"/>
  <c r="M579" i="3"/>
  <c r="L524" i="3"/>
  <c r="AR154" i="5" s="1"/>
  <c r="L522" i="3"/>
  <c r="AR152" i="5" s="1"/>
  <c r="M522" i="3"/>
  <c r="L517" i="3"/>
  <c r="AR147" i="5" s="1"/>
  <c r="M517" i="3"/>
  <c r="L514" i="3"/>
  <c r="AR144" i="5" s="1"/>
  <c r="M514" i="3"/>
  <c r="L505" i="3"/>
  <c r="AR135" i="5" s="1"/>
  <c r="M505" i="3"/>
  <c r="M499" i="3"/>
  <c r="L499" i="3"/>
  <c r="AR129" i="5" s="1"/>
  <c r="O498" i="3"/>
  <c r="AR190" i="5" s="1"/>
  <c r="M438" i="3"/>
  <c r="L438" i="3"/>
  <c r="AM143" i="5" s="1"/>
  <c r="M427" i="3"/>
  <c r="L379" i="3"/>
  <c r="AH135" i="5" s="1"/>
  <c r="M379" i="3"/>
  <c r="M373" i="3"/>
  <c r="L373" i="3"/>
  <c r="AH129" i="5" s="1"/>
  <c r="O372" i="3"/>
  <c r="AH190" i="5" s="1"/>
  <c r="M245" i="3"/>
  <c r="L243" i="3"/>
  <c r="X148" i="5" s="1"/>
  <c r="M243" i="3"/>
  <c r="M238" i="3"/>
  <c r="L238" i="3"/>
  <c r="X143" i="5" s="1"/>
  <c r="L236" i="3"/>
  <c r="X141" i="5" s="1"/>
  <c r="M236" i="3"/>
  <c r="L171" i="3"/>
  <c r="S148" i="5" s="1"/>
  <c r="M171" i="3"/>
  <c r="L168" i="3"/>
  <c r="S145" i="5" s="1"/>
  <c r="M168" i="3"/>
  <c r="L36" i="3"/>
  <c r="I151" i="5" s="1"/>
  <c r="M36" i="3"/>
  <c r="O81" i="3"/>
  <c r="N190" i="5" s="1"/>
  <c r="L81" i="3"/>
  <c r="N127" i="5" s="1"/>
  <c r="M81" i="3"/>
  <c r="L32" i="3"/>
  <c r="I147" i="5" s="1"/>
  <c r="M32" i="3"/>
  <c r="L449" i="3"/>
  <c r="AM154" i="5" s="1"/>
  <c r="M449" i="3"/>
  <c r="L447" i="3"/>
  <c r="AM152" i="5" s="1"/>
  <c r="M447" i="3"/>
  <c r="L445" i="3"/>
  <c r="AM150" i="5" s="1"/>
  <c r="M445" i="3"/>
  <c r="L443" i="3"/>
  <c r="AM148" i="5" s="1"/>
  <c r="M443" i="3"/>
  <c r="L441" i="3"/>
  <c r="AM146" i="5" s="1"/>
  <c r="M441" i="3"/>
  <c r="AM144" i="5"/>
  <c r="L435" i="3"/>
  <c r="AM140" i="5" s="1"/>
  <c r="M435" i="3"/>
  <c r="L431" i="3"/>
  <c r="AM136" i="5" s="1"/>
  <c r="M431" i="3"/>
  <c r="L429" i="3"/>
  <c r="AM134" i="5" s="1"/>
  <c r="M429" i="3"/>
  <c r="M424" i="3"/>
  <c r="L424" i="3"/>
  <c r="AM129" i="5" s="1"/>
  <c r="L322" i="3"/>
  <c r="AC153" i="5" s="1"/>
  <c r="M322" i="3"/>
  <c r="L320" i="3"/>
  <c r="AC151" i="5" s="1"/>
  <c r="M320" i="3"/>
  <c r="L318" i="3"/>
  <c r="AC149" i="5" s="1"/>
  <c r="M318" i="3"/>
  <c r="L316" i="3"/>
  <c r="AC147" i="5" s="1"/>
  <c r="M316" i="3"/>
  <c r="L314" i="3"/>
  <c r="AC145" i="5" s="1"/>
  <c r="M314" i="3"/>
  <c r="L304" i="3"/>
  <c r="AC135" i="5" s="1"/>
  <c r="M304" i="3"/>
  <c r="O297" i="3"/>
  <c r="AC190" i="5" s="1"/>
  <c r="L244" i="3"/>
  <c r="X149" i="5" s="1"/>
  <c r="M244" i="3"/>
  <c r="M234" i="3"/>
  <c r="L234" i="3"/>
  <c r="X139" i="5" s="1"/>
  <c r="L176" i="3"/>
  <c r="S153" i="5" s="1"/>
  <c r="M176" i="3"/>
  <c r="L167" i="3"/>
  <c r="S144" i="5" s="1"/>
  <c r="M167" i="3"/>
  <c r="M155" i="3"/>
  <c r="L155" i="3"/>
  <c r="S132" i="5" s="1"/>
  <c r="O150" i="3"/>
  <c r="S190" i="5" s="1"/>
  <c r="L90" i="3"/>
  <c r="N136" i="5" s="1"/>
  <c r="M90" i="3"/>
  <c r="L34" i="3"/>
  <c r="I149" i="5" s="1"/>
  <c r="M34" i="3"/>
  <c r="M303" i="3"/>
  <c r="M299" i="3"/>
  <c r="L298" i="3"/>
  <c r="AC129" i="5" s="1"/>
  <c r="M250" i="3"/>
  <c r="M246" i="3"/>
  <c r="M242" i="3"/>
  <c r="M230" i="3"/>
  <c r="M173" i="3"/>
  <c r="M170" i="3"/>
  <c r="M157" i="3"/>
  <c r="M106" i="3"/>
  <c r="M104" i="3"/>
  <c r="M102" i="3"/>
  <c r="M100" i="3"/>
  <c r="M98" i="3"/>
  <c r="L89" i="3"/>
  <c r="N135" i="5" s="1"/>
  <c r="M89" i="3"/>
  <c r="M82" i="3"/>
  <c r="L82" i="3"/>
  <c r="N128" i="5" s="1"/>
  <c r="L37" i="3"/>
  <c r="I152" i="5" s="1"/>
  <c r="M37" i="3"/>
  <c r="L35" i="3"/>
  <c r="I150" i="5" s="1"/>
  <c r="M35" i="3"/>
  <c r="L33" i="3"/>
  <c r="I148" i="5" s="1"/>
  <c r="M33" i="3"/>
  <c r="L31" i="3"/>
  <c r="I146" i="5" s="1"/>
  <c r="M31" i="3"/>
  <c r="I144" i="5"/>
  <c r="L27" i="3"/>
  <c r="I142" i="5" s="1"/>
  <c r="M27" i="3"/>
  <c r="L20" i="3"/>
  <c r="I135" i="5" s="1"/>
  <c r="M20" i="3"/>
  <c r="L17" i="3"/>
  <c r="I132" i="5" s="1"/>
  <c r="M14" i="3"/>
  <c r="M12" i="3"/>
  <c r="M222" i="3"/>
  <c r="L222" i="3"/>
  <c r="X127" i="5" s="1"/>
  <c r="L83" i="3"/>
  <c r="N129" i="5" s="1"/>
  <c r="M83" i="3"/>
  <c r="L25" i="3"/>
  <c r="I140" i="5" s="1"/>
  <c r="M25" i="3"/>
  <c r="L23" i="3"/>
  <c r="I138" i="5" s="1"/>
  <c r="M23" i="3"/>
  <c r="L19" i="3"/>
  <c r="I134" i="5" s="1"/>
  <c r="M19" i="3"/>
  <c r="M150" i="3"/>
  <c r="L107" i="3"/>
  <c r="N153" i="5" s="1"/>
  <c r="M107" i="3"/>
  <c r="L105" i="3"/>
  <c r="N151" i="5" s="1"/>
  <c r="M105" i="3"/>
  <c r="L103" i="3"/>
  <c r="N149" i="5" s="1"/>
  <c r="M103" i="3"/>
  <c r="L101" i="3"/>
  <c r="N147" i="5" s="1"/>
  <c r="M101" i="3"/>
  <c r="L99" i="3"/>
  <c r="N145" i="5" s="1"/>
  <c r="M99" i="3"/>
  <c r="M28" i="3"/>
  <c r="L28" i="3"/>
  <c r="I143" i="5" s="1"/>
  <c r="L21" i="3"/>
  <c r="I136" i="5" s="1"/>
  <c r="M21" i="3"/>
  <c r="O1168" i="3" l="1"/>
  <c r="DO190" i="5" s="1"/>
  <c r="DO188" i="5"/>
  <c r="H88" i="4"/>
  <c r="H93" i="11"/>
  <c r="H96" i="11" s="1"/>
  <c r="I198" i="5"/>
  <c r="AH200" i="5"/>
  <c r="AM200" i="5"/>
  <c r="BB200" i="5"/>
  <c r="BV199" i="5"/>
  <c r="BG199" i="5"/>
  <c r="AW199" i="5"/>
  <c r="AR200" i="5"/>
  <c r="BQ199" i="5"/>
  <c r="AC199" i="5"/>
  <c r="X128" i="5"/>
  <c r="X199" i="5" s="1"/>
  <c r="R233" i="3"/>
  <c r="D99" i="11"/>
  <c r="D9" i="6"/>
  <c r="O756" i="3"/>
  <c r="O758" i="3"/>
  <c r="BL127" i="5"/>
  <c r="BL198" i="5" s="1"/>
  <c r="T765" i="3"/>
  <c r="P765" i="3"/>
  <c r="O765" i="3"/>
  <c r="V765" i="3"/>
  <c r="R765" i="3"/>
  <c r="U765" i="3"/>
  <c r="Q765" i="3"/>
  <c r="S765" i="3"/>
  <c r="BB201" i="5"/>
  <c r="BB197" i="5"/>
  <c r="BB198" i="5"/>
  <c r="BB199" i="5"/>
  <c r="BB204" i="5"/>
  <c r="BB202" i="5"/>
  <c r="BB203" i="5"/>
  <c r="AH199" i="5"/>
  <c r="AH203" i="5"/>
  <c r="AH202" i="5"/>
  <c r="AH197" i="5"/>
  <c r="AH198" i="5"/>
  <c r="AH204" i="5"/>
  <c r="AH201" i="5"/>
  <c r="X202" i="5"/>
  <c r="X198" i="5"/>
  <c r="X203" i="5"/>
  <c r="X201" i="5"/>
  <c r="X197" i="5"/>
  <c r="X204" i="5"/>
  <c r="X200" i="5"/>
  <c r="AC203" i="5"/>
  <c r="AC202" i="5"/>
  <c r="AC198" i="5"/>
  <c r="AC201" i="5"/>
  <c r="AC197" i="5"/>
  <c r="AC204" i="5"/>
  <c r="AC200" i="5"/>
  <c r="AR202" i="5"/>
  <c r="AR198" i="5"/>
  <c r="AR201" i="5"/>
  <c r="AR197" i="5"/>
  <c r="AR204" i="5"/>
  <c r="AR203" i="5"/>
  <c r="AR199" i="5"/>
  <c r="BV202" i="5"/>
  <c r="BV198" i="5"/>
  <c r="BV201" i="5"/>
  <c r="BV197" i="5"/>
  <c r="BV204" i="5"/>
  <c r="BV200" i="5"/>
  <c r="BV203" i="5"/>
  <c r="I203" i="5"/>
  <c r="I200" i="5"/>
  <c r="I197" i="5"/>
  <c r="I199" i="5"/>
  <c r="I204" i="5"/>
  <c r="I201" i="5"/>
  <c r="I202" i="5"/>
  <c r="AM202" i="5"/>
  <c r="AM198" i="5"/>
  <c r="AM201" i="5"/>
  <c r="AM197" i="5"/>
  <c r="AM204" i="5"/>
  <c r="AM203" i="5"/>
  <c r="AM199" i="5"/>
  <c r="BG203" i="5"/>
  <c r="BG202" i="5"/>
  <c r="BG198" i="5"/>
  <c r="BG201" i="5"/>
  <c r="BG197" i="5"/>
  <c r="BG204" i="5"/>
  <c r="BG200" i="5"/>
  <c r="BQ204" i="5"/>
  <c r="BQ200" i="5"/>
  <c r="BQ203" i="5"/>
  <c r="BQ202" i="5"/>
  <c r="BQ198" i="5"/>
  <c r="BQ201" i="5"/>
  <c r="BQ197" i="5"/>
  <c r="AW202" i="5"/>
  <c r="AW198" i="5"/>
  <c r="AW197" i="5"/>
  <c r="AW204" i="5"/>
  <c r="AW200" i="5"/>
  <c r="AW203" i="5"/>
  <c r="AW201" i="5"/>
  <c r="O802" i="3"/>
  <c r="BQ193" i="5" s="1"/>
  <c r="O702" i="3"/>
  <c r="BG191" i="5" s="1"/>
  <c r="T382" i="3"/>
  <c r="O704" i="3"/>
  <c r="BG193" i="5" s="1"/>
  <c r="O800" i="3"/>
  <c r="BQ191" i="5" s="1"/>
  <c r="U711" i="3"/>
  <c r="Q711" i="3"/>
  <c r="T711" i="3"/>
  <c r="P711" i="3"/>
  <c r="S711" i="3"/>
  <c r="O711" i="3"/>
  <c r="V711" i="3"/>
  <c r="R711" i="3"/>
  <c r="V850" i="3"/>
  <c r="R850" i="3"/>
  <c r="U850" i="3"/>
  <c r="Q850" i="3"/>
  <c r="T850" i="3"/>
  <c r="P850" i="3"/>
  <c r="S850" i="3"/>
  <c r="O850" i="3"/>
  <c r="O650" i="3"/>
  <c r="O652" i="3"/>
  <c r="O843" i="3"/>
  <c r="BV193" i="5" s="1"/>
  <c r="O841" i="3"/>
  <c r="BV191" i="5" s="1"/>
  <c r="T809" i="3"/>
  <c r="P809" i="3"/>
  <c r="S809" i="3"/>
  <c r="O809" i="3"/>
  <c r="V809" i="3"/>
  <c r="R809" i="3"/>
  <c r="U809" i="3"/>
  <c r="Q809" i="3"/>
  <c r="O757" i="3"/>
  <c r="BL192" i="5" s="1"/>
  <c r="O759" i="3"/>
  <c r="BL194" i="5" s="1"/>
  <c r="V659" i="3"/>
  <c r="R659" i="3"/>
  <c r="T659" i="3"/>
  <c r="P659" i="3"/>
  <c r="O659" i="3"/>
  <c r="U659" i="3"/>
  <c r="S659" i="3"/>
  <c r="Q659" i="3"/>
  <c r="O300" i="3"/>
  <c r="AC193" i="5" s="1"/>
  <c r="O426" i="3"/>
  <c r="AM193" i="5" s="1"/>
  <c r="O424" i="3"/>
  <c r="AM191" i="5" s="1"/>
  <c r="Q382" i="3"/>
  <c r="R382" i="3"/>
  <c r="V586" i="3"/>
  <c r="R586" i="3"/>
  <c r="U586" i="3"/>
  <c r="Q586" i="3"/>
  <c r="S586" i="3"/>
  <c r="T586" i="3"/>
  <c r="P586" i="3"/>
  <c r="O586" i="3"/>
  <c r="U307" i="3"/>
  <c r="Q307" i="3"/>
  <c r="S307" i="3"/>
  <c r="R307" i="3"/>
  <c r="T307" i="3"/>
  <c r="P307" i="3"/>
  <c r="O307" i="3"/>
  <c r="V307" i="3"/>
  <c r="U382" i="3"/>
  <c r="P433" i="3"/>
  <c r="S433" i="3"/>
  <c r="O433" i="3"/>
  <c r="U433" i="3"/>
  <c r="V433" i="3"/>
  <c r="R433" i="3"/>
  <c r="Q433" i="3"/>
  <c r="T433" i="3"/>
  <c r="O375" i="3"/>
  <c r="AH193" i="5" s="1"/>
  <c r="O373" i="3"/>
  <c r="AH191" i="5" s="1"/>
  <c r="V382" i="3"/>
  <c r="O501" i="3"/>
  <c r="AR193" i="5" s="1"/>
  <c r="O499" i="3"/>
  <c r="AR191" i="5" s="1"/>
  <c r="O298" i="3"/>
  <c r="AC191" i="5" s="1"/>
  <c r="O382" i="3"/>
  <c r="P382" i="3"/>
  <c r="O579" i="3"/>
  <c r="AW193" i="5" s="1"/>
  <c r="O577" i="3"/>
  <c r="AW191" i="5" s="1"/>
  <c r="S508" i="3"/>
  <c r="O508" i="3"/>
  <c r="V508" i="3"/>
  <c r="R508" i="3"/>
  <c r="P508" i="3"/>
  <c r="U508" i="3"/>
  <c r="Q508" i="3"/>
  <c r="T508" i="3"/>
  <c r="S382" i="3"/>
  <c r="V233" i="3"/>
  <c r="U233" i="3"/>
  <c r="Q233" i="3"/>
  <c r="O233" i="3"/>
  <c r="T233" i="3"/>
  <c r="P233" i="3"/>
  <c r="S233" i="3"/>
  <c r="O226" i="3"/>
  <c r="X193" i="5" s="1"/>
  <c r="O224" i="3"/>
  <c r="X191" i="5" s="1"/>
  <c r="R22" i="3"/>
  <c r="Q13" i="4" s="1"/>
  <c r="P22" i="3"/>
  <c r="O13" i="4" s="1"/>
  <c r="V22" i="3"/>
  <c r="U13" i="4" s="1"/>
  <c r="T22" i="3"/>
  <c r="S13" i="4" s="1"/>
  <c r="U22" i="3"/>
  <c r="T13" i="4" s="1"/>
  <c r="O22" i="3"/>
  <c r="N13" i="4" s="1"/>
  <c r="S22" i="3"/>
  <c r="R13" i="4" s="1"/>
  <c r="Q22" i="3"/>
  <c r="P13" i="4" s="1"/>
  <c r="L1031" i="3"/>
  <c r="M1031" i="3"/>
  <c r="O1033" i="3" s="1"/>
  <c r="L1132" i="3"/>
  <c r="M1132" i="3"/>
  <c r="O1135" i="3" s="1"/>
  <c r="L152" i="3"/>
  <c r="S129" i="5" s="1"/>
  <c r="S202" i="5" s="1"/>
  <c r="M152" i="3"/>
  <c r="O151" i="3" s="1"/>
  <c r="L88" i="3"/>
  <c r="M88" i="3"/>
  <c r="L965" i="3"/>
  <c r="CK152" i="5" s="1"/>
  <c r="CK204" i="5" s="1"/>
  <c r="M965" i="3"/>
  <c r="O967" i="3" s="1"/>
  <c r="CK193" i="5" s="1"/>
  <c r="L1168" i="3"/>
  <c r="M1168" i="3"/>
  <c r="O1171" i="3" s="1"/>
  <c r="DO193" i="5" s="1"/>
  <c r="L1065" i="3"/>
  <c r="M1065" i="3"/>
  <c r="O1066" i="3" s="1"/>
  <c r="L1100" i="3"/>
  <c r="M1100" i="3"/>
  <c r="O1103" i="3" s="1"/>
  <c r="L932" i="3"/>
  <c r="M932" i="3"/>
  <c r="O934" i="3" s="1"/>
  <c r="L999" i="3"/>
  <c r="M999" i="3"/>
  <c r="O1001" i="3" s="1"/>
  <c r="M13" i="3"/>
  <c r="L897" i="3"/>
  <c r="M897" i="3"/>
  <c r="O899" i="3" s="1"/>
  <c r="B152" i="4"/>
  <c r="CF193" i="5" l="1"/>
  <c r="K94" i="11"/>
  <c r="M94" i="11" s="1"/>
  <c r="K153" i="4"/>
  <c r="M153" i="4" s="1"/>
  <c r="K158" i="11"/>
  <c r="M158" i="11" s="1"/>
  <c r="O653" i="3"/>
  <c r="BB194" i="5" s="1"/>
  <c r="BB193" i="5"/>
  <c r="K156" i="11"/>
  <c r="M156" i="11" s="1"/>
  <c r="BB191" i="5"/>
  <c r="J156" i="11"/>
  <c r="L156" i="11" s="1"/>
  <c r="K64" i="11"/>
  <c r="M64" i="11" s="1"/>
  <c r="BL193" i="5"/>
  <c r="U151" i="4"/>
  <c r="U156" i="11"/>
  <c r="P151" i="4"/>
  <c r="P156" i="11"/>
  <c r="J64" i="11"/>
  <c r="L64" i="11" s="1"/>
  <c r="BL191" i="5"/>
  <c r="J20" i="11"/>
  <c r="L20" i="11" s="1"/>
  <c r="S191" i="5"/>
  <c r="R151" i="4"/>
  <c r="R156" i="11"/>
  <c r="O153" i="3"/>
  <c r="DE193" i="5"/>
  <c r="K128" i="11"/>
  <c r="M128" i="11" s="1"/>
  <c r="K123" i="4"/>
  <c r="M123" i="4" s="1"/>
  <c r="DJ193" i="5"/>
  <c r="K126" i="11"/>
  <c r="M126" i="11" s="1"/>
  <c r="K121" i="4"/>
  <c r="M121" i="4" s="1"/>
  <c r="T151" i="4"/>
  <c r="T156" i="11"/>
  <c r="CA193" i="5"/>
  <c r="K159" i="11"/>
  <c r="M159" i="11" s="1"/>
  <c r="K154" i="4"/>
  <c r="M154" i="4" s="1"/>
  <c r="N156" i="11"/>
  <c r="N151" i="4"/>
  <c r="CZ191" i="5"/>
  <c r="J124" i="11"/>
  <c r="L124" i="11" s="1"/>
  <c r="CU193" i="5"/>
  <c r="K125" i="11"/>
  <c r="M125" i="11" s="1"/>
  <c r="K120" i="4"/>
  <c r="M120" i="4" s="1"/>
  <c r="O156" i="11"/>
  <c r="O151" i="4"/>
  <c r="CP193" i="5"/>
  <c r="K127" i="11"/>
  <c r="M127" i="11" s="1"/>
  <c r="K122" i="4"/>
  <c r="M122" i="4" s="1"/>
  <c r="S151" i="4"/>
  <c r="S156" i="11"/>
  <c r="O651" i="3"/>
  <c r="BB192" i="5" s="1"/>
  <c r="Q156" i="11"/>
  <c r="Q151" i="4"/>
  <c r="CK198" i="5"/>
  <c r="S199" i="5"/>
  <c r="O968" i="3"/>
  <c r="CK194" i="5" s="1"/>
  <c r="K155" i="11"/>
  <c r="M155" i="11" s="1"/>
  <c r="K150" i="4"/>
  <c r="M150" i="4" s="1"/>
  <c r="Q61" i="11"/>
  <c r="Q56" i="4"/>
  <c r="S19" i="11"/>
  <c r="S191" i="4"/>
  <c r="T19" i="11"/>
  <c r="T191" i="4"/>
  <c r="O427" i="3"/>
  <c r="AM194" i="5" s="1"/>
  <c r="K19" i="11"/>
  <c r="M19" i="11" s="1"/>
  <c r="P19" i="11"/>
  <c r="P191" i="4"/>
  <c r="N191" i="4"/>
  <c r="N19" i="11"/>
  <c r="Q19" i="11"/>
  <c r="Q191" i="4"/>
  <c r="R191" i="4"/>
  <c r="R19" i="11"/>
  <c r="U19" i="11"/>
  <c r="U191" i="4"/>
  <c r="O19" i="11"/>
  <c r="O191" i="4"/>
  <c r="O425" i="3"/>
  <c r="AM192" i="5" s="1"/>
  <c r="J19" i="11"/>
  <c r="L19" i="11" s="1"/>
  <c r="O1172" i="3"/>
  <c r="DO194" i="5" s="1"/>
  <c r="K93" i="11"/>
  <c r="M93" i="11" s="1"/>
  <c r="K88" i="4"/>
  <c r="N91" i="11"/>
  <c r="N86" i="4"/>
  <c r="O502" i="3"/>
  <c r="AR194" i="5" s="1"/>
  <c r="K91" i="11"/>
  <c r="M91" i="11" s="1"/>
  <c r="O86" i="4"/>
  <c r="O91" i="11"/>
  <c r="R91" i="11"/>
  <c r="R86" i="4"/>
  <c r="T86" i="4"/>
  <c r="T91" i="11"/>
  <c r="S86" i="4"/>
  <c r="S91" i="11"/>
  <c r="Q91" i="11"/>
  <c r="Q86" i="4"/>
  <c r="P86" i="4"/>
  <c r="P91" i="11"/>
  <c r="U91" i="11"/>
  <c r="U86" i="4"/>
  <c r="O500" i="3"/>
  <c r="AR192" i="5" s="1"/>
  <c r="J91" i="11"/>
  <c r="L91" i="11" s="1"/>
  <c r="O842" i="3"/>
  <c r="BV192" i="5" s="1"/>
  <c r="J157" i="11"/>
  <c r="L157" i="11" s="1"/>
  <c r="J152" i="4"/>
  <c r="N157" i="11"/>
  <c r="N152" i="4"/>
  <c r="P157" i="11"/>
  <c r="P152" i="4"/>
  <c r="O844" i="3"/>
  <c r="BV194" i="5" s="1"/>
  <c r="K157" i="11"/>
  <c r="M157" i="11" s="1"/>
  <c r="K152" i="4"/>
  <c r="R152" i="4"/>
  <c r="R157" i="11"/>
  <c r="T157" i="11"/>
  <c r="T152" i="4"/>
  <c r="O152" i="4"/>
  <c r="O157" i="11"/>
  <c r="Q152" i="4"/>
  <c r="Q157" i="11"/>
  <c r="S152" i="4"/>
  <c r="S157" i="11"/>
  <c r="U157" i="11"/>
  <c r="U152" i="4"/>
  <c r="Q59" i="4"/>
  <c r="Q64" i="11"/>
  <c r="S59" i="4"/>
  <c r="S64" i="11"/>
  <c r="R64" i="11"/>
  <c r="R59" i="4"/>
  <c r="U64" i="11"/>
  <c r="U59" i="4"/>
  <c r="BL204" i="5"/>
  <c r="BL203" i="5"/>
  <c r="BL201" i="5"/>
  <c r="BL197" i="5"/>
  <c r="BL200" i="5"/>
  <c r="BL199" i="5"/>
  <c r="BL202" i="5"/>
  <c r="P59" i="4"/>
  <c r="P64" i="11"/>
  <c r="N64" i="11"/>
  <c r="N59" i="4"/>
  <c r="T59" i="4"/>
  <c r="T64" i="11"/>
  <c r="O64" i="11"/>
  <c r="O59" i="4"/>
  <c r="P65" i="11"/>
  <c r="P60" i="4"/>
  <c r="T65" i="11"/>
  <c r="T60" i="4"/>
  <c r="R65" i="11"/>
  <c r="R60" i="4"/>
  <c r="Q65" i="11"/>
  <c r="Q60" i="4"/>
  <c r="O65" i="11"/>
  <c r="O60" i="4"/>
  <c r="U60" i="4"/>
  <c r="U65" i="11"/>
  <c r="S65" i="11"/>
  <c r="S60" i="4"/>
  <c r="N65" i="11"/>
  <c r="N60" i="4"/>
  <c r="O801" i="3"/>
  <c r="BQ192" i="5" s="1"/>
  <c r="J65" i="11"/>
  <c r="L65" i="11" s="1"/>
  <c r="O803" i="3"/>
  <c r="BQ194" i="5" s="1"/>
  <c r="K65" i="11"/>
  <c r="M65" i="11" s="1"/>
  <c r="U63" i="11"/>
  <c r="U58" i="4"/>
  <c r="S63" i="11"/>
  <c r="S58" i="4"/>
  <c r="O705" i="3"/>
  <c r="BG194" i="5" s="1"/>
  <c r="K63" i="11"/>
  <c r="M63" i="11" s="1"/>
  <c r="N58" i="4"/>
  <c r="N63" i="11"/>
  <c r="P63" i="11"/>
  <c r="P58" i="4"/>
  <c r="R63" i="11"/>
  <c r="R58" i="4"/>
  <c r="T58" i="4"/>
  <c r="T63" i="11"/>
  <c r="O703" i="3"/>
  <c r="BG192" i="5" s="1"/>
  <c r="J63" i="11"/>
  <c r="L63" i="11" s="1"/>
  <c r="Q63" i="11"/>
  <c r="Q58" i="4"/>
  <c r="O63" i="11"/>
  <c r="O58" i="4"/>
  <c r="U62" i="11"/>
  <c r="U57" i="4"/>
  <c r="O374" i="3"/>
  <c r="AH192" i="5" s="1"/>
  <c r="J62" i="11"/>
  <c r="L62" i="11" s="1"/>
  <c r="P57" i="4"/>
  <c r="P62" i="11"/>
  <c r="S57" i="4"/>
  <c r="S62" i="11"/>
  <c r="N62" i="11"/>
  <c r="N57" i="4"/>
  <c r="O376" i="3"/>
  <c r="AH194" i="5" s="1"/>
  <c r="K62" i="11"/>
  <c r="M62" i="11" s="1"/>
  <c r="R62" i="11"/>
  <c r="R57" i="4"/>
  <c r="Q62" i="11"/>
  <c r="Q57" i="4"/>
  <c r="O57" i="4"/>
  <c r="O62" i="11"/>
  <c r="T57" i="4"/>
  <c r="T62" i="11"/>
  <c r="O227" i="3"/>
  <c r="X194" i="5" s="1"/>
  <c r="K61" i="11"/>
  <c r="N61" i="11"/>
  <c r="N56" i="4"/>
  <c r="R61" i="11"/>
  <c r="R56" i="4"/>
  <c r="P56" i="4"/>
  <c r="P61" i="11"/>
  <c r="O56" i="4"/>
  <c r="O61" i="11"/>
  <c r="T56" i="4"/>
  <c r="T61" i="11"/>
  <c r="O225" i="3"/>
  <c r="X192" i="5" s="1"/>
  <c r="J61" i="11"/>
  <c r="S56" i="4"/>
  <c r="S61" i="11"/>
  <c r="U61" i="11"/>
  <c r="U56" i="4"/>
  <c r="O578" i="3"/>
  <c r="AW192" i="5" s="1"/>
  <c r="L21" i="11"/>
  <c r="O580" i="3"/>
  <c r="AW194" i="5" s="1"/>
  <c r="M21" i="11"/>
  <c r="U15" i="4"/>
  <c r="Q15" i="4"/>
  <c r="O301" i="3"/>
  <c r="AC194" i="5" s="1"/>
  <c r="O299" i="3"/>
  <c r="AC192" i="5" s="1"/>
  <c r="N15" i="4"/>
  <c r="R15" i="4"/>
  <c r="O15" i="4"/>
  <c r="P15" i="4"/>
  <c r="S15" i="4"/>
  <c r="T15" i="4"/>
  <c r="T1177" i="3"/>
  <c r="DO170" i="5"/>
  <c r="DO200" i="5" s="1"/>
  <c r="Q905" i="3"/>
  <c r="CA152" i="5"/>
  <c r="CA199" i="5" s="1"/>
  <c r="V940" i="3"/>
  <c r="CF152" i="5"/>
  <c r="CF200" i="5" s="1"/>
  <c r="CK201" i="5"/>
  <c r="CK203" i="5"/>
  <c r="CK202" i="5"/>
  <c r="CK197" i="5"/>
  <c r="CK200" i="5"/>
  <c r="CK199" i="5"/>
  <c r="T1040" i="3"/>
  <c r="CU161" i="5"/>
  <c r="CU200" i="5" s="1"/>
  <c r="Q1109" i="3"/>
  <c r="DE160" i="5"/>
  <c r="DE201" i="5" s="1"/>
  <c r="V1007" i="3"/>
  <c r="CP161" i="5"/>
  <c r="CP199" i="5" s="1"/>
  <c r="Q91" i="3"/>
  <c r="P14" i="4" s="1"/>
  <c r="N134" i="5"/>
  <c r="N198" i="5" s="1"/>
  <c r="T1141" i="3"/>
  <c r="DJ160" i="5"/>
  <c r="DJ199" i="5" s="1"/>
  <c r="S1074" i="3"/>
  <c r="CZ160" i="5"/>
  <c r="CZ199" i="5" s="1"/>
  <c r="S203" i="5"/>
  <c r="S204" i="5"/>
  <c r="S200" i="5"/>
  <c r="S201" i="5"/>
  <c r="S198" i="5"/>
  <c r="S197" i="5"/>
  <c r="U1007" i="3"/>
  <c r="O1141" i="3"/>
  <c r="U1109" i="3"/>
  <c r="R1177" i="3"/>
  <c r="P1109" i="3"/>
  <c r="P1007" i="3"/>
  <c r="R1141" i="3"/>
  <c r="O999" i="3"/>
  <c r="O1177" i="3"/>
  <c r="V1040" i="3"/>
  <c r="O1101" i="3"/>
  <c r="P1074" i="3"/>
  <c r="T1007" i="3"/>
  <c r="O1007" i="3"/>
  <c r="O1068" i="3"/>
  <c r="S1177" i="3"/>
  <c r="Q1177" i="3"/>
  <c r="S1141" i="3"/>
  <c r="Q1141" i="3"/>
  <c r="T1109" i="3"/>
  <c r="R1109" i="3"/>
  <c r="Q1074" i="3"/>
  <c r="T1074" i="3"/>
  <c r="V1074" i="3"/>
  <c r="O1034" i="3"/>
  <c r="CU194" i="5" s="1"/>
  <c r="O1040" i="3"/>
  <c r="R1007" i="3"/>
  <c r="S1007" i="3"/>
  <c r="P1177" i="3"/>
  <c r="U1177" i="3"/>
  <c r="P1141" i="3"/>
  <c r="U1141" i="3"/>
  <c r="O1031" i="3"/>
  <c r="S1109" i="3"/>
  <c r="V1109" i="3"/>
  <c r="U1040" i="3"/>
  <c r="U1074" i="3"/>
  <c r="O1074" i="3"/>
  <c r="S1040" i="3"/>
  <c r="O1067" i="3"/>
  <c r="CZ192" i="5" s="1"/>
  <c r="Q1007" i="3"/>
  <c r="O1133" i="3"/>
  <c r="V1177" i="3"/>
  <c r="V1141" i="3"/>
  <c r="P1040" i="3"/>
  <c r="O1109" i="3"/>
  <c r="Q1040" i="3"/>
  <c r="R1040" i="3"/>
  <c r="R1074" i="3"/>
  <c r="O965" i="3"/>
  <c r="CK191" i="5" s="1"/>
  <c r="V973" i="3"/>
  <c r="T973" i="3"/>
  <c r="R973" i="3"/>
  <c r="P973" i="3"/>
  <c r="U973" i="3"/>
  <c r="S973" i="3"/>
  <c r="Q973" i="3"/>
  <c r="O973" i="3"/>
  <c r="O940" i="3"/>
  <c r="P940" i="3"/>
  <c r="S940" i="3"/>
  <c r="T940" i="3"/>
  <c r="U940" i="3"/>
  <c r="Q940" i="3"/>
  <c r="O935" i="3"/>
  <c r="CF194" i="5" s="1"/>
  <c r="R940" i="3"/>
  <c r="O932" i="3"/>
  <c r="S905" i="3"/>
  <c r="U905" i="3"/>
  <c r="P905" i="3"/>
  <c r="R905" i="3"/>
  <c r="T905" i="3"/>
  <c r="V905" i="3"/>
  <c r="O897" i="3"/>
  <c r="O905" i="3"/>
  <c r="P91" i="3"/>
  <c r="O14" i="4" s="1"/>
  <c r="V91" i="3"/>
  <c r="U14" i="4" s="1"/>
  <c r="U91" i="3"/>
  <c r="T14" i="4" s="1"/>
  <c r="S91" i="3"/>
  <c r="R14" i="4" s="1"/>
  <c r="R158" i="3"/>
  <c r="O158" i="3"/>
  <c r="O13" i="3"/>
  <c r="P158" i="3"/>
  <c r="V158" i="3"/>
  <c r="O15" i="3"/>
  <c r="U158" i="3"/>
  <c r="Q158" i="3"/>
  <c r="S158" i="3"/>
  <c r="R91" i="3"/>
  <c r="Q14" i="4" s="1"/>
  <c r="T91" i="3"/>
  <c r="S14" i="4" s="1"/>
  <c r="O84" i="3"/>
  <c r="T158" i="3"/>
  <c r="O152" i="3"/>
  <c r="S192" i="5" s="1"/>
  <c r="O91" i="3"/>
  <c r="N14" i="4" s="1"/>
  <c r="O82" i="3"/>
  <c r="N191" i="5" s="1"/>
  <c r="O1169" i="3"/>
  <c r="DO191" i="5" s="1"/>
  <c r="O900" i="3"/>
  <c r="CA194" i="5" s="1"/>
  <c r="O1002" i="3"/>
  <c r="CP194" i="5" s="1"/>
  <c r="O1104" i="3"/>
  <c r="DE194" i="5" s="1"/>
  <c r="O1136" i="3"/>
  <c r="DJ194" i="5" s="1"/>
  <c r="O1032" i="3" l="1"/>
  <c r="CU192" i="5" s="1"/>
  <c r="CU191" i="5"/>
  <c r="J120" i="4"/>
  <c r="L120" i="4" s="1"/>
  <c r="J125" i="11"/>
  <c r="L125" i="11" s="1"/>
  <c r="O126" i="11"/>
  <c r="O121" i="4"/>
  <c r="V156" i="11"/>
  <c r="O1134" i="3"/>
  <c r="DJ192" i="5" s="1"/>
  <c r="DJ191" i="5"/>
  <c r="J126" i="11"/>
  <c r="L126" i="11" s="1"/>
  <c r="J121" i="4"/>
  <c r="L121" i="4" s="1"/>
  <c r="O128" i="11"/>
  <c r="O123" i="4"/>
  <c r="R127" i="11"/>
  <c r="R122" i="4"/>
  <c r="R119" i="4"/>
  <c r="R124" i="11"/>
  <c r="T159" i="11"/>
  <c r="T154" i="4"/>
  <c r="O85" i="3"/>
  <c r="N194" i="5" s="1"/>
  <c r="N193" i="5"/>
  <c r="O933" i="3"/>
  <c r="CF192" i="5" s="1"/>
  <c r="CF191" i="5"/>
  <c r="J94" i="11"/>
  <c r="L94" i="11" s="1"/>
  <c r="J153" i="4"/>
  <c r="L153" i="4" s="1"/>
  <c r="J158" i="11"/>
  <c r="L158" i="11" s="1"/>
  <c r="Q121" i="4"/>
  <c r="Q126" i="11"/>
  <c r="Q153" i="4"/>
  <c r="Q158" i="11"/>
  <c r="R121" i="4"/>
  <c r="R126" i="11"/>
  <c r="P153" i="4"/>
  <c r="P158" i="11"/>
  <c r="O125" i="11"/>
  <c r="O120" i="4"/>
  <c r="P154" i="4"/>
  <c r="P159" i="11"/>
  <c r="O1000" i="3"/>
  <c r="CP192" i="5" s="1"/>
  <c r="CP191" i="5"/>
  <c r="J127" i="11"/>
  <c r="L127" i="11" s="1"/>
  <c r="J122" i="4"/>
  <c r="L122" i="4" s="1"/>
  <c r="N159" i="11"/>
  <c r="N154" i="4"/>
  <c r="T153" i="4"/>
  <c r="T158" i="11"/>
  <c r="R120" i="4"/>
  <c r="R125" i="11"/>
  <c r="O1069" i="3"/>
  <c r="CZ194" i="5" s="1"/>
  <c r="CZ193" i="5"/>
  <c r="K124" i="11"/>
  <c r="M124" i="11" s="1"/>
  <c r="T123" i="4"/>
  <c r="T128" i="11"/>
  <c r="S121" i="4"/>
  <c r="S126" i="11"/>
  <c r="S128" i="11"/>
  <c r="S123" i="4"/>
  <c r="O898" i="3"/>
  <c r="CA192" i="5" s="1"/>
  <c r="CA191" i="5"/>
  <c r="J154" i="4"/>
  <c r="L154" i="4" s="1"/>
  <c r="J159" i="11"/>
  <c r="L159" i="11" s="1"/>
  <c r="S153" i="4"/>
  <c r="S158" i="11"/>
  <c r="N122" i="4"/>
  <c r="N127" i="11"/>
  <c r="N124" i="11"/>
  <c r="N119" i="4"/>
  <c r="N125" i="11"/>
  <c r="N120" i="4"/>
  <c r="N126" i="11"/>
  <c r="V126" i="11" s="1"/>
  <c r="N121" i="4"/>
  <c r="V121" i="4" s="1"/>
  <c r="P128" i="11"/>
  <c r="P123" i="4"/>
  <c r="U121" i="4"/>
  <c r="U126" i="11"/>
  <c r="O16" i="3"/>
  <c r="I194" i="5" s="1"/>
  <c r="I193" i="5"/>
  <c r="U159" i="11"/>
  <c r="U154" i="4"/>
  <c r="R153" i="4"/>
  <c r="R158" i="11"/>
  <c r="Q122" i="4"/>
  <c r="Q119" i="4"/>
  <c r="Q127" i="11"/>
  <c r="Q124" i="11"/>
  <c r="T119" i="4"/>
  <c r="T122" i="4"/>
  <c r="T127" i="11"/>
  <c r="T124" i="11"/>
  <c r="T121" i="4"/>
  <c r="T126" i="11"/>
  <c r="K20" i="11"/>
  <c r="M20" i="11" s="1"/>
  <c r="S193" i="5"/>
  <c r="S154" i="4"/>
  <c r="S159" i="11"/>
  <c r="O158" i="11"/>
  <c r="O153" i="4"/>
  <c r="Q120" i="4"/>
  <c r="Q125" i="11"/>
  <c r="T120" i="4"/>
  <c r="T125" i="11"/>
  <c r="U119" i="4"/>
  <c r="U127" i="11"/>
  <c r="U124" i="11"/>
  <c r="U122" i="4"/>
  <c r="O127" i="11"/>
  <c r="O124" i="11"/>
  <c r="O122" i="4"/>
  <c r="O119" i="4"/>
  <c r="P126" i="11"/>
  <c r="P121" i="4"/>
  <c r="O154" i="3"/>
  <c r="S194" i="5" s="1"/>
  <c r="Q159" i="11"/>
  <c r="Q154" i="4"/>
  <c r="N153" i="4"/>
  <c r="N158" i="11"/>
  <c r="P125" i="11"/>
  <c r="P120" i="4"/>
  <c r="U123" i="4"/>
  <c r="U128" i="11"/>
  <c r="S127" i="11"/>
  <c r="S122" i="4"/>
  <c r="S119" i="4"/>
  <c r="S124" i="11"/>
  <c r="O1102" i="3"/>
  <c r="DE192" i="5" s="1"/>
  <c r="DE191" i="5"/>
  <c r="J123" i="4"/>
  <c r="L123" i="4" s="1"/>
  <c r="J128" i="11"/>
  <c r="L128" i="11" s="1"/>
  <c r="U158" i="11"/>
  <c r="U153" i="4"/>
  <c r="Q123" i="4"/>
  <c r="Q128" i="11"/>
  <c r="R159" i="11"/>
  <c r="R154" i="4"/>
  <c r="S120" i="4"/>
  <c r="S125" i="11"/>
  <c r="O14" i="3"/>
  <c r="I192" i="5" s="1"/>
  <c r="I191" i="5"/>
  <c r="O154" i="4"/>
  <c r="O159" i="11"/>
  <c r="N128" i="11"/>
  <c r="N123" i="4"/>
  <c r="R128" i="11"/>
  <c r="R123" i="4"/>
  <c r="P127" i="11"/>
  <c r="P122" i="4"/>
  <c r="P124" i="11"/>
  <c r="P119" i="4"/>
  <c r="U125" i="11"/>
  <c r="U120" i="4"/>
  <c r="O150" i="4"/>
  <c r="O155" i="11"/>
  <c r="O966" i="3"/>
  <c r="CK192" i="5" s="1"/>
  <c r="J150" i="4"/>
  <c r="L150" i="4" s="1"/>
  <c r="J155" i="11"/>
  <c r="L155" i="11" s="1"/>
  <c r="Q150" i="4"/>
  <c r="Q155" i="11"/>
  <c r="N155" i="11"/>
  <c r="N150" i="4"/>
  <c r="R155" i="11"/>
  <c r="R150" i="4"/>
  <c r="S150" i="4"/>
  <c r="S155" i="11"/>
  <c r="P155" i="11"/>
  <c r="P150" i="4"/>
  <c r="T155" i="11"/>
  <c r="T150" i="4"/>
  <c r="U150" i="4"/>
  <c r="U155" i="11"/>
  <c r="V19" i="11"/>
  <c r="V65" i="11"/>
  <c r="V196" i="11"/>
  <c r="S190" i="4"/>
  <c r="S20" i="11"/>
  <c r="O190" i="4"/>
  <c r="O20" i="11"/>
  <c r="U190" i="4"/>
  <c r="U20" i="11"/>
  <c r="T20" i="11"/>
  <c r="T190" i="4"/>
  <c r="R20" i="11"/>
  <c r="R190" i="4"/>
  <c r="P20" i="11"/>
  <c r="P190" i="4"/>
  <c r="N20" i="11"/>
  <c r="N190" i="4"/>
  <c r="Q190" i="4"/>
  <c r="Q20" i="11"/>
  <c r="U93" i="11"/>
  <c r="U88" i="4"/>
  <c r="T88" i="4"/>
  <c r="T93" i="11"/>
  <c r="O1170" i="3"/>
  <c r="DO192" i="5" s="1"/>
  <c r="J93" i="11"/>
  <c r="L93" i="11" s="1"/>
  <c r="J88" i="4"/>
  <c r="O93" i="11"/>
  <c r="O88" i="4"/>
  <c r="P88" i="4"/>
  <c r="P93" i="11"/>
  <c r="N93" i="11"/>
  <c r="N88" i="4"/>
  <c r="S93" i="11"/>
  <c r="S88" i="4"/>
  <c r="R93" i="11"/>
  <c r="R88" i="4"/>
  <c r="Q93" i="11"/>
  <c r="Q88" i="4"/>
  <c r="V91" i="11"/>
  <c r="V157" i="11"/>
  <c r="V64" i="11"/>
  <c r="V63" i="11"/>
  <c r="V62" i="11"/>
  <c r="L61" i="11"/>
  <c r="M61" i="11"/>
  <c r="V61" i="11"/>
  <c r="L15" i="11"/>
  <c r="V15" i="4"/>
  <c r="M15" i="11"/>
  <c r="V15" i="11"/>
  <c r="O83" i="3"/>
  <c r="N192" i="5" s="1"/>
  <c r="J14" i="4"/>
  <c r="DO201" i="5"/>
  <c r="DO199" i="5"/>
  <c r="DO197" i="5"/>
  <c r="DO203" i="5"/>
  <c r="DO204" i="5"/>
  <c r="DO202" i="5"/>
  <c r="DO198" i="5"/>
  <c r="CA198" i="5"/>
  <c r="CA200" i="5"/>
  <c r="CA201" i="5"/>
  <c r="CA197" i="5"/>
  <c r="CA202" i="5"/>
  <c r="CA204" i="5"/>
  <c r="CA203" i="5"/>
  <c r="CF201" i="5"/>
  <c r="CF197" i="5"/>
  <c r="CF203" i="5"/>
  <c r="CF199" i="5"/>
  <c r="CF202" i="5"/>
  <c r="CF204" i="5"/>
  <c r="CF198" i="5"/>
  <c r="CU203" i="5"/>
  <c r="CU202" i="5"/>
  <c r="CU197" i="5"/>
  <c r="CU198" i="5"/>
  <c r="CU199" i="5"/>
  <c r="CU204" i="5"/>
  <c r="CU201" i="5"/>
  <c r="DE203" i="5"/>
  <c r="DE197" i="5"/>
  <c r="DE199" i="5"/>
  <c r="DE204" i="5"/>
  <c r="DE200" i="5"/>
  <c r="DE198" i="5"/>
  <c r="DE202" i="5"/>
  <c r="CP203" i="5"/>
  <c r="CP201" i="5"/>
  <c r="CP197" i="5"/>
  <c r="CP202" i="5"/>
  <c r="CP204" i="5"/>
  <c r="CP198" i="5"/>
  <c r="CP200" i="5"/>
  <c r="N203" i="5"/>
  <c r="N201" i="5"/>
  <c r="N199" i="5"/>
  <c r="N197" i="5"/>
  <c r="N202" i="5"/>
  <c r="N204" i="5"/>
  <c r="N200" i="5"/>
  <c r="DJ204" i="5"/>
  <c r="DJ202" i="5"/>
  <c r="DJ200" i="5"/>
  <c r="DJ198" i="5"/>
  <c r="DJ203" i="5"/>
  <c r="DJ201" i="5"/>
  <c r="DJ197" i="5"/>
  <c r="CZ202" i="5"/>
  <c r="CZ204" i="5"/>
  <c r="CZ198" i="5"/>
  <c r="CZ200" i="5"/>
  <c r="CZ201" i="5"/>
  <c r="CZ203" i="5"/>
  <c r="CZ197" i="5"/>
  <c r="V158" i="11" l="1"/>
  <c r="V125" i="11"/>
  <c r="V120" i="4"/>
  <c r="V153" i="4"/>
  <c r="V119" i="4"/>
  <c r="V159" i="11"/>
  <c r="V124" i="11"/>
  <c r="V127" i="11"/>
  <c r="V122" i="4"/>
  <c r="V128" i="11"/>
  <c r="V123" i="4"/>
  <c r="V155" i="11"/>
  <c r="V150" i="4"/>
  <c r="V20" i="11"/>
  <c r="V195" i="11"/>
  <c r="V93" i="11"/>
  <c r="F15" i="4"/>
  <c r="P26" i="4" s="1"/>
  <c r="D191" i="4"/>
  <c r="C191" i="4"/>
  <c r="B191" i="4"/>
  <c r="L201" i="4"/>
  <c r="D190" i="4"/>
  <c r="C190" i="4"/>
  <c r="B190" i="4"/>
  <c r="D188" i="4"/>
  <c r="C188" i="4"/>
  <c r="B188" i="4"/>
  <c r="C201" i="4"/>
  <c r="D187" i="4"/>
  <c r="C187" i="4"/>
  <c r="B187" i="4"/>
  <c r="F151" i="4"/>
  <c r="D151" i="4"/>
  <c r="C151" i="4"/>
  <c r="B151" i="4"/>
  <c r="N162" i="4"/>
  <c r="D152" i="4"/>
  <c r="C152" i="4"/>
  <c r="D149" i="4"/>
  <c r="C149" i="4"/>
  <c r="B149" i="4"/>
  <c r="C162" i="4"/>
  <c r="D148" i="4"/>
  <c r="C148" i="4"/>
  <c r="B148" i="4"/>
  <c r="C132" i="4"/>
  <c r="D118" i="4"/>
  <c r="C118" i="4"/>
  <c r="B118" i="4"/>
  <c r="F90" i="4"/>
  <c r="D90" i="4"/>
  <c r="C90" i="4"/>
  <c r="B90" i="4"/>
  <c r="F89" i="4"/>
  <c r="H98" i="4" s="1"/>
  <c r="D89" i="4"/>
  <c r="C89" i="4"/>
  <c r="B89" i="4"/>
  <c r="D88" i="4"/>
  <c r="C88" i="4"/>
  <c r="B88" i="4"/>
  <c r="F87" i="4"/>
  <c r="N98" i="4" s="1"/>
  <c r="D87" i="4"/>
  <c r="C87" i="4"/>
  <c r="B87" i="4"/>
  <c r="F86" i="4"/>
  <c r="F98" i="4" s="1"/>
  <c r="D86" i="4"/>
  <c r="C86" i="4"/>
  <c r="B86" i="4"/>
  <c r="C98" i="4"/>
  <c r="D85" i="4"/>
  <c r="C85" i="4"/>
  <c r="B85" i="4"/>
  <c r="D60" i="4"/>
  <c r="C60" i="4"/>
  <c r="B60" i="4"/>
  <c r="F59" i="4"/>
  <c r="C59" i="4"/>
  <c r="B59" i="4"/>
  <c r="F58" i="4"/>
  <c r="D58" i="4"/>
  <c r="C58" i="4"/>
  <c r="B58" i="4"/>
  <c r="F57" i="4"/>
  <c r="D57" i="4"/>
  <c r="C57" i="4"/>
  <c r="B57" i="4"/>
  <c r="K68" i="4"/>
  <c r="D56" i="4"/>
  <c r="C56" i="4"/>
  <c r="B56" i="4"/>
  <c r="F68" i="4"/>
  <c r="D55" i="4"/>
  <c r="C55" i="4"/>
  <c r="B55" i="4"/>
  <c r="F54" i="4"/>
  <c r="D54" i="4"/>
  <c r="C54" i="4"/>
  <c r="C68" i="4"/>
  <c r="C53" i="4"/>
  <c r="B53" i="4"/>
  <c r="D15" i="4"/>
  <c r="C15" i="4"/>
  <c r="B15" i="4"/>
  <c r="F14" i="4"/>
  <c r="D14" i="4"/>
  <c r="C14" i="4"/>
  <c r="B14" i="4"/>
  <c r="D13" i="4"/>
  <c r="C13" i="4"/>
  <c r="B13" i="4"/>
  <c r="F26" i="4"/>
  <c r="D12" i="4"/>
  <c r="C12" i="4"/>
  <c r="B12" i="4"/>
  <c r="F11" i="4"/>
  <c r="K26" i="4" s="1"/>
  <c r="D11" i="4"/>
  <c r="C11" i="4"/>
  <c r="B11" i="4"/>
  <c r="C26" i="4"/>
  <c r="D10" i="4"/>
  <c r="C10" i="4"/>
  <c r="B10" i="4"/>
  <c r="O600" i="2" l="1"/>
  <c r="I53" i="4" l="1"/>
  <c r="I58" i="11"/>
  <c r="I66" i="11" s="1"/>
  <c r="I148" i="4"/>
  <c r="I187" i="4"/>
  <c r="I188" i="4"/>
  <c r="I12" i="4"/>
  <c r="I191" i="4"/>
  <c r="I16" i="4"/>
  <c r="I58" i="4"/>
  <c r="I60" i="4"/>
  <c r="I13" i="4"/>
  <c r="I190" i="4"/>
  <c r="I56" i="4"/>
  <c r="I57" i="4"/>
  <c r="I86" i="4"/>
  <c r="I151" i="4"/>
  <c r="I59" i="4"/>
  <c r="I89" i="4"/>
  <c r="I54" i="4"/>
  <c r="I189" i="4"/>
  <c r="I118" i="4"/>
  <c r="I85" i="4"/>
  <c r="I149" i="4"/>
  <c r="I155" i="4" s="1"/>
  <c r="I15" i="4"/>
  <c r="I14" i="4"/>
  <c r="D8" i="6" l="1"/>
  <c r="D69" i="11"/>
  <c r="I192" i="4"/>
  <c r="D195" i="4" s="1"/>
  <c r="I124" i="4"/>
  <c r="D127" i="4" s="1"/>
  <c r="I91" i="4"/>
  <c r="D94" i="4" s="1"/>
  <c r="D157" i="4"/>
  <c r="I61" i="4"/>
  <c r="D64" i="4" s="1"/>
  <c r="I17" i="4"/>
  <c r="D20" i="4" s="1"/>
  <c r="M128" i="2" l="1"/>
  <c r="L128" i="2"/>
  <c r="N56" i="5" s="1"/>
  <c r="L47" i="2"/>
  <c r="I44" i="5" s="1"/>
  <c r="M47" i="2"/>
  <c r="H16" i="4" l="1"/>
  <c r="M792" i="2" l="1"/>
  <c r="L792" i="2"/>
  <c r="BG58" i="5" s="1"/>
  <c r="M784" i="2"/>
  <c r="L784" i="2"/>
  <c r="BG50" i="5" s="1"/>
  <c r="M776" i="2"/>
  <c r="L776" i="2"/>
  <c r="BG42" i="5" s="1"/>
  <c r="L650" i="2"/>
  <c r="AW62" i="5" s="1"/>
  <c r="M650" i="2"/>
  <c r="M788" i="2"/>
  <c r="L788" i="2"/>
  <c r="BG54" i="5" s="1"/>
  <c r="M780" i="2"/>
  <c r="L780" i="2"/>
  <c r="BG46" i="5" s="1"/>
  <c r="M772" i="2"/>
  <c r="L772" i="2"/>
  <c r="BG38" i="5" s="1"/>
  <c r="L795" i="2"/>
  <c r="BG61" i="5" s="1"/>
  <c r="M795" i="2"/>
  <c r="L791" i="2"/>
  <c r="BG57" i="5" s="1"/>
  <c r="M791" i="2"/>
  <c r="L787" i="2"/>
  <c r="BG53" i="5" s="1"/>
  <c r="M787" i="2"/>
  <c r="L783" i="2"/>
  <c r="BG49" i="5" s="1"/>
  <c r="M783" i="2"/>
  <c r="L779" i="2"/>
  <c r="BG45" i="5" s="1"/>
  <c r="M779" i="2"/>
  <c r="L775" i="2"/>
  <c r="BG41" i="5" s="1"/>
  <c r="M775" i="2"/>
  <c r="L771" i="2"/>
  <c r="BG37" i="5" s="1"/>
  <c r="M771" i="2"/>
  <c r="L794" i="2"/>
  <c r="BG60" i="5" s="1"/>
  <c r="M794" i="2"/>
  <c r="L786" i="2"/>
  <c r="BG52" i="5" s="1"/>
  <c r="M786" i="2"/>
  <c r="L778" i="2"/>
  <c r="BG44" i="5" s="1"/>
  <c r="M778" i="2"/>
  <c r="L770" i="2"/>
  <c r="BG36" i="5" s="1"/>
  <c r="M770" i="2"/>
  <c r="L790" i="2"/>
  <c r="BG56" i="5" s="1"/>
  <c r="M790" i="2"/>
  <c r="L782" i="2"/>
  <c r="BG48" i="5" s="1"/>
  <c r="M782" i="2"/>
  <c r="L774" i="2"/>
  <c r="BG40" i="5" s="1"/>
  <c r="M774" i="2"/>
  <c r="L793" i="2"/>
  <c r="BG59" i="5" s="1"/>
  <c r="M793" i="2"/>
  <c r="L789" i="2"/>
  <c r="BG55" i="5" s="1"/>
  <c r="M789" i="2"/>
  <c r="L785" i="2"/>
  <c r="BG51" i="5" s="1"/>
  <c r="M785" i="2"/>
  <c r="L781" i="2"/>
  <c r="BG47" i="5" s="1"/>
  <c r="M781" i="2"/>
  <c r="L777" i="2"/>
  <c r="BG43" i="5" s="1"/>
  <c r="M777" i="2"/>
  <c r="L773" i="2"/>
  <c r="BG39" i="5" s="1"/>
  <c r="M773" i="2"/>
  <c r="L769" i="2"/>
  <c r="BG35" i="5" s="1"/>
  <c r="M769" i="2"/>
  <c r="H151" i="4"/>
  <c r="H191" i="4"/>
  <c r="H190" i="4"/>
  <c r="H57" i="4"/>
  <c r="M908" i="2"/>
  <c r="L890" i="2" l="1"/>
  <c r="BQ16" i="5" s="1"/>
  <c r="L897" i="2"/>
  <c r="BQ23" i="5" s="1"/>
  <c r="L885" i="2"/>
  <c r="BQ11" i="5" s="1"/>
  <c r="L906" i="2"/>
  <c r="BQ32" i="5" s="1"/>
  <c r="M889" i="2"/>
  <c r="L886" i="2"/>
  <c r="BQ12" i="5" s="1"/>
  <c r="M897" i="2"/>
  <c r="M885" i="2"/>
  <c r="L893" i="2"/>
  <c r="BQ19" i="5" s="1"/>
  <c r="L901" i="2"/>
  <c r="BQ27" i="5" s="1"/>
  <c r="M906" i="2"/>
  <c r="L889" i="2"/>
  <c r="BQ15" i="5" s="1"/>
  <c r="M893" i="2"/>
  <c r="M901" i="2"/>
  <c r="L904" i="2"/>
  <c r="BQ30" i="5" s="1"/>
  <c r="L888" i="2"/>
  <c r="BQ14" i="5" s="1"/>
  <c r="M900" i="2"/>
  <c r="L894" i="2"/>
  <c r="BQ20" i="5" s="1"/>
  <c r="M891" i="2"/>
  <c r="M898" i="2"/>
  <c r="M902" i="2"/>
  <c r="L907" i="2"/>
  <c r="BQ33" i="5" s="1"/>
  <c r="L884" i="2"/>
  <c r="BQ10" i="5" s="1"/>
  <c r="L892" i="2"/>
  <c r="BQ18" i="5" s="1"/>
  <c r="M888" i="2"/>
  <c r="M904" i="2"/>
  <c r="M884" i="2"/>
  <c r="M887" i="2"/>
  <c r="M892" i="2"/>
  <c r="M895" i="2"/>
  <c r="L900" i="2"/>
  <c r="BQ26" i="5" s="1"/>
  <c r="L899" i="2"/>
  <c r="BQ25" i="5" s="1"/>
  <c r="L903" i="2"/>
  <c r="BQ29" i="5" s="1"/>
  <c r="L905" i="2"/>
  <c r="BQ31" i="5" s="1"/>
  <c r="M886" i="2"/>
  <c r="M890" i="2"/>
  <c r="M894" i="2"/>
  <c r="M899" i="2"/>
  <c r="M903" i="2"/>
  <c r="M905" i="2"/>
  <c r="M907" i="2"/>
  <c r="L887" i="2"/>
  <c r="BQ13" i="5" s="1"/>
  <c r="L891" i="2"/>
  <c r="BQ17" i="5" s="1"/>
  <c r="L895" i="2"/>
  <c r="BQ21" i="5" s="1"/>
  <c r="L898" i="2"/>
  <c r="BQ24" i="5" s="1"/>
  <c r="L902" i="2"/>
  <c r="BQ28" i="5" s="1"/>
  <c r="L908" i="2"/>
  <c r="BQ34" i="5" s="1"/>
  <c r="M50" i="2"/>
  <c r="L50" i="2"/>
  <c r="I47" i="5" s="1"/>
  <c r="M41" i="2"/>
  <c r="L41" i="2"/>
  <c r="I38" i="5" s="1"/>
  <c r="M210" i="2"/>
  <c r="L210" i="2"/>
  <c r="S58" i="5" s="1"/>
  <c r="L205" i="2"/>
  <c r="S53" i="5" s="1"/>
  <c r="M205" i="2"/>
  <c r="L201" i="2"/>
  <c r="S49" i="5" s="1"/>
  <c r="M201" i="2"/>
  <c r="L197" i="2"/>
  <c r="S45" i="5" s="1"/>
  <c r="M197" i="2"/>
  <c r="L193" i="2"/>
  <c r="S41" i="5" s="1"/>
  <c r="M193" i="2"/>
  <c r="L188" i="2"/>
  <c r="S36" i="5" s="1"/>
  <c r="M188" i="2"/>
  <c r="L934" i="2"/>
  <c r="BQ60" i="5" s="1"/>
  <c r="M934" i="2"/>
  <c r="L928" i="2"/>
  <c r="BQ54" i="5" s="1"/>
  <c r="M928" i="2"/>
  <c r="L924" i="2"/>
  <c r="BQ50" i="5" s="1"/>
  <c r="M924" i="2"/>
  <c r="L918" i="2"/>
  <c r="BQ44" i="5" s="1"/>
  <c r="M918" i="2"/>
  <c r="L914" i="2"/>
  <c r="BQ40" i="5" s="1"/>
  <c r="M914" i="2"/>
  <c r="L909" i="2"/>
  <c r="BQ35" i="5" s="1"/>
  <c r="M909" i="2"/>
  <c r="M502" i="2"/>
  <c r="L502" i="2"/>
  <c r="AM60" i="5" s="1"/>
  <c r="M498" i="2"/>
  <c r="L498" i="2"/>
  <c r="AM56" i="5" s="1"/>
  <c r="M494" i="2"/>
  <c r="L494" i="2"/>
  <c r="AM52" i="5" s="1"/>
  <c r="L490" i="2"/>
  <c r="AM48" i="5" s="1"/>
  <c r="M490" i="2"/>
  <c r="L486" i="2"/>
  <c r="AM44" i="5" s="1"/>
  <c r="M486" i="2"/>
  <c r="L482" i="2"/>
  <c r="AM40" i="5" s="1"/>
  <c r="M482" i="2"/>
  <c r="M477" i="2"/>
  <c r="L477" i="2"/>
  <c r="AM35" i="5" s="1"/>
  <c r="M422" i="2"/>
  <c r="L422" i="2"/>
  <c r="AH58" i="5" s="1"/>
  <c r="M418" i="2"/>
  <c r="L418" i="2"/>
  <c r="AH54" i="5" s="1"/>
  <c r="M414" i="2"/>
  <c r="L414" i="2"/>
  <c r="AH50" i="5" s="1"/>
  <c r="M410" i="2"/>
  <c r="L410" i="2"/>
  <c r="AH46" i="5" s="1"/>
  <c r="M406" i="2"/>
  <c r="L406" i="2"/>
  <c r="AH42" i="5" s="1"/>
  <c r="M402" i="2"/>
  <c r="L402" i="2"/>
  <c r="AH38" i="5" s="1"/>
  <c r="L280" i="2"/>
  <c r="X59" i="5" s="1"/>
  <c r="M280" i="2"/>
  <c r="L276" i="2"/>
  <c r="X55" i="5" s="1"/>
  <c r="M276" i="2"/>
  <c r="L272" i="2"/>
  <c r="X51" i="5" s="1"/>
  <c r="M272" i="2"/>
  <c r="L268" i="2"/>
  <c r="X47" i="5" s="1"/>
  <c r="M268" i="2"/>
  <c r="L264" i="2"/>
  <c r="X43" i="5" s="1"/>
  <c r="M264" i="2"/>
  <c r="L859" i="2"/>
  <c r="BL57" i="5" s="1"/>
  <c r="M859" i="2"/>
  <c r="L854" i="2"/>
  <c r="BL52" i="5" s="1"/>
  <c r="M854" i="2"/>
  <c r="M850" i="2"/>
  <c r="L850" i="2"/>
  <c r="BL48" i="5" s="1"/>
  <c r="L846" i="2"/>
  <c r="BL44" i="5" s="1"/>
  <c r="M846" i="2"/>
  <c r="L842" i="2"/>
  <c r="BL40" i="5" s="1"/>
  <c r="M842" i="2"/>
  <c r="L837" i="2"/>
  <c r="BL35" i="5" s="1"/>
  <c r="M837" i="2"/>
  <c r="L720" i="2"/>
  <c r="BB61" i="5" s="1"/>
  <c r="M720" i="2"/>
  <c r="L716" i="2"/>
  <c r="BB57" i="5" s="1"/>
  <c r="M716" i="2"/>
  <c r="L711" i="2"/>
  <c r="BB52" i="5" s="1"/>
  <c r="M711" i="2"/>
  <c r="L707" i="2"/>
  <c r="BB48" i="5" s="1"/>
  <c r="M707" i="2"/>
  <c r="L703" i="2"/>
  <c r="BB44" i="5" s="1"/>
  <c r="M703" i="2"/>
  <c r="L699" i="2"/>
  <c r="BB40" i="5" s="1"/>
  <c r="M699" i="2"/>
  <c r="M694" i="2"/>
  <c r="L694" i="2"/>
  <c r="BB35" i="5" s="1"/>
  <c r="L648" i="2"/>
  <c r="AW60" i="5" s="1"/>
  <c r="M648" i="2"/>
  <c r="L644" i="2"/>
  <c r="AW56" i="5" s="1"/>
  <c r="M644" i="2"/>
  <c r="L640" i="2"/>
  <c r="AW52" i="5" s="1"/>
  <c r="M640" i="2"/>
  <c r="L636" i="2"/>
  <c r="AW48" i="5" s="1"/>
  <c r="M636" i="2"/>
  <c r="L632" i="2"/>
  <c r="AW44" i="5" s="1"/>
  <c r="M632" i="2"/>
  <c r="L628" i="2"/>
  <c r="AW40" i="5" s="1"/>
  <c r="M628" i="2"/>
  <c r="L623" i="2"/>
  <c r="AW35" i="5" s="1"/>
  <c r="M623" i="2"/>
  <c r="L579" i="2"/>
  <c r="AR61" i="5" s="1"/>
  <c r="M579" i="2"/>
  <c r="L575" i="2"/>
  <c r="AR57" i="5" s="1"/>
  <c r="M575" i="2"/>
  <c r="L571" i="2"/>
  <c r="AR53" i="5" s="1"/>
  <c r="M571" i="2"/>
  <c r="L567" i="2"/>
  <c r="AR49" i="5" s="1"/>
  <c r="M567" i="2"/>
  <c r="L563" i="2"/>
  <c r="AR45" i="5" s="1"/>
  <c r="M563" i="2"/>
  <c r="L559" i="2"/>
  <c r="AR41" i="5" s="1"/>
  <c r="M559" i="2"/>
  <c r="M54" i="2"/>
  <c r="L54" i="2"/>
  <c r="I51" i="5" s="1"/>
  <c r="M45" i="2"/>
  <c r="L45" i="2"/>
  <c r="I42" i="5" s="1"/>
  <c r="M61" i="2"/>
  <c r="L61" i="2"/>
  <c r="I58" i="5" s="1"/>
  <c r="M57" i="2"/>
  <c r="L57" i="2"/>
  <c r="I54" i="5" s="1"/>
  <c r="M53" i="2"/>
  <c r="L53" i="2"/>
  <c r="I50" i="5" s="1"/>
  <c r="M49" i="2"/>
  <c r="L49" i="2"/>
  <c r="I46" i="5" s="1"/>
  <c r="M44" i="2"/>
  <c r="L44" i="2"/>
  <c r="I41" i="5" s="1"/>
  <c r="M40" i="2"/>
  <c r="L40" i="2"/>
  <c r="I37" i="5" s="1"/>
  <c r="L213" i="2"/>
  <c r="S61" i="5" s="1"/>
  <c r="M213" i="2"/>
  <c r="L209" i="2"/>
  <c r="S57" i="5" s="1"/>
  <c r="M209" i="2"/>
  <c r="L204" i="2"/>
  <c r="S52" i="5" s="1"/>
  <c r="M204" i="2"/>
  <c r="L200" i="2"/>
  <c r="S48" i="5" s="1"/>
  <c r="M200" i="2"/>
  <c r="L196" i="2"/>
  <c r="S44" i="5" s="1"/>
  <c r="M196" i="2"/>
  <c r="L192" i="2"/>
  <c r="S40" i="5" s="1"/>
  <c r="M192" i="2"/>
  <c r="L187" i="2"/>
  <c r="S35" i="5" s="1"/>
  <c r="M187" i="2"/>
  <c r="M933" i="2"/>
  <c r="L933" i="2"/>
  <c r="BQ59" i="5" s="1"/>
  <c r="M927" i="2"/>
  <c r="L927" i="2"/>
  <c r="BQ53" i="5" s="1"/>
  <c r="M923" i="2"/>
  <c r="L923" i="2"/>
  <c r="BQ49" i="5" s="1"/>
  <c r="M917" i="2"/>
  <c r="L917" i="2"/>
  <c r="BQ43" i="5" s="1"/>
  <c r="M913" i="2"/>
  <c r="L913" i="2"/>
  <c r="BQ39" i="5" s="1"/>
  <c r="M501" i="2"/>
  <c r="L501" i="2"/>
  <c r="AM59" i="5" s="1"/>
  <c r="M497" i="2"/>
  <c r="L497" i="2"/>
  <c r="AM55" i="5" s="1"/>
  <c r="M493" i="2"/>
  <c r="L493" i="2"/>
  <c r="AM51" i="5" s="1"/>
  <c r="M489" i="2"/>
  <c r="L489" i="2"/>
  <c r="AM47" i="5" s="1"/>
  <c r="M485" i="2"/>
  <c r="L485" i="2"/>
  <c r="AM43" i="5" s="1"/>
  <c r="M481" i="2"/>
  <c r="L481" i="2"/>
  <c r="AM39" i="5" s="1"/>
  <c r="L425" i="2"/>
  <c r="AH61" i="5" s="1"/>
  <c r="M425" i="2"/>
  <c r="L421" i="2"/>
  <c r="AH57" i="5" s="1"/>
  <c r="M421" i="2"/>
  <c r="L417" i="2"/>
  <c r="AH53" i="5" s="1"/>
  <c r="M417" i="2"/>
  <c r="L413" i="2"/>
  <c r="AH49" i="5" s="1"/>
  <c r="M413" i="2"/>
  <c r="L409" i="2"/>
  <c r="AH45" i="5" s="1"/>
  <c r="M409" i="2"/>
  <c r="L405" i="2"/>
  <c r="AH41" i="5" s="1"/>
  <c r="M405" i="2"/>
  <c r="M279" i="2"/>
  <c r="L279" i="2"/>
  <c r="X58" i="5" s="1"/>
  <c r="X54" i="5"/>
  <c r="M271" i="2"/>
  <c r="L271" i="2"/>
  <c r="X50" i="5" s="1"/>
  <c r="M267" i="2"/>
  <c r="L267" i="2"/>
  <c r="X46" i="5" s="1"/>
  <c r="M263" i="2"/>
  <c r="L263" i="2"/>
  <c r="X42" i="5" s="1"/>
  <c r="M259" i="2"/>
  <c r="L259" i="2"/>
  <c r="X38" i="5" s="1"/>
  <c r="L858" i="2"/>
  <c r="BL56" i="5" s="1"/>
  <c r="M858" i="2"/>
  <c r="L853" i="2"/>
  <c r="BL51" i="5" s="1"/>
  <c r="M853" i="2"/>
  <c r="L849" i="2"/>
  <c r="BL47" i="5" s="1"/>
  <c r="M849" i="2"/>
  <c r="L845" i="2"/>
  <c r="BL43" i="5" s="1"/>
  <c r="M845" i="2"/>
  <c r="L841" i="2"/>
  <c r="BL39" i="5" s="1"/>
  <c r="M841" i="2"/>
  <c r="L719" i="2"/>
  <c r="BB60" i="5" s="1"/>
  <c r="M719" i="2"/>
  <c r="L715" i="2"/>
  <c r="BB56" i="5" s="1"/>
  <c r="M715" i="2"/>
  <c r="L710" i="2"/>
  <c r="BB51" i="5" s="1"/>
  <c r="M710" i="2"/>
  <c r="L706" i="2"/>
  <c r="BB47" i="5" s="1"/>
  <c r="M706" i="2"/>
  <c r="L702" i="2"/>
  <c r="BB43" i="5" s="1"/>
  <c r="M702" i="2"/>
  <c r="L698" i="2"/>
  <c r="BB39" i="5" s="1"/>
  <c r="M698" i="2"/>
  <c r="L647" i="2"/>
  <c r="AW59" i="5" s="1"/>
  <c r="M647" i="2"/>
  <c r="L643" i="2"/>
  <c r="AW55" i="5" s="1"/>
  <c r="M643" i="2"/>
  <c r="L639" i="2"/>
  <c r="AW51" i="5" s="1"/>
  <c r="M639" i="2"/>
  <c r="L635" i="2"/>
  <c r="AW47" i="5" s="1"/>
  <c r="M635" i="2"/>
  <c r="L631" i="2"/>
  <c r="AW43" i="5" s="1"/>
  <c r="M631" i="2"/>
  <c r="L627" i="2"/>
  <c r="AW39" i="5" s="1"/>
  <c r="M627" i="2"/>
  <c r="M578" i="2"/>
  <c r="L578" i="2"/>
  <c r="AR60" i="5" s="1"/>
  <c r="M574" i="2"/>
  <c r="L574" i="2"/>
  <c r="AR56" i="5" s="1"/>
  <c r="M570" i="2"/>
  <c r="L570" i="2"/>
  <c r="AR52" i="5" s="1"/>
  <c r="M566" i="2"/>
  <c r="L566" i="2"/>
  <c r="AR48" i="5" s="1"/>
  <c r="M562" i="2"/>
  <c r="L562" i="2"/>
  <c r="AR44" i="5" s="1"/>
  <c r="M558" i="2"/>
  <c r="L558" i="2"/>
  <c r="AR40" i="5" s="1"/>
  <c r="L554" i="2"/>
  <c r="AR36" i="5" s="1"/>
  <c r="M554" i="2"/>
  <c r="M62" i="2"/>
  <c r="L62" i="2"/>
  <c r="I59" i="5" s="1"/>
  <c r="M56" i="2"/>
  <c r="L56" i="2"/>
  <c r="I53" i="5" s="1"/>
  <c r="M48" i="2"/>
  <c r="L48" i="2"/>
  <c r="I45" i="5" s="1"/>
  <c r="M212" i="2"/>
  <c r="L212" i="2"/>
  <c r="S60" i="5" s="1"/>
  <c r="M208" i="2"/>
  <c r="L208" i="2"/>
  <c r="S56" i="5" s="1"/>
  <c r="M203" i="2"/>
  <c r="L203" i="2"/>
  <c r="S51" i="5" s="1"/>
  <c r="M199" i="2"/>
  <c r="L199" i="2"/>
  <c r="S47" i="5" s="1"/>
  <c r="M195" i="2"/>
  <c r="L195" i="2"/>
  <c r="S43" i="5" s="1"/>
  <c r="M191" i="2"/>
  <c r="L191" i="2"/>
  <c r="S39" i="5" s="1"/>
  <c r="O887" i="2"/>
  <c r="M932" i="2"/>
  <c r="L932" i="2"/>
  <c r="BQ58" i="5" s="1"/>
  <c r="M926" i="2"/>
  <c r="L926" i="2"/>
  <c r="BQ52" i="5" s="1"/>
  <c r="M920" i="2"/>
  <c r="L920" i="2"/>
  <c r="BQ46" i="5" s="1"/>
  <c r="M916" i="2"/>
  <c r="L916" i="2"/>
  <c r="BQ42" i="5" s="1"/>
  <c r="M912" i="2"/>
  <c r="L912" i="2"/>
  <c r="BQ38" i="5" s="1"/>
  <c r="M500" i="2"/>
  <c r="L500" i="2"/>
  <c r="AM58" i="5" s="1"/>
  <c r="M496" i="2"/>
  <c r="L496" i="2"/>
  <c r="AM54" i="5" s="1"/>
  <c r="M492" i="2"/>
  <c r="L492" i="2"/>
  <c r="AM50" i="5" s="1"/>
  <c r="M488" i="2"/>
  <c r="L488" i="2"/>
  <c r="AM46" i="5" s="1"/>
  <c r="M484" i="2"/>
  <c r="L484" i="2"/>
  <c r="AM42" i="5" s="1"/>
  <c r="M480" i="2"/>
  <c r="L480" i="2"/>
  <c r="AM38" i="5" s="1"/>
  <c r="M504" i="2"/>
  <c r="L504" i="2"/>
  <c r="AM62" i="5" s="1"/>
  <c r="L424" i="2"/>
  <c r="AH60" i="5" s="1"/>
  <c r="M424" i="2"/>
  <c r="L420" i="2"/>
  <c r="AH56" i="5" s="1"/>
  <c r="M420" i="2"/>
  <c r="L416" i="2"/>
  <c r="AH52" i="5" s="1"/>
  <c r="M416" i="2"/>
  <c r="L412" i="2"/>
  <c r="AH48" i="5" s="1"/>
  <c r="M412" i="2"/>
  <c r="L408" i="2"/>
  <c r="AH44" i="5" s="1"/>
  <c r="M408" i="2"/>
  <c r="L404" i="2"/>
  <c r="AH40" i="5" s="1"/>
  <c r="M404" i="2"/>
  <c r="L400" i="2"/>
  <c r="AH36" i="5" s="1"/>
  <c r="M400" i="2"/>
  <c r="M282" i="2"/>
  <c r="L282" i="2"/>
  <c r="X61" i="5" s="1"/>
  <c r="M278" i="2"/>
  <c r="L278" i="2"/>
  <c r="X57" i="5" s="1"/>
  <c r="M274" i="2"/>
  <c r="L274" i="2"/>
  <c r="X53" i="5" s="1"/>
  <c r="M270" i="2"/>
  <c r="L270" i="2"/>
  <c r="X49" i="5" s="1"/>
  <c r="M266" i="2"/>
  <c r="L266" i="2"/>
  <c r="X45" i="5" s="1"/>
  <c r="M262" i="2"/>
  <c r="L262" i="2"/>
  <c r="X41" i="5" s="1"/>
  <c r="M257" i="2"/>
  <c r="L257" i="2"/>
  <c r="X36" i="5" s="1"/>
  <c r="L861" i="2"/>
  <c r="BL59" i="5" s="1"/>
  <c r="M861" i="2"/>
  <c r="L857" i="2"/>
  <c r="BL55" i="5" s="1"/>
  <c r="M857" i="2"/>
  <c r="L852" i="2"/>
  <c r="BL50" i="5" s="1"/>
  <c r="M852" i="2"/>
  <c r="L848" i="2"/>
  <c r="BL46" i="5" s="1"/>
  <c r="M848" i="2"/>
  <c r="L844" i="2"/>
  <c r="BL42" i="5" s="1"/>
  <c r="M844" i="2"/>
  <c r="L840" i="2"/>
  <c r="BL38" i="5" s="1"/>
  <c r="M840" i="2"/>
  <c r="M718" i="2"/>
  <c r="L718" i="2"/>
  <c r="BB59" i="5" s="1"/>
  <c r="M714" i="2"/>
  <c r="L714" i="2"/>
  <c r="BB55" i="5" s="1"/>
  <c r="M709" i="2"/>
  <c r="L709" i="2"/>
  <c r="BB50" i="5" s="1"/>
  <c r="L705" i="2"/>
  <c r="BB46" i="5" s="1"/>
  <c r="M705" i="2"/>
  <c r="L701" i="2"/>
  <c r="BB42" i="5" s="1"/>
  <c r="M701" i="2"/>
  <c r="O599" i="2"/>
  <c r="L646" i="2"/>
  <c r="AW58" i="5" s="1"/>
  <c r="M646" i="2"/>
  <c r="L642" i="2"/>
  <c r="AW54" i="5" s="1"/>
  <c r="M642" i="2"/>
  <c r="L638" i="2"/>
  <c r="AW50" i="5" s="1"/>
  <c r="M638" i="2"/>
  <c r="L634" i="2"/>
  <c r="AW46" i="5" s="1"/>
  <c r="M634" i="2"/>
  <c r="L630" i="2"/>
  <c r="AW42" i="5" s="1"/>
  <c r="M630" i="2"/>
  <c r="L626" i="2"/>
  <c r="AW38" i="5" s="1"/>
  <c r="M626" i="2"/>
  <c r="M577" i="2"/>
  <c r="L577" i="2"/>
  <c r="AR59" i="5" s="1"/>
  <c r="M573" i="2"/>
  <c r="L573" i="2"/>
  <c r="AR55" i="5" s="1"/>
  <c r="M569" i="2"/>
  <c r="L569" i="2"/>
  <c r="AR51" i="5" s="1"/>
  <c r="M565" i="2"/>
  <c r="L565" i="2"/>
  <c r="AR47" i="5" s="1"/>
  <c r="M561" i="2"/>
  <c r="L561" i="2"/>
  <c r="AR43" i="5" s="1"/>
  <c r="M557" i="2"/>
  <c r="L557" i="2"/>
  <c r="AR39" i="5" s="1"/>
  <c r="M553" i="2"/>
  <c r="L553" i="2"/>
  <c r="AR35" i="5" s="1"/>
  <c r="H12" i="4"/>
  <c r="O747" i="2"/>
  <c r="M58" i="2"/>
  <c r="L58" i="2"/>
  <c r="I55" i="5" s="1"/>
  <c r="M60" i="2"/>
  <c r="L60" i="2"/>
  <c r="I57" i="5" s="1"/>
  <c r="M43" i="2"/>
  <c r="L43" i="2"/>
  <c r="I40" i="5" s="1"/>
  <c r="M39" i="2"/>
  <c r="L39" i="2"/>
  <c r="I36" i="5" s="1"/>
  <c r="M63" i="2"/>
  <c r="L63" i="2"/>
  <c r="I60" i="5" s="1"/>
  <c r="M59" i="2"/>
  <c r="L59" i="2"/>
  <c r="I56" i="5" s="1"/>
  <c r="M55" i="2"/>
  <c r="L55" i="2"/>
  <c r="I52" i="5" s="1"/>
  <c r="M51" i="2"/>
  <c r="L51" i="2"/>
  <c r="I48" i="5" s="1"/>
  <c r="M42" i="2"/>
  <c r="L42" i="2"/>
  <c r="I39" i="5" s="1"/>
  <c r="M38" i="2"/>
  <c r="L38" i="2"/>
  <c r="I35" i="5" s="1"/>
  <c r="M211" i="2"/>
  <c r="L211" i="2"/>
  <c r="S59" i="5" s="1"/>
  <c r="M207" i="2"/>
  <c r="L207" i="2"/>
  <c r="S55" i="5" s="1"/>
  <c r="M202" i="2"/>
  <c r="L202" i="2"/>
  <c r="S50" i="5" s="1"/>
  <c r="M198" i="2"/>
  <c r="L198" i="2"/>
  <c r="S46" i="5" s="1"/>
  <c r="M194" i="2"/>
  <c r="L194" i="2"/>
  <c r="S42" i="5" s="1"/>
  <c r="M190" i="2"/>
  <c r="L190" i="2"/>
  <c r="S38" i="5" s="1"/>
  <c r="L935" i="2"/>
  <c r="BQ61" i="5" s="1"/>
  <c r="M935" i="2"/>
  <c r="L931" i="2"/>
  <c r="BQ57" i="5" s="1"/>
  <c r="M931" i="2"/>
  <c r="L925" i="2"/>
  <c r="BQ51" i="5" s="1"/>
  <c r="M925" i="2"/>
  <c r="L919" i="2"/>
  <c r="BQ45" i="5" s="1"/>
  <c r="M919" i="2"/>
  <c r="L915" i="2"/>
  <c r="BQ41" i="5" s="1"/>
  <c r="M915" i="2"/>
  <c r="L910" i="2"/>
  <c r="BQ36" i="5" s="1"/>
  <c r="M910" i="2"/>
  <c r="M503" i="2"/>
  <c r="L503" i="2"/>
  <c r="AM61" i="5" s="1"/>
  <c r="M499" i="2"/>
  <c r="L499" i="2"/>
  <c r="AM57" i="5" s="1"/>
  <c r="M495" i="2"/>
  <c r="L495" i="2"/>
  <c r="AM53" i="5" s="1"/>
  <c r="M491" i="2"/>
  <c r="L491" i="2"/>
  <c r="AM49" i="5" s="1"/>
  <c r="M487" i="2"/>
  <c r="L487" i="2"/>
  <c r="AM45" i="5" s="1"/>
  <c r="M483" i="2"/>
  <c r="L483" i="2"/>
  <c r="AM41" i="5" s="1"/>
  <c r="M478" i="2"/>
  <c r="L478" i="2"/>
  <c r="AM36" i="5" s="1"/>
  <c r="M423" i="2"/>
  <c r="L423" i="2"/>
  <c r="AH59" i="5" s="1"/>
  <c r="M419" i="2"/>
  <c r="L419" i="2"/>
  <c r="AH55" i="5" s="1"/>
  <c r="M415" i="2"/>
  <c r="L415" i="2"/>
  <c r="AH51" i="5" s="1"/>
  <c r="M411" i="2"/>
  <c r="L411" i="2"/>
  <c r="AH47" i="5" s="1"/>
  <c r="M407" i="2"/>
  <c r="L407" i="2"/>
  <c r="AH43" i="5" s="1"/>
  <c r="M403" i="2"/>
  <c r="L403" i="2"/>
  <c r="AH39" i="5" s="1"/>
  <c r="L399" i="2"/>
  <c r="AH35" i="5" s="1"/>
  <c r="M399" i="2"/>
  <c r="M281" i="2"/>
  <c r="L281" i="2"/>
  <c r="X60" i="5" s="1"/>
  <c r="M277" i="2"/>
  <c r="L277" i="2"/>
  <c r="X56" i="5" s="1"/>
  <c r="X52" i="5"/>
  <c r="M269" i="2"/>
  <c r="L269" i="2"/>
  <c r="X48" i="5" s="1"/>
  <c r="M265" i="2"/>
  <c r="L265" i="2"/>
  <c r="X44" i="5" s="1"/>
  <c r="M261" i="2"/>
  <c r="L261" i="2"/>
  <c r="X40" i="5" s="1"/>
  <c r="M860" i="2"/>
  <c r="L860" i="2"/>
  <c r="BL58" i="5" s="1"/>
  <c r="M856" i="2"/>
  <c r="L856" i="2"/>
  <c r="BL54" i="5" s="1"/>
  <c r="M851" i="2"/>
  <c r="L851" i="2"/>
  <c r="BL49" i="5" s="1"/>
  <c r="M847" i="2"/>
  <c r="L847" i="2"/>
  <c r="BL45" i="5" s="1"/>
  <c r="M843" i="2"/>
  <c r="L843" i="2"/>
  <c r="BL41" i="5" s="1"/>
  <c r="M838" i="2"/>
  <c r="L838" i="2"/>
  <c r="BL36" i="5" s="1"/>
  <c r="L717" i="2"/>
  <c r="BB58" i="5" s="1"/>
  <c r="M717" i="2"/>
  <c r="L713" i="2"/>
  <c r="BB54" i="5" s="1"/>
  <c r="M713" i="2"/>
  <c r="M704" i="2"/>
  <c r="L704" i="2"/>
  <c r="BB45" i="5" s="1"/>
  <c r="M700" i="2"/>
  <c r="L700" i="2"/>
  <c r="BB41" i="5" s="1"/>
  <c r="L695" i="2"/>
  <c r="BB36" i="5" s="1"/>
  <c r="M695" i="2"/>
  <c r="M649" i="2"/>
  <c r="L649" i="2"/>
  <c r="AW61" i="5" s="1"/>
  <c r="M645" i="2"/>
  <c r="L645" i="2"/>
  <c r="AW57" i="5" s="1"/>
  <c r="M641" i="2"/>
  <c r="L641" i="2"/>
  <c r="AW53" i="5" s="1"/>
  <c r="M637" i="2"/>
  <c r="L637" i="2"/>
  <c r="AW49" i="5" s="1"/>
  <c r="M633" i="2"/>
  <c r="L633" i="2"/>
  <c r="AW45" i="5" s="1"/>
  <c r="M629" i="2"/>
  <c r="L629" i="2"/>
  <c r="AW41" i="5" s="1"/>
  <c r="M624" i="2"/>
  <c r="L624" i="2"/>
  <c r="AW36" i="5" s="1"/>
  <c r="L576" i="2"/>
  <c r="AR58" i="5" s="1"/>
  <c r="M576" i="2"/>
  <c r="L572" i="2"/>
  <c r="AR54" i="5" s="1"/>
  <c r="M572" i="2"/>
  <c r="L568" i="2"/>
  <c r="AR50" i="5" s="1"/>
  <c r="M568" i="2"/>
  <c r="L564" i="2"/>
  <c r="AR46" i="5" s="1"/>
  <c r="M564" i="2"/>
  <c r="L560" i="2"/>
  <c r="AR42" i="5" s="1"/>
  <c r="M560" i="2"/>
  <c r="L556" i="2"/>
  <c r="AR38" i="5" s="1"/>
  <c r="M556" i="2"/>
  <c r="M152" i="4"/>
  <c r="H13" i="4"/>
  <c r="L152" i="4"/>
  <c r="L862" i="2"/>
  <c r="BL60" i="5" s="1"/>
  <c r="M862" i="2"/>
  <c r="M708" i="2"/>
  <c r="L708" i="2"/>
  <c r="BB49" i="5" s="1"/>
  <c r="M52" i="2"/>
  <c r="L52" i="2"/>
  <c r="I49" i="5" s="1"/>
  <c r="H53" i="4" l="1"/>
  <c r="H58" i="11"/>
  <c r="H66" i="11" s="1"/>
  <c r="X39" i="5"/>
  <c r="M351" i="2"/>
  <c r="L351" i="2"/>
  <c r="AC58" i="5" s="1"/>
  <c r="M347" i="2"/>
  <c r="L347" i="2"/>
  <c r="AC54" i="5" s="1"/>
  <c r="M343" i="2"/>
  <c r="L343" i="2"/>
  <c r="AC50" i="5" s="1"/>
  <c r="M339" i="2"/>
  <c r="L339" i="2"/>
  <c r="AC46" i="5" s="1"/>
  <c r="M335" i="2"/>
  <c r="L335" i="2"/>
  <c r="AC42" i="5" s="1"/>
  <c r="M331" i="2"/>
  <c r="L331" i="2"/>
  <c r="AC38" i="5" s="1"/>
  <c r="L130" i="2"/>
  <c r="N58" i="5" s="1"/>
  <c r="M130" i="2"/>
  <c r="M123" i="2"/>
  <c r="L123" i="2"/>
  <c r="N51" i="5" s="1"/>
  <c r="M119" i="2"/>
  <c r="L119" i="2"/>
  <c r="N47" i="5" s="1"/>
  <c r="M115" i="2"/>
  <c r="L115" i="2"/>
  <c r="N43" i="5" s="1"/>
  <c r="M111" i="2"/>
  <c r="L111" i="2"/>
  <c r="N39" i="5" s="1"/>
  <c r="M107" i="2"/>
  <c r="L107" i="2"/>
  <c r="N35" i="5" s="1"/>
  <c r="M354" i="2"/>
  <c r="L354" i="2"/>
  <c r="AC61" i="5" s="1"/>
  <c r="M350" i="2"/>
  <c r="L350" i="2"/>
  <c r="AC57" i="5" s="1"/>
  <c r="M346" i="2"/>
  <c r="L346" i="2"/>
  <c r="AC53" i="5" s="1"/>
  <c r="M342" i="2"/>
  <c r="L342" i="2"/>
  <c r="AC49" i="5" s="1"/>
  <c r="M338" i="2"/>
  <c r="L338" i="2"/>
  <c r="AC45" i="5" s="1"/>
  <c r="M334" i="2"/>
  <c r="L334" i="2"/>
  <c r="AC41" i="5" s="1"/>
  <c r="M329" i="2"/>
  <c r="L329" i="2"/>
  <c r="AC36" i="5" s="1"/>
  <c r="M133" i="2"/>
  <c r="L133" i="2"/>
  <c r="N61" i="5" s="1"/>
  <c r="M129" i="2"/>
  <c r="L129" i="2"/>
  <c r="N57" i="5" s="1"/>
  <c r="L122" i="2"/>
  <c r="N50" i="5" s="1"/>
  <c r="M122" i="2"/>
  <c r="L118" i="2"/>
  <c r="N46" i="5" s="1"/>
  <c r="M118" i="2"/>
  <c r="L114" i="2"/>
  <c r="N42" i="5" s="1"/>
  <c r="M114" i="2"/>
  <c r="L110" i="2"/>
  <c r="N38" i="5" s="1"/>
  <c r="M110" i="2"/>
  <c r="H189" i="4"/>
  <c r="L353" i="2"/>
  <c r="AC60" i="5" s="1"/>
  <c r="M353" i="2"/>
  <c r="L349" i="2"/>
  <c r="AC56" i="5" s="1"/>
  <c r="M349" i="2"/>
  <c r="L345" i="2"/>
  <c r="AC52" i="5" s="1"/>
  <c r="M345" i="2"/>
  <c r="L341" i="2"/>
  <c r="AC48" i="5" s="1"/>
  <c r="M341" i="2"/>
  <c r="L337" i="2"/>
  <c r="AC44" i="5" s="1"/>
  <c r="M337" i="2"/>
  <c r="L333" i="2"/>
  <c r="AC40" i="5" s="1"/>
  <c r="M333" i="2"/>
  <c r="L328" i="2"/>
  <c r="AC35" i="5" s="1"/>
  <c r="M328" i="2"/>
  <c r="M127" i="2"/>
  <c r="L127" i="2"/>
  <c r="N55" i="5" s="1"/>
  <c r="M121" i="2"/>
  <c r="L121" i="2"/>
  <c r="N49" i="5" s="1"/>
  <c r="M117" i="2"/>
  <c r="L117" i="2"/>
  <c r="N45" i="5" s="1"/>
  <c r="M113" i="2"/>
  <c r="L113" i="2"/>
  <c r="N41" i="5" s="1"/>
  <c r="O606" i="2"/>
  <c r="H187" i="4"/>
  <c r="L352" i="2"/>
  <c r="AC59" i="5" s="1"/>
  <c r="M352" i="2"/>
  <c r="L348" i="2"/>
  <c r="AC55" i="5" s="1"/>
  <c r="M348" i="2"/>
  <c r="L344" i="2"/>
  <c r="AC51" i="5" s="1"/>
  <c r="M344" i="2"/>
  <c r="L340" i="2"/>
  <c r="AC47" i="5" s="1"/>
  <c r="M340" i="2"/>
  <c r="L336" i="2"/>
  <c r="AC43" i="5" s="1"/>
  <c r="M336" i="2"/>
  <c r="L332" i="2"/>
  <c r="AC39" i="5" s="1"/>
  <c r="M332" i="2"/>
  <c r="M131" i="2"/>
  <c r="L131" i="2"/>
  <c r="N59" i="5" s="1"/>
  <c r="M120" i="2"/>
  <c r="L120" i="2"/>
  <c r="N48" i="5" s="1"/>
  <c r="M116" i="2"/>
  <c r="L116" i="2"/>
  <c r="N44" i="5" s="1"/>
  <c r="M112" i="2"/>
  <c r="L112" i="2"/>
  <c r="N40" i="5" s="1"/>
  <c r="M108" i="2"/>
  <c r="L108" i="2"/>
  <c r="N36" i="5" s="1"/>
  <c r="H188" i="4"/>
  <c r="M883" i="2"/>
  <c r="L883" i="2"/>
  <c r="H58" i="4"/>
  <c r="V152" i="4"/>
  <c r="H15" i="4"/>
  <c r="H17" i="4" s="1"/>
  <c r="H59" i="4"/>
  <c r="H54" i="4"/>
  <c r="M697" i="2"/>
  <c r="L697" i="2"/>
  <c r="BB38" i="5" s="1"/>
  <c r="H85" i="4"/>
  <c r="L132" i="2"/>
  <c r="N60" i="5" s="1"/>
  <c r="M132" i="2"/>
  <c r="H148" i="4"/>
  <c r="M46" i="2"/>
  <c r="L46" i="2"/>
  <c r="I43" i="5" s="1"/>
  <c r="L476" i="2"/>
  <c r="AM34" i="5" s="1"/>
  <c r="L475" i="2"/>
  <c r="AM33" i="5" s="1"/>
  <c r="L474" i="2"/>
  <c r="AM32" i="5" s="1"/>
  <c r="L473" i="2"/>
  <c r="AM31" i="5" s="1"/>
  <c r="L472" i="2"/>
  <c r="AM30" i="5" s="1"/>
  <c r="L471" i="2"/>
  <c r="AM29" i="5" s="1"/>
  <c r="L470" i="2"/>
  <c r="AM28" i="5" s="1"/>
  <c r="L469" i="2"/>
  <c r="AM27" i="5" s="1"/>
  <c r="L468" i="2"/>
  <c r="AM26" i="5" s="1"/>
  <c r="L467" i="2"/>
  <c r="AM25" i="5" s="1"/>
  <c r="L466" i="2"/>
  <c r="AM24" i="5" s="1"/>
  <c r="L465" i="2"/>
  <c r="AM23" i="5" s="1"/>
  <c r="L464" i="2"/>
  <c r="AM22" i="5" s="1"/>
  <c r="L463" i="2"/>
  <c r="AM21" i="5" s="1"/>
  <c r="L462" i="2"/>
  <c r="AM20" i="5" s="1"/>
  <c r="L461" i="2"/>
  <c r="AM19" i="5" s="1"/>
  <c r="L460" i="2"/>
  <c r="AM18" i="5" s="1"/>
  <c r="L459" i="2"/>
  <c r="AM17" i="5" s="1"/>
  <c r="L458" i="2"/>
  <c r="AM16" i="5" s="1"/>
  <c r="L457" i="2"/>
  <c r="AM15" i="5" s="1"/>
  <c r="L456" i="2"/>
  <c r="AM14" i="5" s="1"/>
  <c r="L455" i="2"/>
  <c r="AM13" i="5" s="1"/>
  <c r="L454" i="2"/>
  <c r="AM12" i="5" s="1"/>
  <c r="L453" i="2"/>
  <c r="AM11" i="5" s="1"/>
  <c r="L452" i="2"/>
  <c r="AM10" i="5" s="1"/>
  <c r="L451" i="2"/>
  <c r="H192" i="4" l="1"/>
  <c r="BQ9" i="5"/>
  <c r="U897" i="2"/>
  <c r="Q897" i="2"/>
  <c r="T897" i="2"/>
  <c r="P897" i="2"/>
  <c r="S897" i="2"/>
  <c r="O897" i="2"/>
  <c r="V897" i="2"/>
  <c r="R897" i="2"/>
  <c r="O890" i="2"/>
  <c r="O888" i="2"/>
  <c r="AM9" i="5"/>
  <c r="T465" i="2"/>
  <c r="P465" i="2"/>
  <c r="S465" i="2"/>
  <c r="O465" i="2"/>
  <c r="V465" i="2"/>
  <c r="R465" i="2"/>
  <c r="U465" i="2"/>
  <c r="Q465" i="2"/>
  <c r="H60" i="4"/>
  <c r="H56" i="4"/>
  <c r="H118" i="4"/>
  <c r="H124" i="4" s="1"/>
  <c r="H149" i="4"/>
  <c r="H155" i="4" s="1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P189" i="4" l="1"/>
  <c r="P18" i="11"/>
  <c r="Q189" i="4"/>
  <c r="Q18" i="11"/>
  <c r="U189" i="4"/>
  <c r="U18" i="11"/>
  <c r="N18" i="11"/>
  <c r="N189" i="4"/>
  <c r="R18" i="11"/>
  <c r="R189" i="4"/>
  <c r="T189" i="4"/>
  <c r="T18" i="11"/>
  <c r="S189" i="4"/>
  <c r="S18" i="11"/>
  <c r="O18" i="11"/>
  <c r="O189" i="4"/>
  <c r="H61" i="4"/>
  <c r="BQ98" i="5"/>
  <c r="BQ99" i="5"/>
  <c r="BQ94" i="5"/>
  <c r="BQ100" i="5"/>
  <c r="BQ101" i="5"/>
  <c r="BQ96" i="5"/>
  <c r="BQ97" i="5"/>
  <c r="BQ95" i="5"/>
  <c r="O456" i="2"/>
  <c r="J18" i="11" s="1"/>
  <c r="L18" i="11" s="1"/>
  <c r="O458" i="2"/>
  <c r="K18" i="11" s="1"/>
  <c r="M18" i="11" s="1"/>
  <c r="AM100" i="5"/>
  <c r="AM95" i="5"/>
  <c r="AM96" i="5"/>
  <c r="AM98" i="5"/>
  <c r="AM97" i="5"/>
  <c r="AM94" i="5"/>
  <c r="AM99" i="5"/>
  <c r="AM101" i="5"/>
  <c r="O889" i="2"/>
  <c r="M11" i="4"/>
  <c r="O891" i="2"/>
  <c r="H86" i="4"/>
  <c r="H91" i="4" s="1"/>
  <c r="L836" i="2"/>
  <c r="BL34" i="5" s="1"/>
  <c r="L835" i="2"/>
  <c r="BL33" i="5" s="1"/>
  <c r="L834" i="2"/>
  <c r="BL32" i="5" s="1"/>
  <c r="L833" i="2"/>
  <c r="BL31" i="5" s="1"/>
  <c r="L832" i="2"/>
  <c r="BL30" i="5" s="1"/>
  <c r="L830" i="2"/>
  <c r="BL28" i="5" s="1"/>
  <c r="L828" i="2"/>
  <c r="BL26" i="5" s="1"/>
  <c r="L826" i="2"/>
  <c r="BL24" i="5" s="1"/>
  <c r="L824" i="2"/>
  <c r="L823" i="2"/>
  <c r="BL21" i="5" s="1"/>
  <c r="L822" i="2"/>
  <c r="BL20" i="5" s="1"/>
  <c r="L821" i="2"/>
  <c r="BL19" i="5" s="1"/>
  <c r="L819" i="2"/>
  <c r="BL17" i="5" s="1"/>
  <c r="L817" i="2"/>
  <c r="BL15" i="5" s="1"/>
  <c r="L815" i="2"/>
  <c r="BL13" i="5" s="1"/>
  <c r="L813" i="2"/>
  <c r="BL11" i="5" s="1"/>
  <c r="L812" i="2"/>
  <c r="BL10" i="5" s="1"/>
  <c r="L768" i="2"/>
  <c r="BG34" i="5" s="1"/>
  <c r="L767" i="2"/>
  <c r="BG33" i="5" s="1"/>
  <c r="L766" i="2"/>
  <c r="BG32" i="5" s="1"/>
  <c r="L765" i="2"/>
  <c r="BG31" i="5" s="1"/>
  <c r="L763" i="2"/>
  <c r="BG29" i="5" s="1"/>
  <c r="L761" i="2"/>
  <c r="BG27" i="5" s="1"/>
  <c r="L759" i="2"/>
  <c r="BG25" i="5" s="1"/>
  <c r="L757" i="2"/>
  <c r="BG23" i="5" s="1"/>
  <c r="L755" i="2"/>
  <c r="BG21" i="5" s="1"/>
  <c r="L754" i="2"/>
  <c r="BG20" i="5" s="1"/>
  <c r="L753" i="2"/>
  <c r="BG19" i="5" s="1"/>
  <c r="L751" i="2"/>
  <c r="BG17" i="5" s="1"/>
  <c r="L749" i="2"/>
  <c r="BG15" i="5" s="1"/>
  <c r="L747" i="2"/>
  <c r="BG13" i="5" s="1"/>
  <c r="L745" i="2"/>
  <c r="BG11" i="5" s="1"/>
  <c r="L744" i="2"/>
  <c r="BG10" i="5" s="1"/>
  <c r="L743" i="2"/>
  <c r="L693" i="2"/>
  <c r="BB34" i="5" s="1"/>
  <c r="L692" i="2"/>
  <c r="BB33" i="5" s="1"/>
  <c r="L691" i="2"/>
  <c r="BB32" i="5" s="1"/>
  <c r="L690" i="2"/>
  <c r="BB31" i="5" s="1"/>
  <c r="L688" i="2"/>
  <c r="BB29" i="5" s="1"/>
  <c r="L686" i="2"/>
  <c r="BB27" i="5" s="1"/>
  <c r="L684" i="2"/>
  <c r="BB25" i="5" s="1"/>
  <c r="L682" i="2"/>
  <c r="BB23" i="5" s="1"/>
  <c r="L681" i="2"/>
  <c r="BB22" i="5" s="1"/>
  <c r="L680" i="2"/>
  <c r="BB21" i="5" s="1"/>
  <c r="L679" i="2"/>
  <c r="BB20" i="5" s="1"/>
  <c r="L678" i="2"/>
  <c r="BB19" i="5" s="1"/>
  <c r="L676" i="2"/>
  <c r="BB17" i="5" s="1"/>
  <c r="L674" i="2"/>
  <c r="BB15" i="5" s="1"/>
  <c r="L672" i="2"/>
  <c r="BB13" i="5" s="1"/>
  <c r="L670" i="2"/>
  <c r="BB11" i="5" s="1"/>
  <c r="L669" i="2"/>
  <c r="BB10" i="5" s="1"/>
  <c r="L622" i="2"/>
  <c r="AW34" i="5" s="1"/>
  <c r="L621" i="2"/>
  <c r="AW33" i="5" s="1"/>
  <c r="L620" i="2"/>
  <c r="AW32" i="5" s="1"/>
  <c r="L619" i="2"/>
  <c r="AW31" i="5" s="1"/>
  <c r="L618" i="2"/>
  <c r="AW30" i="5" s="1"/>
  <c r="L616" i="2"/>
  <c r="AW28" i="5" s="1"/>
  <c r="L614" i="2"/>
  <c r="AW26" i="5" s="1"/>
  <c r="L612" i="2"/>
  <c r="AW24" i="5" s="1"/>
  <c r="L610" i="2"/>
  <c r="AW22" i="5" s="1"/>
  <c r="L609" i="2"/>
  <c r="AW21" i="5" s="1"/>
  <c r="L608" i="2"/>
  <c r="AW20" i="5" s="1"/>
  <c r="L607" i="2"/>
  <c r="AW19" i="5" s="1"/>
  <c r="L605" i="2"/>
  <c r="AW17" i="5" s="1"/>
  <c r="L603" i="2"/>
  <c r="AW15" i="5" s="1"/>
  <c r="L601" i="2"/>
  <c r="AW13" i="5" s="1"/>
  <c r="L599" i="2"/>
  <c r="AW11" i="5" s="1"/>
  <c r="L598" i="2"/>
  <c r="AW10" i="5" s="1"/>
  <c r="L597" i="2"/>
  <c r="L552" i="2"/>
  <c r="AR34" i="5" s="1"/>
  <c r="L551" i="2"/>
  <c r="AR33" i="5" s="1"/>
  <c r="L550" i="2"/>
  <c r="AR32" i="5" s="1"/>
  <c r="L548" i="2"/>
  <c r="AR30" i="5" s="1"/>
  <c r="L546" i="2"/>
  <c r="AR28" i="5" s="1"/>
  <c r="L544" i="2"/>
  <c r="AR26" i="5" s="1"/>
  <c r="L542" i="2"/>
  <c r="AR24" i="5" s="1"/>
  <c r="L541" i="2"/>
  <c r="AR23" i="5" s="1"/>
  <c r="L540" i="2"/>
  <c r="AR22" i="5" s="1"/>
  <c r="L539" i="2"/>
  <c r="AR21" i="5" s="1"/>
  <c r="L538" i="2"/>
  <c r="AR20" i="5" s="1"/>
  <c r="L537" i="2"/>
  <c r="AR19" i="5" s="1"/>
  <c r="L535" i="2"/>
  <c r="AR17" i="5" s="1"/>
  <c r="L533" i="2"/>
  <c r="AR15" i="5" s="1"/>
  <c r="L531" i="2"/>
  <c r="AR13" i="5" s="1"/>
  <c r="L529" i="2"/>
  <c r="AR11" i="5" s="1"/>
  <c r="L528" i="2"/>
  <c r="AR10" i="5" s="1"/>
  <c r="L398" i="2"/>
  <c r="AH34" i="5" s="1"/>
  <c r="L397" i="2"/>
  <c r="AH33" i="5" s="1"/>
  <c r="L396" i="2"/>
  <c r="AH32" i="5" s="1"/>
  <c r="M395" i="2"/>
  <c r="L393" i="2"/>
  <c r="AH29" i="5" s="1"/>
  <c r="L391" i="2"/>
  <c r="AH27" i="5" s="1"/>
  <c r="L389" i="2"/>
  <c r="AH25" i="5" s="1"/>
  <c r="L382" i="2"/>
  <c r="AH18" i="5" s="1"/>
  <c r="L380" i="2"/>
  <c r="AH16" i="5" s="1"/>
  <c r="L378" i="2"/>
  <c r="AH14" i="5" s="1"/>
  <c r="L376" i="2"/>
  <c r="AH12" i="5" s="1"/>
  <c r="L324" i="2"/>
  <c r="AC31" i="5" s="1"/>
  <c r="L322" i="2"/>
  <c r="AC29" i="5" s="1"/>
  <c r="L320" i="2"/>
  <c r="AC27" i="5" s="1"/>
  <c r="L318" i="2"/>
  <c r="AC25" i="5" s="1"/>
  <c r="L311" i="2"/>
  <c r="AC18" i="5" s="1"/>
  <c r="L309" i="2"/>
  <c r="AC16" i="5" s="1"/>
  <c r="L307" i="2"/>
  <c r="AC14" i="5" s="1"/>
  <c r="L305" i="2"/>
  <c r="AC12" i="5" s="1"/>
  <c r="L254" i="2"/>
  <c r="X33" i="5" s="1"/>
  <c r="L252" i="2"/>
  <c r="X31" i="5" s="1"/>
  <c r="L250" i="2"/>
  <c r="X29" i="5" s="1"/>
  <c r="L248" i="2"/>
  <c r="X27" i="5" s="1"/>
  <c r="L240" i="2"/>
  <c r="X19" i="5" s="1"/>
  <c r="L238" i="2"/>
  <c r="X17" i="5" s="1"/>
  <c r="L236" i="2"/>
  <c r="X15" i="5" s="1"/>
  <c r="L234" i="2"/>
  <c r="X13" i="5" s="1"/>
  <c r="L185" i="2"/>
  <c r="S33" i="5" s="1"/>
  <c r="L183" i="2"/>
  <c r="S31" i="5" s="1"/>
  <c r="L181" i="2"/>
  <c r="S29" i="5" s="1"/>
  <c r="L179" i="2"/>
  <c r="S27" i="5" s="1"/>
  <c r="L170" i="2"/>
  <c r="S18" i="5" s="1"/>
  <c r="L168" i="2"/>
  <c r="S16" i="5" s="1"/>
  <c r="L166" i="2"/>
  <c r="S14" i="5" s="1"/>
  <c r="L164" i="2"/>
  <c r="S12" i="5" s="1"/>
  <c r="L102" i="2"/>
  <c r="N30" i="5" s="1"/>
  <c r="L100" i="2"/>
  <c r="N28" i="5" s="1"/>
  <c r="L98" i="2"/>
  <c r="N26" i="5" s="1"/>
  <c r="L96" i="2"/>
  <c r="N24" i="5" s="1"/>
  <c r="L90" i="2"/>
  <c r="N18" i="5" s="1"/>
  <c r="L88" i="2"/>
  <c r="N16" i="5" s="1"/>
  <c r="L86" i="2"/>
  <c r="N14" i="5" s="1"/>
  <c r="L84" i="2"/>
  <c r="N12" i="5" s="1"/>
  <c r="L35" i="2"/>
  <c r="I32" i="5" s="1"/>
  <c r="L33" i="2"/>
  <c r="I30" i="5" s="1"/>
  <c r="L31" i="2"/>
  <c r="I28" i="5" s="1"/>
  <c r="L29" i="2"/>
  <c r="I26" i="5" s="1"/>
  <c r="L20" i="2"/>
  <c r="I17" i="5" s="1"/>
  <c r="L18" i="2"/>
  <c r="I15" i="5" s="1"/>
  <c r="L16" i="2"/>
  <c r="I13" i="5" s="1"/>
  <c r="L14" i="2"/>
  <c r="I11" i="5" s="1"/>
  <c r="V189" i="4" l="1"/>
  <c r="V194" i="11"/>
  <c r="V18" i="11"/>
  <c r="BL22" i="5"/>
  <c r="P826" i="2"/>
  <c r="BG9" i="5"/>
  <c r="AW9" i="5"/>
  <c r="V11" i="4"/>
  <c r="K189" i="4"/>
  <c r="M189" i="4" s="1"/>
  <c r="J189" i="4"/>
  <c r="L189" i="4" s="1"/>
  <c r="M88" i="4"/>
  <c r="J13" i="4"/>
  <c r="L13" i="4" s="1"/>
  <c r="Q16" i="4"/>
  <c r="P16" i="4"/>
  <c r="J16" i="4"/>
  <c r="L16" i="4" s="1"/>
  <c r="M87" i="4"/>
  <c r="O16" i="4"/>
  <c r="N16" i="4"/>
  <c r="J89" i="4"/>
  <c r="L89" i="4" s="1"/>
  <c r="J58" i="4"/>
  <c r="L58" i="4" s="1"/>
  <c r="J191" i="4"/>
  <c r="L191" i="4" s="1"/>
  <c r="C94" i="4"/>
  <c r="J190" i="4"/>
  <c r="J119" i="4"/>
  <c r="L119" i="4" s="1"/>
  <c r="K13" i="4"/>
  <c r="M13" i="4" s="1"/>
  <c r="T16" i="4"/>
  <c r="K16" i="4"/>
  <c r="M16" i="4" s="1"/>
  <c r="L88" i="4"/>
  <c r="S16" i="4"/>
  <c r="R16" i="4"/>
  <c r="K89" i="4"/>
  <c r="M89" i="4" s="1"/>
  <c r="K58" i="4"/>
  <c r="M58" i="4" s="1"/>
  <c r="K191" i="4"/>
  <c r="M191" i="4" s="1"/>
  <c r="U16" i="4"/>
  <c r="K119" i="4"/>
  <c r="M119" i="4" s="1"/>
  <c r="K15" i="4"/>
  <c r="M15" i="4" s="1"/>
  <c r="J15" i="4"/>
  <c r="L15" i="4" s="1"/>
  <c r="K190" i="4"/>
  <c r="K14" i="4"/>
  <c r="J59" i="4"/>
  <c r="L59" i="4" s="1"/>
  <c r="K59" i="4"/>
  <c r="M59" i="4" s="1"/>
  <c r="K151" i="4"/>
  <c r="M151" i="4" s="1"/>
  <c r="O455" i="2"/>
  <c r="O531" i="2"/>
  <c r="O672" i="2"/>
  <c r="M397" i="2"/>
  <c r="L527" i="2"/>
  <c r="O601" i="2"/>
  <c r="L668" i="2"/>
  <c r="L811" i="2"/>
  <c r="O826" i="2" s="1"/>
  <c r="M15" i="2"/>
  <c r="L15" i="2"/>
  <c r="I12" i="5" s="1"/>
  <c r="M19" i="2"/>
  <c r="L19" i="2"/>
  <c r="I16" i="5" s="1"/>
  <c r="M22" i="2"/>
  <c r="L22" i="2"/>
  <c r="I19" i="5" s="1"/>
  <c r="M24" i="2"/>
  <c r="L24" i="2"/>
  <c r="I21" i="5" s="1"/>
  <c r="M26" i="2"/>
  <c r="L26" i="2"/>
  <c r="I23" i="5" s="1"/>
  <c r="M28" i="2"/>
  <c r="L28" i="2"/>
  <c r="I25" i="5" s="1"/>
  <c r="M36" i="2"/>
  <c r="L36" i="2"/>
  <c r="I33" i="5" s="1"/>
  <c r="M81" i="2"/>
  <c r="L81" i="2"/>
  <c r="M83" i="2"/>
  <c r="L83" i="2"/>
  <c r="N11" i="5" s="1"/>
  <c r="M85" i="2"/>
  <c r="L85" i="2"/>
  <c r="N13" i="5" s="1"/>
  <c r="M92" i="2"/>
  <c r="L92" i="2"/>
  <c r="N20" i="5" s="1"/>
  <c r="M97" i="2"/>
  <c r="L97" i="2"/>
  <c r="N25" i="5" s="1"/>
  <c r="M101" i="2"/>
  <c r="L101" i="2"/>
  <c r="N29" i="5" s="1"/>
  <c r="M104" i="2"/>
  <c r="L104" i="2"/>
  <c r="N32" i="5" s="1"/>
  <c r="M106" i="2"/>
  <c r="L106" i="2"/>
  <c r="N34" i="5" s="1"/>
  <c r="M162" i="2"/>
  <c r="L162" i="2"/>
  <c r="S10" i="5" s="1"/>
  <c r="M167" i="2"/>
  <c r="L167" i="2"/>
  <c r="S15" i="5" s="1"/>
  <c r="M171" i="2"/>
  <c r="L171" i="2"/>
  <c r="S19" i="5" s="1"/>
  <c r="M173" i="2"/>
  <c r="L173" i="2"/>
  <c r="S21" i="5" s="1"/>
  <c r="M175" i="2"/>
  <c r="L175" i="2"/>
  <c r="S23" i="5" s="1"/>
  <c r="M177" i="2"/>
  <c r="L177" i="2"/>
  <c r="S25" i="5" s="1"/>
  <c r="M180" i="2"/>
  <c r="L180" i="2"/>
  <c r="S28" i="5" s="1"/>
  <c r="M184" i="2"/>
  <c r="L184" i="2"/>
  <c r="S32" i="5" s="1"/>
  <c r="M232" i="2"/>
  <c r="L232" i="2"/>
  <c r="X11" i="5" s="1"/>
  <c r="M237" i="2"/>
  <c r="L237" i="2"/>
  <c r="X16" i="5" s="1"/>
  <c r="M241" i="2"/>
  <c r="L241" i="2"/>
  <c r="X20" i="5" s="1"/>
  <c r="M243" i="2"/>
  <c r="L243" i="2"/>
  <c r="X22" i="5" s="1"/>
  <c r="M245" i="2"/>
  <c r="L245" i="2"/>
  <c r="X24" i="5" s="1"/>
  <c r="M247" i="2"/>
  <c r="L247" i="2"/>
  <c r="X26" i="5" s="1"/>
  <c r="M251" i="2"/>
  <c r="L251" i="2"/>
  <c r="M255" i="2"/>
  <c r="L255" i="2"/>
  <c r="X34" i="5" s="1"/>
  <c r="M302" i="2"/>
  <c r="L302" i="2"/>
  <c r="AC9" i="5" s="1"/>
  <c r="M304" i="2"/>
  <c r="L304" i="2"/>
  <c r="AC11" i="5" s="1"/>
  <c r="M306" i="2"/>
  <c r="L306" i="2"/>
  <c r="AC13" i="5" s="1"/>
  <c r="M310" i="2"/>
  <c r="L310" i="2"/>
  <c r="AC17" i="5" s="1"/>
  <c r="M313" i="2"/>
  <c r="L313" i="2"/>
  <c r="AC20" i="5" s="1"/>
  <c r="M315" i="2"/>
  <c r="L315" i="2"/>
  <c r="AC22" i="5" s="1"/>
  <c r="M317" i="2"/>
  <c r="L317" i="2"/>
  <c r="AC24" i="5" s="1"/>
  <c r="M321" i="2"/>
  <c r="L321" i="2"/>
  <c r="AC28" i="5" s="1"/>
  <c r="M325" i="2"/>
  <c r="L325" i="2"/>
  <c r="AC32" i="5" s="1"/>
  <c r="M327" i="2"/>
  <c r="L327" i="2"/>
  <c r="AC34" i="5" s="1"/>
  <c r="M374" i="2"/>
  <c r="L374" i="2"/>
  <c r="AH10" i="5" s="1"/>
  <c r="M379" i="2"/>
  <c r="L379" i="2"/>
  <c r="AH15" i="5" s="1"/>
  <c r="M383" i="2"/>
  <c r="L383" i="2"/>
  <c r="AH19" i="5" s="1"/>
  <c r="M385" i="2"/>
  <c r="L385" i="2"/>
  <c r="AH21" i="5" s="1"/>
  <c r="M387" i="2"/>
  <c r="L387" i="2"/>
  <c r="AH23" i="5" s="1"/>
  <c r="M390" i="2"/>
  <c r="L390" i="2"/>
  <c r="AH26" i="5" s="1"/>
  <c r="M394" i="2"/>
  <c r="L394" i="2"/>
  <c r="AH30" i="5" s="1"/>
  <c r="M32" i="2"/>
  <c r="L32" i="2"/>
  <c r="I29" i="5" s="1"/>
  <c r="M17" i="2"/>
  <c r="L17" i="2"/>
  <c r="I14" i="5" s="1"/>
  <c r="M21" i="2"/>
  <c r="L21" i="2"/>
  <c r="I18" i="5" s="1"/>
  <c r="M23" i="2"/>
  <c r="L23" i="2"/>
  <c r="I20" i="5" s="1"/>
  <c r="M25" i="2"/>
  <c r="L25" i="2"/>
  <c r="I22" i="5" s="1"/>
  <c r="M27" i="2"/>
  <c r="L27" i="2"/>
  <c r="I24" i="5" s="1"/>
  <c r="M30" i="2"/>
  <c r="L30" i="2"/>
  <c r="I27" i="5" s="1"/>
  <c r="M34" i="2"/>
  <c r="L34" i="2"/>
  <c r="I31" i="5" s="1"/>
  <c r="M37" i="2"/>
  <c r="L37" i="2"/>
  <c r="I34" i="5" s="1"/>
  <c r="M87" i="2"/>
  <c r="L87" i="2"/>
  <c r="N15" i="5" s="1"/>
  <c r="M91" i="2"/>
  <c r="L91" i="2"/>
  <c r="N19" i="5" s="1"/>
  <c r="M93" i="2"/>
  <c r="L93" i="2"/>
  <c r="N21" i="5" s="1"/>
  <c r="M95" i="2"/>
  <c r="L95" i="2"/>
  <c r="N23" i="5" s="1"/>
  <c r="M99" i="2"/>
  <c r="L99" i="2"/>
  <c r="N27" i="5" s="1"/>
  <c r="M103" i="2"/>
  <c r="L103" i="2"/>
  <c r="N31" i="5" s="1"/>
  <c r="M105" i="2"/>
  <c r="L105" i="2"/>
  <c r="N33" i="5" s="1"/>
  <c r="M161" i="2"/>
  <c r="L161" i="2"/>
  <c r="S9" i="5" s="1"/>
  <c r="M163" i="2"/>
  <c r="L163" i="2"/>
  <c r="S11" i="5" s="1"/>
  <c r="M165" i="2"/>
  <c r="L165" i="2"/>
  <c r="S13" i="5" s="1"/>
  <c r="M169" i="2"/>
  <c r="L169" i="2"/>
  <c r="S17" i="5" s="1"/>
  <c r="M172" i="2"/>
  <c r="L172" i="2"/>
  <c r="S20" i="5" s="1"/>
  <c r="M174" i="2"/>
  <c r="L174" i="2"/>
  <c r="S22" i="5" s="1"/>
  <c r="M176" i="2"/>
  <c r="L176" i="2"/>
  <c r="S24" i="5" s="1"/>
  <c r="M178" i="2"/>
  <c r="L178" i="2"/>
  <c r="S26" i="5" s="1"/>
  <c r="M182" i="2"/>
  <c r="L182" i="2"/>
  <c r="S30" i="5" s="1"/>
  <c r="M186" i="2"/>
  <c r="L186" i="2"/>
  <c r="S34" i="5" s="1"/>
  <c r="M231" i="2"/>
  <c r="L231" i="2"/>
  <c r="X10" i="5" s="1"/>
  <c r="M233" i="2"/>
  <c r="L233" i="2"/>
  <c r="X12" i="5" s="1"/>
  <c r="M235" i="2"/>
  <c r="L235" i="2"/>
  <c r="X14" i="5" s="1"/>
  <c r="M239" i="2"/>
  <c r="L239" i="2"/>
  <c r="X18" i="5" s="1"/>
  <c r="M242" i="2"/>
  <c r="L242" i="2"/>
  <c r="X21" i="5" s="1"/>
  <c r="M244" i="2"/>
  <c r="L244" i="2"/>
  <c r="X23" i="5" s="1"/>
  <c r="M246" i="2"/>
  <c r="L246" i="2"/>
  <c r="X25" i="5" s="1"/>
  <c r="M249" i="2"/>
  <c r="L249" i="2"/>
  <c r="X28" i="5" s="1"/>
  <c r="M253" i="2"/>
  <c r="L253" i="2"/>
  <c r="X32" i="5" s="1"/>
  <c r="M256" i="2"/>
  <c r="L256" i="2"/>
  <c r="X35" i="5" s="1"/>
  <c r="M303" i="2"/>
  <c r="L303" i="2"/>
  <c r="AC10" i="5" s="1"/>
  <c r="M308" i="2"/>
  <c r="L308" i="2"/>
  <c r="AC15" i="5" s="1"/>
  <c r="M312" i="2"/>
  <c r="L312" i="2"/>
  <c r="AC19" i="5" s="1"/>
  <c r="M314" i="2"/>
  <c r="L314" i="2"/>
  <c r="AC21" i="5" s="1"/>
  <c r="M316" i="2"/>
  <c r="L316" i="2"/>
  <c r="AC23" i="5" s="1"/>
  <c r="M319" i="2"/>
  <c r="L319" i="2"/>
  <c r="AC26" i="5" s="1"/>
  <c r="M323" i="2"/>
  <c r="L323" i="2"/>
  <c r="AC30" i="5" s="1"/>
  <c r="M326" i="2"/>
  <c r="L326" i="2"/>
  <c r="AC33" i="5" s="1"/>
  <c r="M373" i="2"/>
  <c r="L373" i="2"/>
  <c r="AH9" i="5" s="1"/>
  <c r="M375" i="2"/>
  <c r="L375" i="2"/>
  <c r="AH11" i="5" s="1"/>
  <c r="M377" i="2"/>
  <c r="L377" i="2"/>
  <c r="AH13" i="5" s="1"/>
  <c r="M381" i="2"/>
  <c r="L381" i="2"/>
  <c r="AH17" i="5" s="1"/>
  <c r="M384" i="2"/>
  <c r="L384" i="2"/>
  <c r="AH20" i="5" s="1"/>
  <c r="M386" i="2"/>
  <c r="L386" i="2"/>
  <c r="AH22" i="5" s="1"/>
  <c r="M388" i="2"/>
  <c r="L388" i="2"/>
  <c r="AH24" i="5" s="1"/>
  <c r="M392" i="2"/>
  <c r="L392" i="2"/>
  <c r="AH28" i="5" s="1"/>
  <c r="M530" i="2"/>
  <c r="L530" i="2"/>
  <c r="AR12" i="5" s="1"/>
  <c r="M532" i="2"/>
  <c r="L532" i="2"/>
  <c r="AR14" i="5" s="1"/>
  <c r="M536" i="2"/>
  <c r="L536" i="2"/>
  <c r="AR18" i="5" s="1"/>
  <c r="M545" i="2"/>
  <c r="L545" i="2"/>
  <c r="AR27" i="5" s="1"/>
  <c r="M549" i="2"/>
  <c r="L549" i="2"/>
  <c r="AR31" i="5" s="1"/>
  <c r="M604" i="2"/>
  <c r="L604" i="2"/>
  <c r="AW16" i="5" s="1"/>
  <c r="M611" i="2"/>
  <c r="L611" i="2"/>
  <c r="AW23" i="5" s="1"/>
  <c r="M615" i="2"/>
  <c r="L615" i="2"/>
  <c r="AW27" i="5" s="1"/>
  <c r="M671" i="2"/>
  <c r="L671" i="2"/>
  <c r="BB12" i="5" s="1"/>
  <c r="M673" i="2"/>
  <c r="L673" i="2"/>
  <c r="BB14" i="5" s="1"/>
  <c r="M677" i="2"/>
  <c r="L677" i="2"/>
  <c r="BB18" i="5" s="1"/>
  <c r="M685" i="2"/>
  <c r="L685" i="2"/>
  <c r="BB26" i="5" s="1"/>
  <c r="M689" i="2"/>
  <c r="L689" i="2"/>
  <c r="BB30" i="5" s="1"/>
  <c r="M750" i="2"/>
  <c r="L750" i="2"/>
  <c r="BG16" i="5" s="1"/>
  <c r="M758" i="2"/>
  <c r="L758" i="2"/>
  <c r="BG24" i="5" s="1"/>
  <c r="M762" i="2"/>
  <c r="L762" i="2"/>
  <c r="BG28" i="5" s="1"/>
  <c r="M814" i="2"/>
  <c r="L814" i="2"/>
  <c r="BL12" i="5" s="1"/>
  <c r="M816" i="2"/>
  <c r="L816" i="2"/>
  <c r="BL14" i="5" s="1"/>
  <c r="M820" i="2"/>
  <c r="L820" i="2"/>
  <c r="BL18" i="5" s="1"/>
  <c r="M827" i="2"/>
  <c r="L827" i="2"/>
  <c r="BL25" i="5" s="1"/>
  <c r="M831" i="2"/>
  <c r="L831" i="2"/>
  <c r="BL29" i="5" s="1"/>
  <c r="M534" i="2"/>
  <c r="L534" i="2"/>
  <c r="AR16" i="5" s="1"/>
  <c r="M543" i="2"/>
  <c r="L543" i="2"/>
  <c r="AR25" i="5" s="1"/>
  <c r="M547" i="2"/>
  <c r="L547" i="2"/>
  <c r="AR29" i="5" s="1"/>
  <c r="M600" i="2"/>
  <c r="L600" i="2"/>
  <c r="AW12" i="5" s="1"/>
  <c r="M602" i="2"/>
  <c r="L602" i="2"/>
  <c r="AW14" i="5" s="1"/>
  <c r="M606" i="2"/>
  <c r="L606" i="2"/>
  <c r="AW18" i="5" s="1"/>
  <c r="M613" i="2"/>
  <c r="L613" i="2"/>
  <c r="AW25" i="5" s="1"/>
  <c r="M617" i="2"/>
  <c r="L617" i="2"/>
  <c r="AW29" i="5" s="1"/>
  <c r="M675" i="2"/>
  <c r="L675" i="2"/>
  <c r="BB16" i="5" s="1"/>
  <c r="M683" i="2"/>
  <c r="L683" i="2"/>
  <c r="BB24" i="5" s="1"/>
  <c r="M687" i="2"/>
  <c r="L687" i="2"/>
  <c r="BB28" i="5" s="1"/>
  <c r="M746" i="2"/>
  <c r="L746" i="2"/>
  <c r="BG12" i="5" s="1"/>
  <c r="M748" i="2"/>
  <c r="L748" i="2"/>
  <c r="BG14" i="5" s="1"/>
  <c r="M752" i="2"/>
  <c r="L752" i="2"/>
  <c r="BG18" i="5" s="1"/>
  <c r="M760" i="2"/>
  <c r="L760" i="2"/>
  <c r="BG26" i="5" s="1"/>
  <c r="M764" i="2"/>
  <c r="L764" i="2"/>
  <c r="BG30" i="5" s="1"/>
  <c r="M818" i="2"/>
  <c r="L818" i="2"/>
  <c r="BL16" i="5" s="1"/>
  <c r="M825" i="2"/>
  <c r="L825" i="2"/>
  <c r="BL23" i="5" s="1"/>
  <c r="M829" i="2"/>
  <c r="L829" i="2"/>
  <c r="BL27" i="5" s="1"/>
  <c r="O15" i="2"/>
  <c r="M14" i="2"/>
  <c r="M16" i="2"/>
  <c r="M18" i="2"/>
  <c r="M20" i="2"/>
  <c r="M29" i="2"/>
  <c r="M31" i="2"/>
  <c r="M33" i="2"/>
  <c r="M35" i="2"/>
  <c r="O85" i="2"/>
  <c r="M84" i="2"/>
  <c r="M86" i="2"/>
  <c r="M88" i="2"/>
  <c r="M90" i="2"/>
  <c r="M96" i="2"/>
  <c r="M98" i="2"/>
  <c r="M100" i="2"/>
  <c r="M102" i="2"/>
  <c r="O165" i="2"/>
  <c r="M164" i="2"/>
  <c r="M166" i="2"/>
  <c r="M168" i="2"/>
  <c r="M170" i="2"/>
  <c r="M179" i="2"/>
  <c r="M181" i="2"/>
  <c r="M183" i="2"/>
  <c r="M185" i="2"/>
  <c r="O235" i="2"/>
  <c r="M234" i="2"/>
  <c r="M236" i="2"/>
  <c r="M238" i="2"/>
  <c r="M240" i="2"/>
  <c r="M248" i="2"/>
  <c r="M250" i="2"/>
  <c r="M252" i="2"/>
  <c r="M254" i="2"/>
  <c r="O306" i="2"/>
  <c r="M305" i="2"/>
  <c r="M307" i="2"/>
  <c r="M309" i="2"/>
  <c r="M311" i="2"/>
  <c r="M318" i="2"/>
  <c r="M320" i="2"/>
  <c r="M322" i="2"/>
  <c r="M324" i="2"/>
  <c r="O377" i="2"/>
  <c r="M376" i="2"/>
  <c r="M378" i="2"/>
  <c r="M380" i="2"/>
  <c r="M382" i="2"/>
  <c r="M389" i="2"/>
  <c r="M391" i="2"/>
  <c r="M393" i="2"/>
  <c r="L395" i="2"/>
  <c r="AH31" i="5" s="1"/>
  <c r="M396" i="2"/>
  <c r="M398" i="2"/>
  <c r="M527" i="2"/>
  <c r="M528" i="2"/>
  <c r="M529" i="2"/>
  <c r="M531" i="2"/>
  <c r="M533" i="2"/>
  <c r="M535" i="2"/>
  <c r="M537" i="2"/>
  <c r="M538" i="2"/>
  <c r="M539" i="2"/>
  <c r="M540" i="2"/>
  <c r="M541" i="2"/>
  <c r="M542" i="2"/>
  <c r="M544" i="2"/>
  <c r="M546" i="2"/>
  <c r="M548" i="2"/>
  <c r="M550" i="2"/>
  <c r="M551" i="2"/>
  <c r="M552" i="2"/>
  <c r="M597" i="2"/>
  <c r="M598" i="2"/>
  <c r="M599" i="2"/>
  <c r="M601" i="2"/>
  <c r="M603" i="2"/>
  <c r="M605" i="2"/>
  <c r="M607" i="2"/>
  <c r="M608" i="2"/>
  <c r="M609" i="2"/>
  <c r="M610" i="2"/>
  <c r="M612" i="2"/>
  <c r="M614" i="2"/>
  <c r="M616" i="2"/>
  <c r="M618" i="2"/>
  <c r="M619" i="2"/>
  <c r="M620" i="2"/>
  <c r="M621" i="2"/>
  <c r="M622" i="2"/>
  <c r="M668" i="2"/>
  <c r="M669" i="2"/>
  <c r="M670" i="2"/>
  <c r="M672" i="2"/>
  <c r="M674" i="2"/>
  <c r="M676" i="2"/>
  <c r="M678" i="2"/>
  <c r="M679" i="2"/>
  <c r="M680" i="2"/>
  <c r="M681" i="2"/>
  <c r="M682" i="2"/>
  <c r="M684" i="2"/>
  <c r="M686" i="2"/>
  <c r="M688" i="2"/>
  <c r="M690" i="2"/>
  <c r="M691" i="2"/>
  <c r="M692" i="2"/>
  <c r="M693" i="2"/>
  <c r="M743" i="2"/>
  <c r="M744" i="2"/>
  <c r="M745" i="2"/>
  <c r="M747" i="2"/>
  <c r="M749" i="2"/>
  <c r="M751" i="2"/>
  <c r="M753" i="2"/>
  <c r="M754" i="2"/>
  <c r="M755" i="2"/>
  <c r="M757" i="2"/>
  <c r="M759" i="2"/>
  <c r="M761" i="2"/>
  <c r="M763" i="2"/>
  <c r="M765" i="2"/>
  <c r="M766" i="2"/>
  <c r="M767" i="2"/>
  <c r="M768" i="2"/>
  <c r="M811" i="2"/>
  <c r="M812" i="2"/>
  <c r="M813" i="2"/>
  <c r="M815" i="2"/>
  <c r="M817" i="2"/>
  <c r="M819" i="2"/>
  <c r="M821" i="2"/>
  <c r="M822" i="2"/>
  <c r="M823" i="2"/>
  <c r="M824" i="2"/>
  <c r="M826" i="2"/>
  <c r="M828" i="2"/>
  <c r="M830" i="2"/>
  <c r="M832" i="2"/>
  <c r="M833" i="2"/>
  <c r="M834" i="2"/>
  <c r="M835" i="2"/>
  <c r="M836" i="2"/>
  <c r="O307" i="2" l="1"/>
  <c r="J123" i="11" s="1"/>
  <c r="U826" i="2"/>
  <c r="R826" i="2"/>
  <c r="V826" i="2"/>
  <c r="T826" i="2"/>
  <c r="Q826" i="2"/>
  <c r="S826" i="2"/>
  <c r="R60" i="11" s="1"/>
  <c r="O16" i="2"/>
  <c r="J153" i="11" s="1"/>
  <c r="L153" i="11" s="1"/>
  <c r="S55" i="4"/>
  <c r="S60" i="11"/>
  <c r="U60" i="11"/>
  <c r="U55" i="4"/>
  <c r="O818" i="2"/>
  <c r="K60" i="11" s="1"/>
  <c r="M60" i="11" s="1"/>
  <c r="O816" i="2"/>
  <c r="J60" i="11" s="1"/>
  <c r="L60" i="11" s="1"/>
  <c r="P60" i="11"/>
  <c r="P55" i="4"/>
  <c r="Q55" i="4"/>
  <c r="Q60" i="11"/>
  <c r="N60" i="11"/>
  <c r="N55" i="4"/>
  <c r="O55" i="4"/>
  <c r="O60" i="11"/>
  <c r="T55" i="4"/>
  <c r="T60" i="11"/>
  <c r="L123" i="11"/>
  <c r="J129" i="11"/>
  <c r="X30" i="5"/>
  <c r="V244" i="2"/>
  <c r="O238" i="2"/>
  <c r="K90" i="11" s="1"/>
  <c r="O236" i="2"/>
  <c r="J90" i="11" s="1"/>
  <c r="O534" i="2"/>
  <c r="K17" i="11" s="1"/>
  <c r="O532" i="2"/>
  <c r="J17" i="11" s="1"/>
  <c r="O166" i="2"/>
  <c r="O167" i="2" s="1"/>
  <c r="L10" i="11" s="1"/>
  <c r="V541" i="2"/>
  <c r="R541" i="2"/>
  <c r="U541" i="2"/>
  <c r="Q541" i="2"/>
  <c r="T541" i="2"/>
  <c r="P541" i="2"/>
  <c r="S541" i="2"/>
  <c r="O541" i="2"/>
  <c r="O88" i="2"/>
  <c r="AH101" i="5"/>
  <c r="AH97" i="5"/>
  <c r="AH100" i="5"/>
  <c r="AH96" i="5"/>
  <c r="AH99" i="5"/>
  <c r="AH95" i="5"/>
  <c r="AH98" i="5"/>
  <c r="AH94" i="5"/>
  <c r="N9" i="5"/>
  <c r="N101" i="5" s="1"/>
  <c r="T95" i="2"/>
  <c r="P95" i="2"/>
  <c r="S95" i="2"/>
  <c r="O95" i="2"/>
  <c r="V95" i="2"/>
  <c r="R95" i="2"/>
  <c r="U95" i="2"/>
  <c r="Q95" i="2"/>
  <c r="O86" i="2"/>
  <c r="X97" i="5"/>
  <c r="X95" i="5"/>
  <c r="X100" i="5"/>
  <c r="X98" i="5"/>
  <c r="X96" i="5"/>
  <c r="X94" i="5"/>
  <c r="X101" i="5"/>
  <c r="X99" i="5"/>
  <c r="O673" i="2"/>
  <c r="O675" i="2"/>
  <c r="BB9" i="5"/>
  <c r="V682" i="2"/>
  <c r="R682" i="2"/>
  <c r="U682" i="2"/>
  <c r="Q682" i="2"/>
  <c r="T682" i="2"/>
  <c r="P682" i="2"/>
  <c r="S682" i="2"/>
  <c r="O682" i="2"/>
  <c r="S758" i="2"/>
  <c r="R12" i="4" s="1"/>
  <c r="U758" i="2"/>
  <c r="T12" i="4" s="1"/>
  <c r="P758" i="2"/>
  <c r="O12" i="4" s="1"/>
  <c r="R758" i="2"/>
  <c r="Q12" i="4" s="1"/>
  <c r="T758" i="2"/>
  <c r="S12" i="4" s="1"/>
  <c r="V758" i="2"/>
  <c r="U12" i="4" s="1"/>
  <c r="O758" i="2"/>
  <c r="N12" i="4" s="1"/>
  <c r="Q758" i="2"/>
  <c r="P12" i="4" s="1"/>
  <c r="O750" i="2"/>
  <c r="O748" i="2"/>
  <c r="BG94" i="5"/>
  <c r="BG100" i="5"/>
  <c r="BG99" i="5"/>
  <c r="BG96" i="5"/>
  <c r="BG95" i="5"/>
  <c r="BG101" i="5"/>
  <c r="BG98" i="5"/>
  <c r="BG97" i="5"/>
  <c r="AR9" i="5"/>
  <c r="S101" i="5"/>
  <c r="S96" i="5"/>
  <c r="S97" i="5"/>
  <c r="S99" i="5"/>
  <c r="S98" i="5"/>
  <c r="S95" i="5"/>
  <c r="S94" i="5"/>
  <c r="S100" i="5"/>
  <c r="I100" i="5"/>
  <c r="I99" i="5"/>
  <c r="I101" i="5"/>
  <c r="I97" i="5"/>
  <c r="I96" i="5"/>
  <c r="I94" i="5"/>
  <c r="I95" i="5"/>
  <c r="I98" i="5"/>
  <c r="BL9" i="5"/>
  <c r="AC98" i="5"/>
  <c r="AC97" i="5"/>
  <c r="AC94" i="5"/>
  <c r="AC96" i="5"/>
  <c r="AC99" i="5"/>
  <c r="AC100" i="5"/>
  <c r="AC95" i="5"/>
  <c r="AC101" i="5"/>
  <c r="S612" i="2"/>
  <c r="V612" i="2"/>
  <c r="R612" i="2"/>
  <c r="Q612" i="2"/>
  <c r="P612" i="2"/>
  <c r="U612" i="2"/>
  <c r="O612" i="2"/>
  <c r="T612" i="2"/>
  <c r="AW100" i="5"/>
  <c r="AW96" i="5"/>
  <c r="AW97" i="5"/>
  <c r="AW101" i="5"/>
  <c r="AW98" i="5"/>
  <c r="AW95" i="5"/>
  <c r="AW99" i="5"/>
  <c r="AW94" i="5"/>
  <c r="T386" i="2"/>
  <c r="P386" i="2"/>
  <c r="S386" i="2"/>
  <c r="O386" i="2"/>
  <c r="Q386" i="2"/>
  <c r="V386" i="2"/>
  <c r="R386" i="2"/>
  <c r="U386" i="2"/>
  <c r="O378" i="2"/>
  <c r="O380" i="2"/>
  <c r="V25" i="2"/>
  <c r="V314" i="2"/>
  <c r="R314" i="2"/>
  <c r="O314" i="2"/>
  <c r="U314" i="2"/>
  <c r="Q314" i="2"/>
  <c r="S314" i="2"/>
  <c r="T314" i="2"/>
  <c r="P314" i="2"/>
  <c r="Y25" i="2"/>
  <c r="U25" i="2"/>
  <c r="T244" i="2"/>
  <c r="P244" i="2"/>
  <c r="Q244" i="2"/>
  <c r="S244" i="2"/>
  <c r="O244" i="2"/>
  <c r="U244" i="2"/>
  <c r="R244" i="2"/>
  <c r="T175" i="2"/>
  <c r="P175" i="2"/>
  <c r="Q175" i="2"/>
  <c r="S175" i="2"/>
  <c r="O175" i="2"/>
  <c r="U175" i="2"/>
  <c r="V175" i="2"/>
  <c r="R175" i="2"/>
  <c r="O309" i="2"/>
  <c r="O308" i="2"/>
  <c r="S25" i="2"/>
  <c r="W25" i="2"/>
  <c r="O18" i="2"/>
  <c r="O239" i="2"/>
  <c r="O168" i="2"/>
  <c r="K10" i="11" s="1"/>
  <c r="M10" i="11" s="1"/>
  <c r="R25" i="2"/>
  <c r="T25" i="2"/>
  <c r="X25" i="2"/>
  <c r="O17" i="2"/>
  <c r="O604" i="2"/>
  <c r="V87" i="4"/>
  <c r="O602" i="2"/>
  <c r="K86" i="4"/>
  <c r="M86" i="4" s="1"/>
  <c r="K60" i="4"/>
  <c r="M60" i="4" s="1"/>
  <c r="V190" i="4"/>
  <c r="L190" i="4"/>
  <c r="V89" i="4"/>
  <c r="V13" i="4"/>
  <c r="V88" i="4"/>
  <c r="J86" i="4"/>
  <c r="L86" i="4" s="1"/>
  <c r="J151" i="4"/>
  <c r="L151" i="4" s="1"/>
  <c r="J60" i="4"/>
  <c r="L60" i="4" s="1"/>
  <c r="V90" i="4"/>
  <c r="V191" i="4"/>
  <c r="V58" i="4"/>
  <c r="L14" i="4"/>
  <c r="M190" i="4"/>
  <c r="M14" i="4"/>
  <c r="V14" i="4"/>
  <c r="V59" i="4"/>
  <c r="K57" i="4"/>
  <c r="M57" i="4" s="1"/>
  <c r="J57" i="4"/>
  <c r="L57" i="4" s="1"/>
  <c r="K56" i="4"/>
  <c r="M56" i="4" s="1"/>
  <c r="J56" i="4"/>
  <c r="L56" i="4" s="1"/>
  <c r="O459" i="2"/>
  <c r="R59" i="11" l="1"/>
  <c r="R54" i="4"/>
  <c r="O676" i="2"/>
  <c r="K59" i="11"/>
  <c r="M59" i="11" s="1"/>
  <c r="O674" i="2"/>
  <c r="J59" i="11"/>
  <c r="L59" i="11" s="1"/>
  <c r="O59" i="11"/>
  <c r="O54" i="4"/>
  <c r="N54" i="4"/>
  <c r="N59" i="11"/>
  <c r="S59" i="11"/>
  <c r="S54" i="4"/>
  <c r="R55" i="4"/>
  <c r="O533" i="2"/>
  <c r="P54" i="4"/>
  <c r="P59" i="11"/>
  <c r="O535" i="2"/>
  <c r="T54" i="4"/>
  <c r="T59" i="11"/>
  <c r="Q59" i="11"/>
  <c r="Q54" i="4"/>
  <c r="U59" i="11"/>
  <c r="U54" i="4"/>
  <c r="U61" i="4" s="1"/>
  <c r="V60" i="11"/>
  <c r="J55" i="4"/>
  <c r="L55" i="4" s="1"/>
  <c r="O603" i="2"/>
  <c r="J58" i="11"/>
  <c r="T58" i="11"/>
  <c r="T53" i="4"/>
  <c r="U53" i="4"/>
  <c r="U58" i="11"/>
  <c r="O58" i="11"/>
  <c r="O53" i="4"/>
  <c r="R58" i="11"/>
  <c r="R66" i="11" s="1"/>
  <c r="R53" i="4"/>
  <c r="R61" i="4" s="1"/>
  <c r="O605" i="2"/>
  <c r="K58" i="11"/>
  <c r="S58" i="11"/>
  <c r="S53" i="4"/>
  <c r="P58" i="11"/>
  <c r="P66" i="11" s="1"/>
  <c r="P53" i="4"/>
  <c r="N58" i="11"/>
  <c r="N53" i="4"/>
  <c r="Q53" i="4"/>
  <c r="Q58" i="11"/>
  <c r="Q66" i="11" s="1"/>
  <c r="O381" i="2"/>
  <c r="K16" i="11"/>
  <c r="M16" i="11" s="1"/>
  <c r="U16" i="11"/>
  <c r="U187" i="4"/>
  <c r="O16" i="11"/>
  <c r="O187" i="4"/>
  <c r="O379" i="2"/>
  <c r="J16" i="11"/>
  <c r="L16" i="11" s="1"/>
  <c r="P16" i="11"/>
  <c r="P187" i="4"/>
  <c r="S16" i="11"/>
  <c r="S187" i="4"/>
  <c r="T16" i="11"/>
  <c r="T187" i="4"/>
  <c r="N187" i="4"/>
  <c r="N16" i="11"/>
  <c r="Q16" i="11"/>
  <c r="Q187" i="4"/>
  <c r="R187" i="4"/>
  <c r="R16" i="11"/>
  <c r="T123" i="11"/>
  <c r="T129" i="11" s="1"/>
  <c r="T118" i="4"/>
  <c r="T124" i="4" s="1"/>
  <c r="S123" i="11"/>
  <c r="S129" i="11" s="1"/>
  <c r="S118" i="4"/>
  <c r="S124" i="4" s="1"/>
  <c r="N118" i="4"/>
  <c r="N124" i="4" s="1"/>
  <c r="N123" i="11"/>
  <c r="O123" i="11"/>
  <c r="O129" i="11" s="1"/>
  <c r="O118" i="4"/>
  <c r="O124" i="4" s="1"/>
  <c r="O310" i="2"/>
  <c r="K123" i="11"/>
  <c r="R123" i="11"/>
  <c r="R129" i="11" s="1"/>
  <c r="R118" i="4"/>
  <c r="R124" i="4" s="1"/>
  <c r="Q118" i="4"/>
  <c r="Q124" i="4" s="1"/>
  <c r="Q123" i="11"/>
  <c r="Q129" i="11" s="1"/>
  <c r="P123" i="11"/>
  <c r="P129" i="11" s="1"/>
  <c r="P118" i="4"/>
  <c r="P124" i="4" s="1"/>
  <c r="U118" i="4"/>
  <c r="U124" i="4" s="1"/>
  <c r="U123" i="11"/>
  <c r="U129" i="11" s="1"/>
  <c r="L129" i="11"/>
  <c r="M134" i="11" s="1"/>
  <c r="E10" i="6"/>
  <c r="D134" i="11"/>
  <c r="O237" i="2"/>
  <c r="L90" i="11"/>
  <c r="J96" i="11"/>
  <c r="K96" i="11"/>
  <c r="M90" i="11"/>
  <c r="U90" i="11"/>
  <c r="U96" i="11" s="1"/>
  <c r="U85" i="4"/>
  <c r="U91" i="4" s="1"/>
  <c r="N10" i="4"/>
  <c r="N10" i="11"/>
  <c r="R10" i="4"/>
  <c r="R17" i="4" s="1"/>
  <c r="R10" i="11"/>
  <c r="P10" i="4"/>
  <c r="P10" i="11"/>
  <c r="J10" i="4"/>
  <c r="J10" i="11"/>
  <c r="J22" i="11" s="1"/>
  <c r="S10" i="4"/>
  <c r="S10" i="11"/>
  <c r="Q10" i="4"/>
  <c r="Q10" i="11"/>
  <c r="U10" i="4"/>
  <c r="U10" i="11"/>
  <c r="T10" i="4"/>
  <c r="T10" i="11"/>
  <c r="O10" i="4"/>
  <c r="O10" i="11"/>
  <c r="S153" i="11"/>
  <c r="S148" i="4"/>
  <c r="U153" i="11"/>
  <c r="U148" i="4"/>
  <c r="T153" i="11"/>
  <c r="T148" i="4"/>
  <c r="R153" i="11"/>
  <c r="R148" i="4"/>
  <c r="O153" i="11"/>
  <c r="O148" i="4"/>
  <c r="P153" i="11"/>
  <c r="P148" i="4"/>
  <c r="N153" i="11"/>
  <c r="N148" i="4"/>
  <c r="O19" i="2"/>
  <c r="K153" i="11"/>
  <c r="M153" i="11" s="1"/>
  <c r="Q153" i="11"/>
  <c r="Q148" i="4"/>
  <c r="V148" i="4" s="1"/>
  <c r="U17" i="4"/>
  <c r="S17" i="11"/>
  <c r="S188" i="4"/>
  <c r="U188" i="4"/>
  <c r="U17" i="11"/>
  <c r="N17" i="11"/>
  <c r="N188" i="4"/>
  <c r="P188" i="4"/>
  <c r="P17" i="11"/>
  <c r="R17" i="11"/>
  <c r="R188" i="4"/>
  <c r="R192" i="4" s="1"/>
  <c r="T188" i="4"/>
  <c r="T17" i="11"/>
  <c r="L17" i="11"/>
  <c r="J197" i="11"/>
  <c r="O17" i="11"/>
  <c r="O188" i="4"/>
  <c r="O192" i="4" s="1"/>
  <c r="Q188" i="4"/>
  <c r="Q192" i="4" s="1"/>
  <c r="Q17" i="11"/>
  <c r="M17" i="11"/>
  <c r="Q85" i="4"/>
  <c r="Q91" i="4" s="1"/>
  <c r="Q90" i="11"/>
  <c r="Q96" i="11" s="1"/>
  <c r="P85" i="4"/>
  <c r="P91" i="4" s="1"/>
  <c r="P90" i="11"/>
  <c r="P96" i="11" s="1"/>
  <c r="T85" i="4"/>
  <c r="T91" i="4" s="1"/>
  <c r="T90" i="11"/>
  <c r="T96" i="11" s="1"/>
  <c r="O90" i="11"/>
  <c r="O96" i="11" s="1"/>
  <c r="O85" i="4"/>
  <c r="O91" i="4" s="1"/>
  <c r="N90" i="11"/>
  <c r="N85" i="4"/>
  <c r="N91" i="4" s="1"/>
  <c r="S90" i="11"/>
  <c r="S96" i="11" s="1"/>
  <c r="S85" i="4"/>
  <c r="S91" i="4" s="1"/>
  <c r="R90" i="11"/>
  <c r="R96" i="11" s="1"/>
  <c r="R85" i="4"/>
  <c r="R91" i="4" s="1"/>
  <c r="T154" i="11"/>
  <c r="T160" i="11" s="1"/>
  <c r="T149" i="4"/>
  <c r="T155" i="4" s="1"/>
  <c r="R154" i="11"/>
  <c r="R160" i="11" s="1"/>
  <c r="R149" i="4"/>
  <c r="O89" i="2"/>
  <c r="K154" i="11"/>
  <c r="Q149" i="4"/>
  <c r="Q154" i="11"/>
  <c r="O149" i="4"/>
  <c r="O155" i="4" s="1"/>
  <c r="O154" i="11"/>
  <c r="O160" i="11" s="1"/>
  <c r="O87" i="2"/>
  <c r="J154" i="11"/>
  <c r="U154" i="11"/>
  <c r="U160" i="11" s="1"/>
  <c r="U149" i="4"/>
  <c r="U155" i="4" s="1"/>
  <c r="S149" i="4"/>
  <c r="S155" i="4" s="1"/>
  <c r="S154" i="11"/>
  <c r="P154" i="11"/>
  <c r="P160" i="11" s="1"/>
  <c r="P149" i="4"/>
  <c r="P155" i="4" s="1"/>
  <c r="N154" i="11"/>
  <c r="N149" i="4"/>
  <c r="N155" i="4" s="1"/>
  <c r="O169" i="2"/>
  <c r="K10" i="4"/>
  <c r="M10" i="4" s="1"/>
  <c r="BL98" i="5"/>
  <c r="BL94" i="5"/>
  <c r="BL101" i="5"/>
  <c r="BL97" i="5"/>
  <c r="BL100" i="5"/>
  <c r="BL96" i="5"/>
  <c r="BL99" i="5"/>
  <c r="BL95" i="5"/>
  <c r="AR100" i="5"/>
  <c r="AR96" i="5"/>
  <c r="AR99" i="5"/>
  <c r="AR95" i="5"/>
  <c r="AR98" i="5"/>
  <c r="AR94" i="5"/>
  <c r="AR101" i="5"/>
  <c r="AR97" i="5"/>
  <c r="BB99" i="5"/>
  <c r="BB95" i="5"/>
  <c r="BB98" i="5"/>
  <c r="BB94" i="5"/>
  <c r="BB101" i="5"/>
  <c r="BB97" i="5"/>
  <c r="BB100" i="5"/>
  <c r="BB96" i="5"/>
  <c r="N100" i="5"/>
  <c r="N96" i="5"/>
  <c r="N99" i="5"/>
  <c r="N95" i="5"/>
  <c r="N98" i="5"/>
  <c r="N94" i="5"/>
  <c r="N97" i="5"/>
  <c r="O819" i="2"/>
  <c r="K55" i="4"/>
  <c r="M55" i="4" s="1"/>
  <c r="J53" i="4"/>
  <c r="L53" i="4" s="1"/>
  <c r="J187" i="4"/>
  <c r="J54" i="4"/>
  <c r="L54" i="4" s="1"/>
  <c r="N61" i="4"/>
  <c r="O61" i="4"/>
  <c r="V54" i="4"/>
  <c r="K187" i="4"/>
  <c r="K54" i="4"/>
  <c r="M54" i="4" s="1"/>
  <c r="P61" i="4"/>
  <c r="P17" i="4"/>
  <c r="J188" i="4"/>
  <c r="K53" i="4"/>
  <c r="M53" i="4" s="1"/>
  <c r="K188" i="4"/>
  <c r="O749" i="2"/>
  <c r="J12" i="4"/>
  <c r="L12" i="4" s="1"/>
  <c r="O751" i="2"/>
  <c r="K12" i="4"/>
  <c r="M12" i="4" s="1"/>
  <c r="V86" i="4"/>
  <c r="V60" i="4"/>
  <c r="V151" i="4"/>
  <c r="L10" i="4"/>
  <c r="V57" i="4"/>
  <c r="V56" i="4"/>
  <c r="V55" i="4"/>
  <c r="O817" i="2"/>
  <c r="J118" i="4"/>
  <c r="J124" i="4" s="1"/>
  <c r="L124" i="4" s="1"/>
  <c r="K118" i="4"/>
  <c r="K124" i="4" s="1"/>
  <c r="K85" i="4"/>
  <c r="M85" i="4" s="1"/>
  <c r="J85" i="4"/>
  <c r="J91" i="4" s="1"/>
  <c r="J149" i="4"/>
  <c r="L149" i="4" s="1"/>
  <c r="K149" i="4"/>
  <c r="K148" i="4"/>
  <c r="M148" i="4" s="1"/>
  <c r="J148" i="4"/>
  <c r="O457" i="2"/>
  <c r="Q61" i="4" l="1"/>
  <c r="O66" i="11"/>
  <c r="T192" i="4"/>
  <c r="U66" i="11"/>
  <c r="K197" i="11"/>
  <c r="P192" i="4"/>
  <c r="Q160" i="11"/>
  <c r="N192" i="4"/>
  <c r="Q155" i="4"/>
  <c r="K22" i="11"/>
  <c r="N25" i="11" s="1"/>
  <c r="T66" i="11"/>
  <c r="S61" i="4"/>
  <c r="S66" i="11"/>
  <c r="V59" i="11"/>
  <c r="S160" i="11"/>
  <c r="R155" i="4"/>
  <c r="S192" i="4"/>
  <c r="M58" i="11"/>
  <c r="K66" i="11"/>
  <c r="L58" i="11"/>
  <c r="J66" i="11"/>
  <c r="V58" i="11"/>
  <c r="N66" i="11"/>
  <c r="V66" i="11" s="1"/>
  <c r="V16" i="11"/>
  <c r="V192" i="11"/>
  <c r="G10" i="6"/>
  <c r="K129" i="11"/>
  <c r="M123" i="11"/>
  <c r="N129" i="11"/>
  <c r="V129" i="11" s="1"/>
  <c r="V123" i="11"/>
  <c r="F9" i="6"/>
  <c r="M96" i="11"/>
  <c r="H9" i="6" s="1"/>
  <c r="N99" i="11"/>
  <c r="E9" i="6"/>
  <c r="D100" i="11"/>
  <c r="L96" i="11"/>
  <c r="L22" i="11"/>
  <c r="G7" i="6" s="1"/>
  <c r="D27" i="11"/>
  <c r="E7" i="6"/>
  <c r="V10" i="11"/>
  <c r="V153" i="11"/>
  <c r="N22" i="11"/>
  <c r="V17" i="11"/>
  <c r="T197" i="11"/>
  <c r="T22" i="11"/>
  <c r="P197" i="11"/>
  <c r="P22" i="11"/>
  <c r="U197" i="11"/>
  <c r="U22" i="11"/>
  <c r="Q197" i="11"/>
  <c r="Q22" i="11"/>
  <c r="R197" i="11"/>
  <c r="R22" i="11"/>
  <c r="S197" i="11"/>
  <c r="S22" i="11"/>
  <c r="O197" i="11"/>
  <c r="O22" i="11"/>
  <c r="M188" i="4"/>
  <c r="K192" i="4"/>
  <c r="L188" i="4"/>
  <c r="J192" i="4"/>
  <c r="L197" i="11"/>
  <c r="M202" i="11" s="1"/>
  <c r="D202" i="11"/>
  <c r="N200" i="11"/>
  <c r="M197" i="11"/>
  <c r="V193" i="11"/>
  <c r="N197" i="11"/>
  <c r="V90" i="11"/>
  <c r="N96" i="11"/>
  <c r="V96" i="11" s="1"/>
  <c r="V155" i="4"/>
  <c r="L154" i="11"/>
  <c r="J160" i="11"/>
  <c r="E11" i="6" s="1"/>
  <c r="N160" i="11"/>
  <c r="V154" i="11"/>
  <c r="M149" i="4"/>
  <c r="K155" i="4"/>
  <c r="M154" i="11"/>
  <c r="K160" i="11"/>
  <c r="F11" i="6" s="1"/>
  <c r="L148" i="4"/>
  <c r="J155" i="4"/>
  <c r="N127" i="4"/>
  <c r="M124" i="4"/>
  <c r="D95" i="4"/>
  <c r="L85" i="4"/>
  <c r="T61" i="4"/>
  <c r="O17" i="4"/>
  <c r="V118" i="4"/>
  <c r="V149" i="4"/>
  <c r="V124" i="4"/>
  <c r="T17" i="4"/>
  <c r="Q17" i="4"/>
  <c r="S17" i="4"/>
  <c r="V188" i="4"/>
  <c r="V187" i="4"/>
  <c r="M187" i="4"/>
  <c r="V10" i="4"/>
  <c r="V53" i="4"/>
  <c r="L187" i="4"/>
  <c r="U192" i="4"/>
  <c r="V12" i="4"/>
  <c r="N17" i="4"/>
  <c r="J17" i="4"/>
  <c r="K17" i="4"/>
  <c r="K61" i="4"/>
  <c r="J61" i="4"/>
  <c r="M118" i="4"/>
  <c r="L118" i="4"/>
  <c r="K91" i="4"/>
  <c r="V91" i="4"/>
  <c r="V85" i="4"/>
  <c r="M22" i="11" l="1"/>
  <c r="H7" i="6" s="1"/>
  <c r="F7" i="6"/>
  <c r="V61" i="4"/>
  <c r="V160" i="11"/>
  <c r="M28" i="11"/>
  <c r="E8" i="6"/>
  <c r="D70" i="11"/>
  <c r="L66" i="11"/>
  <c r="F8" i="6"/>
  <c r="M66" i="11"/>
  <c r="H8" i="6" s="1"/>
  <c r="N69" i="11"/>
  <c r="F10" i="6"/>
  <c r="M129" i="11"/>
  <c r="H10" i="6" s="1"/>
  <c r="N132" i="11"/>
  <c r="M101" i="11"/>
  <c r="G9" i="6"/>
  <c r="V22" i="11"/>
  <c r="V197" i="11"/>
  <c r="D163" i="11"/>
  <c r="L160" i="11"/>
  <c r="G11" i="6" s="1"/>
  <c r="N162" i="11"/>
  <c r="M160" i="11"/>
  <c r="H11" i="6" s="1"/>
  <c r="L91" i="4"/>
  <c r="M96" i="4" s="1"/>
  <c r="V17" i="4"/>
  <c r="V192" i="4"/>
  <c r="D197" i="4"/>
  <c r="L192" i="4"/>
  <c r="N195" i="4"/>
  <c r="M192" i="4"/>
  <c r="N20" i="4"/>
  <c r="M17" i="4"/>
  <c r="L17" i="4"/>
  <c r="M23" i="4" s="1"/>
  <c r="D22" i="4"/>
  <c r="D65" i="4"/>
  <c r="L61" i="4"/>
  <c r="M66" i="4" s="1"/>
  <c r="N64" i="4"/>
  <c r="M61" i="4"/>
  <c r="D129" i="4"/>
  <c r="N94" i="4"/>
  <c r="M91" i="4"/>
  <c r="M155" i="4"/>
  <c r="N157" i="4"/>
  <c r="D158" i="4"/>
  <c r="L155" i="4"/>
  <c r="M71" i="11" l="1"/>
  <c r="G8" i="6"/>
  <c r="M197" i="4"/>
  <c r="D12" i="6" l="1"/>
  <c r="D14" i="6" s="1"/>
  <c r="E12" i="6" l="1"/>
  <c r="E14" i="6" s="1"/>
  <c r="G14" i="6" s="1"/>
  <c r="F12" i="6"/>
  <c r="F14" i="6" s="1"/>
  <c r="H14" i="6" s="1"/>
  <c r="H12" i="6" l="1"/>
  <c r="G12" i="6"/>
</calcChain>
</file>

<file path=xl/sharedStrings.xml><?xml version="1.0" encoding="utf-8"?>
<sst xmlns="http://schemas.openxmlformats.org/spreadsheetml/2006/main" count="10880" uniqueCount="1974">
  <si>
    <t>Catholic University of Cameroon, CATUC, Bamenda</t>
  </si>
  <si>
    <t>Department:</t>
  </si>
  <si>
    <t>Management</t>
  </si>
  <si>
    <t>Course Code</t>
  </si>
  <si>
    <t>Course Title</t>
  </si>
  <si>
    <t>Credit Value</t>
  </si>
  <si>
    <t>Lecturer</t>
  </si>
  <si>
    <t>Level: 1</t>
  </si>
  <si>
    <t>S/N</t>
  </si>
  <si>
    <t>MAT. NO</t>
  </si>
  <si>
    <t>NAME</t>
  </si>
  <si>
    <t>Exam Codes</t>
  </si>
  <si>
    <t xml:space="preserve"> Att/10</t>
  </si>
  <si>
    <t>CA/30</t>
  </si>
  <si>
    <t>Tot/40</t>
  </si>
  <si>
    <t>Exam/60</t>
  </si>
  <si>
    <t>Total/100</t>
  </si>
  <si>
    <t>Grades</t>
  </si>
  <si>
    <t>Remarks</t>
  </si>
  <si>
    <t>STATISTICS</t>
  </si>
  <si>
    <t>No. Registered</t>
  </si>
  <si>
    <t>No. Examined</t>
  </si>
  <si>
    <t>No . ABS</t>
  </si>
  <si>
    <t>No. Passed</t>
  </si>
  <si>
    <t>% Pass</t>
  </si>
  <si>
    <t>No. Failed</t>
  </si>
  <si>
    <t>% Failed</t>
  </si>
  <si>
    <t>Course Average</t>
  </si>
  <si>
    <t>A</t>
  </si>
  <si>
    <t>B+</t>
  </si>
  <si>
    <t>B</t>
  </si>
  <si>
    <t>C+</t>
  </si>
  <si>
    <t>C</t>
  </si>
  <si>
    <t>D+</t>
  </si>
  <si>
    <t>D</t>
  </si>
  <si>
    <t>F</t>
  </si>
  <si>
    <t>Faculty of Business and Management Science-HND</t>
  </si>
  <si>
    <t>Dr. Ngie Florence</t>
  </si>
  <si>
    <t>Accounting</t>
  </si>
  <si>
    <t>Total</t>
  </si>
  <si>
    <t>Mr. Ajong Jude</t>
  </si>
  <si>
    <t>Exam codes</t>
  </si>
  <si>
    <t>ALL DEPARTMENTS</t>
  </si>
  <si>
    <t>Mr. Youopouo Maurice</t>
  </si>
  <si>
    <t>Faculty of Business and Management Science</t>
  </si>
  <si>
    <t>Principles of Taxation</t>
  </si>
  <si>
    <t>Marketing</t>
  </si>
  <si>
    <t>BFI1101H</t>
  </si>
  <si>
    <t>Banking and Finance</t>
  </si>
  <si>
    <t>BFI1102H</t>
  </si>
  <si>
    <t>Principles of Finance</t>
  </si>
  <si>
    <t>INS1101H</t>
  </si>
  <si>
    <t>MGT1101H</t>
  </si>
  <si>
    <t>Principles of Management</t>
  </si>
  <si>
    <t>MKT1101H</t>
  </si>
  <si>
    <t>Principles of Marketing</t>
  </si>
  <si>
    <t>ECO1101H</t>
  </si>
  <si>
    <t>Principles of Micro-economics</t>
  </si>
  <si>
    <t>ECO1102H</t>
  </si>
  <si>
    <t>ACC1102H</t>
  </si>
  <si>
    <t>OHADA Financial Accounting I</t>
  </si>
  <si>
    <t>Mr Youopouo Maurice</t>
  </si>
  <si>
    <t>FRE1101H</t>
  </si>
  <si>
    <t>Functional French I</t>
  </si>
  <si>
    <t>ACC1101H</t>
  </si>
  <si>
    <t>Principles of Accounting</t>
  </si>
  <si>
    <t>Faculty of business &amp; Management Sciences-HND</t>
  </si>
  <si>
    <t>Functional French III</t>
  </si>
  <si>
    <t>Level: 2</t>
  </si>
  <si>
    <t>Common Course</t>
  </si>
  <si>
    <t>ENG 2101H</t>
  </si>
  <si>
    <t>Functional English III</t>
  </si>
  <si>
    <t>ECO 2102H</t>
  </si>
  <si>
    <t>ACC 2103H</t>
  </si>
  <si>
    <t>Cost &amp; Management Accounting II</t>
  </si>
  <si>
    <t>Computer Science</t>
  </si>
  <si>
    <t>ACC 2105H</t>
  </si>
  <si>
    <t>ECO 2101H</t>
  </si>
  <si>
    <t>Managerial Economics</t>
  </si>
  <si>
    <t>LAW 2101H</t>
  </si>
  <si>
    <t>Business / Company Law</t>
  </si>
  <si>
    <t>Mr. Ngwa Hedwig</t>
  </si>
  <si>
    <t>BFI 2102H</t>
  </si>
  <si>
    <t>Financial Accounting for Banks &amp; MFIs I</t>
  </si>
  <si>
    <t>ACC 2102H</t>
  </si>
  <si>
    <t>OHADA Financial Accounting III</t>
  </si>
  <si>
    <t>ACC 2104H</t>
  </si>
  <si>
    <t>Mr. Mforsah Roger</t>
  </si>
  <si>
    <t>ACC 2101H</t>
  </si>
  <si>
    <t>Computer Asisted Accounting II</t>
  </si>
  <si>
    <t>MGT2104H</t>
  </si>
  <si>
    <t>Total100</t>
  </si>
  <si>
    <t>Abdou Ziena Madinatou</t>
  </si>
  <si>
    <t>Acha Victory Nweyeh-kah</t>
  </si>
  <si>
    <t>Aisha Oumarou Mohammed</t>
  </si>
  <si>
    <t>Aishatou Haro</t>
  </si>
  <si>
    <t>Ajeakwa Keziah Umenek</t>
  </si>
  <si>
    <t>Akang Courage Bi</t>
  </si>
  <si>
    <t>Akemche Gisele Mange Beri</t>
  </si>
  <si>
    <t>Akumbom Emmanuel Fuh</t>
  </si>
  <si>
    <t>Awah Priddy Mboh-Ngeh</t>
  </si>
  <si>
    <t>Bih Larissa Ngang</t>
  </si>
  <si>
    <t>Bih Mary-Ann Anchimbom Lainsi</t>
  </si>
  <si>
    <t>Bih Velda Anye</t>
  </si>
  <si>
    <t>Bin Abigael Nwa</t>
  </si>
  <si>
    <t>Bunjoh Joel Wango</t>
  </si>
  <si>
    <t>Chuyekeh Cecilia</t>
  </si>
  <si>
    <t>Cobbi Christian Cobbi</t>
  </si>
  <si>
    <t>Cornelius Oprins Anaughese</t>
  </si>
  <si>
    <t>Famah Shamah Nfor</t>
  </si>
  <si>
    <t>Favour Bongnavti Aloni</t>
  </si>
  <si>
    <t>Fombutu Delvis Ntungwen</t>
  </si>
  <si>
    <t>Formari Marion Mah</t>
  </si>
  <si>
    <t>Fri Jenifer Chick</t>
  </si>
  <si>
    <t>Frou Excel Esepene</t>
  </si>
  <si>
    <t>Hawa Amira Ibrahim</t>
  </si>
  <si>
    <t>Kemeng Marigiselle Nteinmussi</t>
  </si>
  <si>
    <t>Lum Noela Fru</t>
  </si>
  <si>
    <t>Mbah Joel Nyoh</t>
  </si>
  <si>
    <t>Mbuya Excel Ngeh</t>
  </si>
  <si>
    <t>Muna Beltus</t>
  </si>
  <si>
    <t>Nde Cindy-Bright Luh</t>
  </si>
  <si>
    <t>Ndeh Fru Vianney</t>
  </si>
  <si>
    <t>Ndeh Pleasant Ndoh Chrispris</t>
  </si>
  <si>
    <t>Ndukong Seraphine Mangwang</t>
  </si>
  <si>
    <t>Neh Oliveline Fru</t>
  </si>
  <si>
    <t>Nformi Christabella</t>
  </si>
  <si>
    <t>Ngam Hedwig Afumbom</t>
  </si>
  <si>
    <t>Ngewih Wundoh Cyril</t>
  </si>
  <si>
    <t>Ngong Tracy Tevu</t>
  </si>
  <si>
    <t>Ngum Courage Anyah</t>
  </si>
  <si>
    <t>Ngwa Joseph Neba</t>
  </si>
  <si>
    <t>Nyamangong Antoinette Bohbo</t>
  </si>
  <si>
    <t>Nyuydzewira Lorantine Shuka</t>
  </si>
  <si>
    <t>Pumah Victory</t>
  </si>
  <si>
    <t>Sengla Carlvint</t>
  </si>
  <si>
    <t>Sherene Singkeh Nganji</t>
  </si>
  <si>
    <t>Stercy Megan Agbor</t>
  </si>
  <si>
    <t>Suzyl Wiyrdzernyuy</t>
  </si>
  <si>
    <t>Tah Marceline Kemaka</t>
  </si>
  <si>
    <t>Tebong Theodora Engonwei</t>
  </si>
  <si>
    <t>Yirenwie-Mado Favour Munjere</t>
  </si>
  <si>
    <t>Zaliatou Yeba</t>
  </si>
  <si>
    <t>First Semester Exam 2022-2023</t>
  </si>
  <si>
    <t>335622H</t>
  </si>
  <si>
    <t>330322H</t>
  </si>
  <si>
    <t>330822H</t>
  </si>
  <si>
    <t>330922H</t>
  </si>
  <si>
    <t>341822H</t>
  </si>
  <si>
    <t>340822H</t>
  </si>
  <si>
    <t>332622H</t>
  </si>
  <si>
    <t>333022H</t>
  </si>
  <si>
    <t>340922H</t>
  </si>
  <si>
    <t>335722H</t>
  </si>
  <si>
    <t>341522H</t>
  </si>
  <si>
    <t>334622H</t>
  </si>
  <si>
    <t>330522H</t>
  </si>
  <si>
    <t>332522H</t>
  </si>
  <si>
    <t>332722H</t>
  </si>
  <si>
    <t>329322H</t>
  </si>
  <si>
    <t>337322H</t>
  </si>
  <si>
    <t>334422H</t>
  </si>
  <si>
    <t>328522H</t>
  </si>
  <si>
    <t>345122H</t>
  </si>
  <si>
    <t>341022H</t>
  </si>
  <si>
    <t>332422H</t>
  </si>
  <si>
    <t>344622H</t>
  </si>
  <si>
    <t>338422H</t>
  </si>
  <si>
    <t>330422H</t>
  </si>
  <si>
    <t>332222H</t>
  </si>
  <si>
    <t>337922H</t>
  </si>
  <si>
    <t>339722H</t>
  </si>
  <si>
    <t>341722H</t>
  </si>
  <si>
    <t>347622H</t>
  </si>
  <si>
    <t>330722H</t>
  </si>
  <si>
    <t>329422H</t>
  </si>
  <si>
    <t>334522H</t>
  </si>
  <si>
    <t>348922H</t>
  </si>
  <si>
    <t>350122H</t>
  </si>
  <si>
    <t>335322H</t>
  </si>
  <si>
    <t>352822H</t>
  </si>
  <si>
    <t>337222H</t>
  </si>
  <si>
    <t>339622H</t>
  </si>
  <si>
    <t>345022H</t>
  </si>
  <si>
    <t>352922H</t>
  </si>
  <si>
    <t>Elementary Mathematics</t>
  </si>
  <si>
    <t>MAT1101H</t>
  </si>
  <si>
    <t>MKT2104H</t>
  </si>
  <si>
    <t>Marketing Mix</t>
  </si>
  <si>
    <t>MKT2102H</t>
  </si>
  <si>
    <t>Marketing Tools</t>
  </si>
  <si>
    <t>MKT2101H</t>
  </si>
  <si>
    <t>Marketing Environment I &amp; II</t>
  </si>
  <si>
    <t>MKT2105H</t>
  </si>
  <si>
    <t>Sales Technique and Policy</t>
  </si>
  <si>
    <t>International trade for Marketing</t>
  </si>
  <si>
    <t>Enterprise Creation and Entrepreneurship</t>
  </si>
  <si>
    <t xml:space="preserve">Marketing </t>
  </si>
  <si>
    <t xml:space="preserve">Marketing    </t>
  </si>
  <si>
    <t xml:space="preserve">Marketing   </t>
  </si>
  <si>
    <t>352522H</t>
  </si>
  <si>
    <t>344522H</t>
  </si>
  <si>
    <t>350022H</t>
  </si>
  <si>
    <t>338222H</t>
  </si>
  <si>
    <t>347022H</t>
  </si>
  <si>
    <t>320021H</t>
  </si>
  <si>
    <t>331022H</t>
  </si>
  <si>
    <t>360022H</t>
  </si>
  <si>
    <t>sign in</t>
  </si>
  <si>
    <t>sign out</t>
  </si>
  <si>
    <t xml:space="preserve">sign in </t>
  </si>
  <si>
    <t>Principles of Banking</t>
  </si>
  <si>
    <t>Principles of insurance</t>
  </si>
  <si>
    <t>Statistics and business mathematics</t>
  </si>
  <si>
    <t>Department:   Common course</t>
  </si>
  <si>
    <t>Course Code: ENG1101H</t>
  </si>
  <si>
    <t>Course Title: Functional English I</t>
  </si>
  <si>
    <t>Credit Value:  2</t>
  </si>
  <si>
    <t>Lecturer: Dr. Florence Ngie</t>
  </si>
  <si>
    <t xml:space="preserve"> </t>
  </si>
  <si>
    <t>354422H</t>
  </si>
  <si>
    <t>Financial Analysis</t>
  </si>
  <si>
    <t>MKT2103H</t>
  </si>
  <si>
    <t>BFI1101H/26</t>
  </si>
  <si>
    <t>BFI1101H/27</t>
  </si>
  <si>
    <t>BFI1101H/28</t>
  </si>
  <si>
    <t>BFI1101H/29</t>
  </si>
  <si>
    <t>BFI1101H/30</t>
  </si>
  <si>
    <t>BFI1101H/31</t>
  </si>
  <si>
    <t>BFI1101H/32</t>
  </si>
  <si>
    <t>BFI1101H/33</t>
  </si>
  <si>
    <t>BFI1101H/34</t>
  </si>
  <si>
    <t>BFI1101H/35</t>
  </si>
  <si>
    <t>BFI1101H/36</t>
  </si>
  <si>
    <t>BFI1101H/37</t>
  </si>
  <si>
    <t>BFI1101H/38</t>
  </si>
  <si>
    <t>BFI1101H/39</t>
  </si>
  <si>
    <t>BFI1101H/40</t>
  </si>
  <si>
    <t>BFI1101H/41</t>
  </si>
  <si>
    <t>BFI1101H/42</t>
  </si>
  <si>
    <t>BFI1101H/43</t>
  </si>
  <si>
    <t>BFI1101H/44</t>
  </si>
  <si>
    <t>BFI1101H/45</t>
  </si>
  <si>
    <t>BFI1101H/46</t>
  </si>
  <si>
    <t>BFI1101H/47</t>
  </si>
  <si>
    <t>BFI1101H/48</t>
  </si>
  <si>
    <t>BFI1101H/49</t>
  </si>
  <si>
    <t>BFI1101H/51</t>
  </si>
  <si>
    <t>BFI1101H/52</t>
  </si>
  <si>
    <t>BFI1101H/53</t>
  </si>
  <si>
    <t>BFI1101H/6</t>
  </si>
  <si>
    <t>BFI1101H/10</t>
  </si>
  <si>
    <t>BFI1101H/11</t>
  </si>
  <si>
    <t>BFI1101H/12</t>
  </si>
  <si>
    <t>BFI1101H/13</t>
  </si>
  <si>
    <t>BFI1101H/14</t>
  </si>
  <si>
    <t>BFI1101H/15</t>
  </si>
  <si>
    <t>BFI1101H/16</t>
  </si>
  <si>
    <t>BFI1101H/17</t>
  </si>
  <si>
    <t>BFI1101H/18</t>
  </si>
  <si>
    <t>BFI1101H/19</t>
  </si>
  <si>
    <t>BFI1101H/20</t>
  </si>
  <si>
    <t>BFI1101H/21</t>
  </si>
  <si>
    <t>BFI1101H/22</t>
  </si>
  <si>
    <t>BFI1101H/23</t>
  </si>
  <si>
    <t>BFI1101H/24</t>
  </si>
  <si>
    <t>BFI1101H/25</t>
  </si>
  <si>
    <t>Faculty of Business and Management Sciences-HND</t>
  </si>
  <si>
    <t>DEPARTMENT : ALL</t>
  </si>
  <si>
    <t>Mat No.</t>
  </si>
  <si>
    <t>Name of Student</t>
  </si>
  <si>
    <t>Courses</t>
  </si>
  <si>
    <t>Att</t>
  </si>
  <si>
    <t>CA</t>
  </si>
  <si>
    <t>EX</t>
  </si>
  <si>
    <t>TOT</t>
  </si>
  <si>
    <t>Grad</t>
  </si>
  <si>
    <t>ENG2101H; Stat:;CV:2</t>
  </si>
  <si>
    <t>ECO2102H; Stat:;CV:2</t>
  </si>
  <si>
    <t>ACC2103H; Stat:;CV:3</t>
  </si>
  <si>
    <t>COM2101H;Stat: ;CV:2</t>
  </si>
  <si>
    <t>ACC2105H;Stat:;CV:3</t>
  </si>
  <si>
    <t>ECO2101H; Stat: ; CV:2</t>
  </si>
  <si>
    <t>Law2101H; Stat: ; CV:3</t>
  </si>
  <si>
    <t>BFI2103H; Stat: ; CV:3</t>
  </si>
  <si>
    <t>BFI2102H; Stat: ; CV:3</t>
  </si>
  <si>
    <t>ACC2102H;Stat: ;CV:3</t>
  </si>
  <si>
    <t>ACC2104H; Stat: ; CV:3</t>
  </si>
  <si>
    <t>MGT2104H; Stat: ; CV:3</t>
  </si>
  <si>
    <t>MGT2102H; Stat: ; CV:3</t>
  </si>
  <si>
    <t>MGT2103H; Stat: ; CV:3</t>
  </si>
  <si>
    <t>MGT2101H; Stat: ; CV:3</t>
  </si>
  <si>
    <t>Statistics &amp; Business Maths III</t>
  </si>
  <si>
    <t>Cost &amp; Management Accounting</t>
  </si>
  <si>
    <t xml:space="preserve">Managerial Economics </t>
  </si>
  <si>
    <t>Business/Company Law</t>
  </si>
  <si>
    <t>Financial Accounting for Banks &amp; MFIs</t>
  </si>
  <si>
    <t>MKT2103H; Stat: ; CV:3</t>
  </si>
  <si>
    <t>MGT2207H;Stat: ;CV:3</t>
  </si>
  <si>
    <t>ACC2103H; Stat: ; CV:3</t>
  </si>
  <si>
    <t>MKT2104H; Stat:;CV:3</t>
  </si>
  <si>
    <t>MKT2101H; Stat: ; CV:3</t>
  </si>
  <si>
    <t>CATHOLIC UNIVERSITY OF CAMEROON (CATUC), BAMENDA</t>
  </si>
  <si>
    <t>SCHOOL/ FACULTY: FACULTY OF SCIENCE</t>
  </si>
  <si>
    <t>BUSINESS AND MANAGEMENT SCIENCES</t>
  </si>
  <si>
    <t>COMMON COURSES</t>
  </si>
  <si>
    <t>SEMESTER: FIRST SEMESTER</t>
  </si>
  <si>
    <t>HND</t>
  </si>
  <si>
    <t>FREQUENCY DISTRIBUTION PERFORMANCES OF STUDENTS</t>
  </si>
  <si>
    <t>SN</t>
  </si>
  <si>
    <t>COURSE CODE</t>
  </si>
  <si>
    <t>COURSE TITLE</t>
  </si>
  <si>
    <t>CV</t>
  </si>
  <si>
    <t>ST</t>
  </si>
  <si>
    <t>LECTURERS</t>
  </si>
  <si>
    <t>% CC</t>
  </si>
  <si>
    <t>NUMBER</t>
  </si>
  <si>
    <t>% PASS</t>
  </si>
  <si>
    <t>% FAIL</t>
  </si>
  <si>
    <t>CR</t>
  </si>
  <si>
    <t>CE</t>
  </si>
  <si>
    <t>PASS</t>
  </si>
  <si>
    <t>FAIL</t>
  </si>
  <si>
    <t>TOTAL/ AVERAGE</t>
  </si>
  <si>
    <t>CV = Credit Value; ST = Status (C = Compulsory; E = Elective); CR = Candidates Registered; CE = Candidates Examined; % CC = Course Coverage; The % Pass is based on CE (Candidates who completed the course by writing the final examination.</t>
  </si>
  <si>
    <t>Number of Marked Scripts:</t>
  </si>
  <si>
    <t>Number of Failed Scripts</t>
  </si>
  <si>
    <t>Number of Passed Scripts</t>
  </si>
  <si>
    <t xml:space="preserve">Success Rate </t>
  </si>
  <si>
    <t>Lecturers:</t>
  </si>
  <si>
    <t>Dr.</t>
  </si>
  <si>
    <t>Achiri Mongo Eric</t>
  </si>
  <si>
    <t xml:space="preserve"> Dean-FBMS-HND</t>
  </si>
  <si>
    <t>DEPARTMENT: ACCOUNTING</t>
  </si>
  <si>
    <t>Success Rate:</t>
  </si>
  <si>
    <t>SCHOOL/ FACULTY FACULTY OF SCIENCE</t>
  </si>
  <si>
    <t>DEPARTMENT: MANAGEMENT</t>
  </si>
  <si>
    <t>Dr. Achiri Mongo Eric</t>
  </si>
  <si>
    <t>Dean-FBMS-HND</t>
  </si>
  <si>
    <t>DEPARTMENT: MARKETING</t>
  </si>
  <si>
    <t>Mr. Paul O.B. Itor</t>
  </si>
  <si>
    <t>DEPARTMENT: BANKING AND FINANCE</t>
  </si>
  <si>
    <t>Success Rate: 82.26</t>
  </si>
  <si>
    <t>DR. Achiri Mongo Eric</t>
  </si>
  <si>
    <t>DEPARTMENT: ECONOMICS</t>
  </si>
  <si>
    <t xml:space="preserve">Achiri Mongo Eric </t>
  </si>
  <si>
    <t>International Trade for Marketing</t>
  </si>
  <si>
    <t>Dr. Wirsy Leonard</t>
  </si>
  <si>
    <t>FRE2101H; Stat:CV:2</t>
  </si>
  <si>
    <t>Level One</t>
  </si>
  <si>
    <t>MGT 2207H</t>
  </si>
  <si>
    <t>ACC1105H</t>
  </si>
  <si>
    <t>Sr. Elizabeth Ankiambom</t>
  </si>
  <si>
    <t>HND Cordinator</t>
  </si>
  <si>
    <t>Success Rate: 98.08</t>
  </si>
  <si>
    <t>Department</t>
  </si>
  <si>
    <t>No. of Courses Offered</t>
  </si>
  <si>
    <t>No. of Scipts Written</t>
  </si>
  <si>
    <t>%Pass</t>
  </si>
  <si>
    <t>%Fail</t>
  </si>
  <si>
    <t>Banking &amp; Finance</t>
  </si>
  <si>
    <t>TOTAL</t>
  </si>
  <si>
    <t>First Semester Exam 2023-2024</t>
  </si>
  <si>
    <t>Samnissi Rawllings Galabe</t>
  </si>
  <si>
    <t>Mme. Lukong Claris</t>
  </si>
  <si>
    <t>Abah Rameline Abo</t>
  </si>
  <si>
    <t>Abembom Kuate-mein Quinn Laurato</t>
  </si>
  <si>
    <t>Awantang Mary-Lily</t>
  </si>
  <si>
    <t>Azhinwie Jude Nde</t>
  </si>
  <si>
    <t>Bih Noela</t>
  </si>
  <si>
    <t>Bobga Genevieve  Nahlelah</t>
  </si>
  <si>
    <t>Chi Favor Nangah</t>
  </si>
  <si>
    <t>Djouka Pouokam Dolie Stella</t>
  </si>
  <si>
    <t>Fonah  Favour Ngongmene</t>
  </si>
  <si>
    <t>Fonyuy Francesco Ngalle</t>
  </si>
  <si>
    <t>Julinatu Fatu</t>
  </si>
  <si>
    <t>Kelly Chelsea Eweh</t>
  </si>
  <si>
    <t>Kien Shella Tingoh</t>
  </si>
  <si>
    <t>Kwankep Mirielle  Chunack</t>
  </si>
  <si>
    <t>Leonora Lemnwie Ndifor</t>
  </si>
  <si>
    <t>Mankah Anna Nde</t>
  </si>
  <si>
    <t>Mbah Audrey Ngwe</t>
  </si>
  <si>
    <t>Ndamukong Jirez</t>
  </si>
  <si>
    <t>Ndipmun Cynthia Atuo</t>
  </si>
  <si>
    <t>Neiwoubua Chelsea Abubarka</t>
  </si>
  <si>
    <t>Ngwain Gisele Fuen</t>
  </si>
  <si>
    <t>Nji Dilian Chi</t>
  </si>
  <si>
    <t>Nkwelong Elizabeth Ebombe</t>
  </si>
  <si>
    <t>Tata Shella Ijang</t>
  </si>
  <si>
    <t>Teko Desmourine Engonwei</t>
  </si>
  <si>
    <t>Abengchie Favour Mbei</t>
  </si>
  <si>
    <t>Nge Vema Wirnyu</t>
  </si>
  <si>
    <t>Mukefor Valery Sama</t>
  </si>
  <si>
    <t>Akwa Marie Vivian Nsoh</t>
  </si>
  <si>
    <t>Bih Stephanie Anye</t>
  </si>
  <si>
    <t>Chouah Joel</t>
  </si>
  <si>
    <t xml:space="preserve">Anyam Joyce Mafor </t>
  </si>
  <si>
    <t>Mainimo Jerome Tangwa</t>
  </si>
  <si>
    <t>Cearmantine Lum</t>
  </si>
  <si>
    <t xml:space="preserve">Tanyize Zulesi Junior </t>
  </si>
  <si>
    <t>Ndikum Nchumilu Nozomi</t>
  </si>
  <si>
    <t>Nyah Ferake Miriellle Tantoh</t>
  </si>
  <si>
    <t>Ngweni Amy Anye Ndefru</t>
  </si>
  <si>
    <t>Shiyla Minette Dinnyuy</t>
  </si>
  <si>
    <t>Fokeinlack Marcin</t>
  </si>
  <si>
    <t>Mboinibo Praise Chia</t>
  </si>
  <si>
    <t>Nangah Deze-Claire suh</t>
  </si>
  <si>
    <t>Quenever Mijenntoh</t>
  </si>
  <si>
    <t>Roseline Regina Anyoungwe</t>
  </si>
  <si>
    <t xml:space="preserve">Tubufor  Suh Desmond </t>
  </si>
  <si>
    <t>Ngeugang Feukeng Rosaline</t>
  </si>
  <si>
    <t>First  Semester Exam, 2023-2024</t>
  </si>
  <si>
    <t>Mr. Neba</t>
  </si>
  <si>
    <t>Mme. Teneng Conscience</t>
  </si>
  <si>
    <t>HND 1</t>
  </si>
  <si>
    <t>HND1</t>
  </si>
  <si>
    <t>2023-2024</t>
  </si>
  <si>
    <t>Mme Lukong Claris</t>
  </si>
  <si>
    <t>Mr.Ngondo Charles</t>
  </si>
  <si>
    <t>Dr.Ngoran George</t>
  </si>
  <si>
    <t>Mr Nzebir chrysantus</t>
  </si>
  <si>
    <t>345422H</t>
  </si>
  <si>
    <t>Mala Larissa Awosang</t>
  </si>
  <si>
    <t>Mr.Shiyghan Chrysanctus</t>
  </si>
  <si>
    <t>Mr.Nkeng Blaise</t>
  </si>
  <si>
    <t>Mr Nembo</t>
  </si>
  <si>
    <t>Dr Ghondo Charles</t>
  </si>
  <si>
    <t>Taxation II</t>
  </si>
  <si>
    <t>Company Accounting 1</t>
  </si>
  <si>
    <t>Ghondo charles</t>
  </si>
  <si>
    <t>Muyen Synthia</t>
  </si>
  <si>
    <t>381323H</t>
  </si>
  <si>
    <t>377423H</t>
  </si>
  <si>
    <t>378423H</t>
  </si>
  <si>
    <t>383023H</t>
  </si>
  <si>
    <t>376823H</t>
  </si>
  <si>
    <t>382423H</t>
  </si>
  <si>
    <t>377523H</t>
  </si>
  <si>
    <t>381623H</t>
  </si>
  <si>
    <t>380923H</t>
  </si>
  <si>
    <t>379423H</t>
  </si>
  <si>
    <t>398623H</t>
  </si>
  <si>
    <t>385123H</t>
  </si>
  <si>
    <t>381723H</t>
  </si>
  <si>
    <t>382823H</t>
  </si>
  <si>
    <t>381123H</t>
  </si>
  <si>
    <t>389623H</t>
  </si>
  <si>
    <t>384823H</t>
  </si>
  <si>
    <t>389023H</t>
  </si>
  <si>
    <t>387923H</t>
  </si>
  <si>
    <t>379023H</t>
  </si>
  <si>
    <t>380623H</t>
  </si>
  <si>
    <t>382723H</t>
  </si>
  <si>
    <t>381423H</t>
  </si>
  <si>
    <t>378623H</t>
  </si>
  <si>
    <t>379223H</t>
  </si>
  <si>
    <t>384523H</t>
  </si>
  <si>
    <t>385223H</t>
  </si>
  <si>
    <t>376723H</t>
  </si>
  <si>
    <t>373523H</t>
  </si>
  <si>
    <t>371623H</t>
  </si>
  <si>
    <t>392623H</t>
  </si>
  <si>
    <t>372323H</t>
  </si>
  <si>
    <t>385723H</t>
  </si>
  <si>
    <t>383123H</t>
  </si>
  <si>
    <t>388723H</t>
  </si>
  <si>
    <t>381823H</t>
  </si>
  <si>
    <t>372423H</t>
  </si>
  <si>
    <t>374623H</t>
  </si>
  <si>
    <t>386323H</t>
  </si>
  <si>
    <t>388023H</t>
  </si>
  <si>
    <t>378923H</t>
  </si>
  <si>
    <t>391923H</t>
  </si>
  <si>
    <t>369923H</t>
  </si>
  <si>
    <t>394323H</t>
  </si>
  <si>
    <t>372223H</t>
  </si>
  <si>
    <t>385023H</t>
  </si>
  <si>
    <t>389123H</t>
  </si>
  <si>
    <t>386623H</t>
  </si>
  <si>
    <t>385823H</t>
  </si>
  <si>
    <t>329522H</t>
  </si>
  <si>
    <t>Ntungwen Brian</t>
  </si>
  <si>
    <t>Monetary Economics and banking</t>
  </si>
  <si>
    <t>Banking and finace</t>
  </si>
  <si>
    <t>Banking and finance</t>
  </si>
  <si>
    <t>Financial Markets</t>
  </si>
  <si>
    <t>Banking operations and Techniques</t>
  </si>
  <si>
    <t>grades</t>
  </si>
  <si>
    <t>remarks</t>
  </si>
  <si>
    <t>statistics</t>
  </si>
  <si>
    <t>MGT2102H</t>
  </si>
  <si>
    <t>MR Adamou Mohammadou</t>
  </si>
  <si>
    <t>Practice of Human Resource Management</t>
  </si>
  <si>
    <t>Mr Neba Befrieden</t>
  </si>
  <si>
    <t>MGT2103H</t>
  </si>
  <si>
    <t>MGT2101H</t>
  </si>
  <si>
    <t>Taxation  II</t>
  </si>
  <si>
    <t>Organisation and management 1</t>
  </si>
  <si>
    <t>Marketing tools</t>
  </si>
  <si>
    <t>Social Environment I</t>
  </si>
  <si>
    <t>Human Relation</t>
  </si>
  <si>
    <t>Sirri Marie</t>
  </si>
  <si>
    <t xml:space="preserve">Ntungwen Brian </t>
  </si>
  <si>
    <t>Nde Cindy Bright</t>
  </si>
  <si>
    <t>Ngangfor Brandon</t>
  </si>
  <si>
    <t>Amabo Mirabel Chika Afahnwi</t>
  </si>
  <si>
    <t>Stacy Megan Agbor</t>
  </si>
  <si>
    <t>Awah Priddy</t>
  </si>
  <si>
    <t>Ndeh Pleasant Ndoh</t>
  </si>
  <si>
    <t>Bih Mary Ann Anchimbom</t>
  </si>
  <si>
    <t>Amabo Mirabel Chika A</t>
  </si>
  <si>
    <t>Sirri Marie Bernadette</t>
  </si>
  <si>
    <t>ENG1101H; Stat: ; CV:2</t>
  </si>
  <si>
    <t>ACC1101H; Stat: ; CV:3</t>
  </si>
  <si>
    <t>FRE1101H; Stat: ; CV:2</t>
  </si>
  <si>
    <t>ACC1102H; Stat: ; CV:23</t>
  </si>
  <si>
    <t>ECO1102H; Stat: ; CV:2</t>
  </si>
  <si>
    <t>MAT1101H; Stat: ; CV:2</t>
  </si>
  <si>
    <t>ECO1101H; Stat: ; CV:2</t>
  </si>
  <si>
    <t>MKT1101H; Stat: ; CV:3</t>
  </si>
  <si>
    <t>MGT1101H; Stat: ; CV:3</t>
  </si>
  <si>
    <t>INS1101H; Stat: ; CV:3</t>
  </si>
  <si>
    <t>BFI1102H; Stat: ; CV:3</t>
  </si>
  <si>
    <t>BFI1101H; Stat: ; CV:3</t>
  </si>
  <si>
    <t>MKT2104H; Stat: ; CV:3</t>
  </si>
  <si>
    <t>MKT2102H; Stat: ; CV:3</t>
  </si>
  <si>
    <t>MKT2105H; Stat: ; CV:4</t>
  </si>
  <si>
    <t>Sherenie Singkeh Nganji</t>
  </si>
  <si>
    <t>MAT No.</t>
  </si>
  <si>
    <t>First Semester CA/ Examination, 2023-2024</t>
  </si>
  <si>
    <t>MAT No</t>
  </si>
  <si>
    <t>Level TWO  First Semester CA/Examination, 2023-2024</t>
  </si>
  <si>
    <t>311221H</t>
  </si>
  <si>
    <t>Atongdoh Karen Klien Abongwa</t>
  </si>
  <si>
    <t>367522H</t>
  </si>
  <si>
    <t>Tubong Precious Njua</t>
  </si>
  <si>
    <t>First Semester ExamS 2023-2024</t>
  </si>
  <si>
    <t>FBMS</t>
  </si>
  <si>
    <t>HND/ FBMS 1</t>
  </si>
  <si>
    <t>HND/FBMS 1</t>
  </si>
  <si>
    <t>HND/FBMS 2</t>
  </si>
  <si>
    <t>Common course</t>
  </si>
  <si>
    <t>Dr Ngoran George</t>
  </si>
  <si>
    <t>FRE 2101</t>
  </si>
  <si>
    <t>382323H</t>
  </si>
  <si>
    <t>HND/ FBMS</t>
  </si>
  <si>
    <t>Common course FBMS/HND 2</t>
  </si>
  <si>
    <t>HND / FBMS</t>
  </si>
  <si>
    <t>COURSE CODES</t>
  </si>
  <si>
    <t>FRE1101H/26</t>
  </si>
  <si>
    <t>FRE1101H/25</t>
  </si>
  <si>
    <t>FRE1101H/24</t>
  </si>
  <si>
    <t>Wakuna Nelly Nahnyela Galabe</t>
  </si>
  <si>
    <t>FRE1101H/23</t>
  </si>
  <si>
    <t>FRE1101H/22</t>
  </si>
  <si>
    <t>FRE1101H/21</t>
  </si>
  <si>
    <t>FRE1101H/20</t>
  </si>
  <si>
    <t>Ankinimbom Tina Fienkeh</t>
  </si>
  <si>
    <t>FRE1101H/19</t>
  </si>
  <si>
    <t>FRE1101H/18</t>
  </si>
  <si>
    <t>FRE1101H/17</t>
  </si>
  <si>
    <t>FRE1101H/16</t>
  </si>
  <si>
    <t>378223H</t>
  </si>
  <si>
    <t>FRE1101H/15</t>
  </si>
  <si>
    <t>FRE1101H/14</t>
  </si>
  <si>
    <t>Forcham Emmanuel Forgwe</t>
  </si>
  <si>
    <t>FRE1101H/13</t>
  </si>
  <si>
    <t>FRE1101H/12</t>
  </si>
  <si>
    <t>FRE1101H/11</t>
  </si>
  <si>
    <t>FRE1101H/10</t>
  </si>
  <si>
    <t>404023H</t>
  </si>
  <si>
    <t>FRE1101H/9</t>
  </si>
  <si>
    <t>FRE1101H/8</t>
  </si>
  <si>
    <t>FRE1101H/7</t>
  </si>
  <si>
    <t>FRE1101H/6</t>
  </si>
  <si>
    <t>FRE1101H/5</t>
  </si>
  <si>
    <t>FRE1101H/4</t>
  </si>
  <si>
    <t>FRE1101H/3</t>
  </si>
  <si>
    <t>FRE1101H/2</t>
  </si>
  <si>
    <t>FRE1101H/1</t>
  </si>
  <si>
    <t>FRE1101H/32</t>
  </si>
  <si>
    <t>FRE1101H/54</t>
  </si>
  <si>
    <t>FRE1101H/27</t>
  </si>
  <si>
    <t>FRE1101H/53</t>
  </si>
  <si>
    <t>FRE1101H/52</t>
  </si>
  <si>
    <t>FRE1101H/51</t>
  </si>
  <si>
    <t>378523H</t>
  </si>
  <si>
    <t>FRE1101H/50</t>
  </si>
  <si>
    <t>FRE1101H/49</t>
  </si>
  <si>
    <t>FRE1101H/48</t>
  </si>
  <si>
    <t>FRE1101H/47</t>
  </si>
  <si>
    <t>FRE1101H/46</t>
  </si>
  <si>
    <t>FRE1101H/45</t>
  </si>
  <si>
    <t>FRE1101H/44</t>
  </si>
  <si>
    <t>FRE1101H/43</t>
  </si>
  <si>
    <t>Chendze Adel Akwanwi</t>
  </si>
  <si>
    <t>FRE1101H/42</t>
  </si>
  <si>
    <t>FRE1101H/41</t>
  </si>
  <si>
    <t>FRE1101H/40</t>
  </si>
  <si>
    <t>FRE1101H/39</t>
  </si>
  <si>
    <t>FRE1101H/38</t>
  </si>
  <si>
    <t>FRE1101H/37</t>
  </si>
  <si>
    <t>Lobga Wesley Nuvaga Tiwa</t>
  </si>
  <si>
    <t>FRE1101H/36</t>
  </si>
  <si>
    <t>FRE1101H/35</t>
  </si>
  <si>
    <t>FRE1101H/34</t>
  </si>
  <si>
    <t>Bemsimbom consolata ndiwum</t>
  </si>
  <si>
    <t>FRE1101H/33</t>
  </si>
  <si>
    <t>FRE1101H/31</t>
  </si>
  <si>
    <t>FRE1101H/30</t>
  </si>
  <si>
    <t>FRE1101H/28</t>
  </si>
  <si>
    <t>FRE1101H/29</t>
  </si>
  <si>
    <t>BFI1101H/1</t>
  </si>
  <si>
    <t>BFI1101H/2</t>
  </si>
  <si>
    <t>BFI1101H/3</t>
  </si>
  <si>
    <t>BFI1101H/4</t>
  </si>
  <si>
    <t>BFI1101H/5</t>
  </si>
  <si>
    <t>BFI1101H/7</t>
  </si>
  <si>
    <t>BFI1101H/8</t>
  </si>
  <si>
    <t>BFI1101H/9</t>
  </si>
  <si>
    <t>BFI1101H/50</t>
  </si>
  <si>
    <t>BFI1101H/54</t>
  </si>
  <si>
    <t>FRE 2101/</t>
  </si>
  <si>
    <t>FRE 2101/48</t>
  </si>
  <si>
    <t>FRE 2101/1</t>
  </si>
  <si>
    <t>FRE 2101/2</t>
  </si>
  <si>
    <t>FRE 2101/3</t>
  </si>
  <si>
    <t>FRE 2101/4</t>
  </si>
  <si>
    <t>FRE 2101/5</t>
  </si>
  <si>
    <t>FRE 2101/6</t>
  </si>
  <si>
    <t>FRE 2101/7</t>
  </si>
  <si>
    <t>FRE 2101/8</t>
  </si>
  <si>
    <t>FRE 2101/9</t>
  </si>
  <si>
    <t>FRE 2101/10</t>
  </si>
  <si>
    <t>FRE 2101/11</t>
  </si>
  <si>
    <t>FRE 2101/12</t>
  </si>
  <si>
    <t>FRE 2101/13</t>
  </si>
  <si>
    <t>FRE 2101/14</t>
  </si>
  <si>
    <t>FRE 2101/15</t>
  </si>
  <si>
    <t>FRE 2101/16</t>
  </si>
  <si>
    <t>FRE 2101/17</t>
  </si>
  <si>
    <t>FRE 2101/18</t>
  </si>
  <si>
    <t>FRE 2101/19</t>
  </si>
  <si>
    <t>FRE 2101/20</t>
  </si>
  <si>
    <t>FRE 2101/21</t>
  </si>
  <si>
    <t>FRE 2101/22</t>
  </si>
  <si>
    <t>FRE 2101/23</t>
  </si>
  <si>
    <t>FRE 2101/24</t>
  </si>
  <si>
    <t>335422H</t>
  </si>
  <si>
    <t>FRE 2101/25</t>
  </si>
  <si>
    <t>FRE 2101/26</t>
  </si>
  <si>
    <t>FRE 2101/28</t>
  </si>
  <si>
    <t>FRE 2101/29</t>
  </si>
  <si>
    <t>FRE 2101/30</t>
  </si>
  <si>
    <t>FRE 2101/31</t>
  </si>
  <si>
    <t>FRE 2101/32</t>
  </si>
  <si>
    <t>FRE 2101/33</t>
  </si>
  <si>
    <t>FRE 2101/34</t>
  </si>
  <si>
    <t>FRE 2101/35</t>
  </si>
  <si>
    <t>344632H</t>
  </si>
  <si>
    <t>FRE 2101/36</t>
  </si>
  <si>
    <t>FRE 2101/37</t>
  </si>
  <si>
    <t>FRE 2101/38</t>
  </si>
  <si>
    <t>FRE 2101/39</t>
  </si>
  <si>
    <t>FRE 2101/40</t>
  </si>
  <si>
    <t>Pumah Victory Awa</t>
  </si>
  <si>
    <t>FRE 2101/41</t>
  </si>
  <si>
    <t>FRE 2101/42</t>
  </si>
  <si>
    <t>FRE 2101/43</t>
  </si>
  <si>
    <t>FRE 2101/44</t>
  </si>
  <si>
    <t>FRE 2101/45</t>
  </si>
  <si>
    <t>FRE 2101/46</t>
  </si>
  <si>
    <t>FRE 2101/47</t>
  </si>
  <si>
    <t>SIGNATURE…............................................</t>
  </si>
  <si>
    <t>DATE…....................................................</t>
  </si>
  <si>
    <t>NAME OF EXAMINER…...................................</t>
  </si>
  <si>
    <t xml:space="preserve">FBMS </t>
  </si>
  <si>
    <t>FBMS/HND1</t>
  </si>
  <si>
    <t>Social Environment 1 N 2</t>
  </si>
  <si>
    <t>HND/FBMS</t>
  </si>
  <si>
    <t>ENG 2101H/</t>
  </si>
  <si>
    <t>ENG 2101H/2</t>
  </si>
  <si>
    <t>ENG 2101H/1</t>
  </si>
  <si>
    <t>ENG 2101H/3</t>
  </si>
  <si>
    <t>ENG 2101H/4</t>
  </si>
  <si>
    <t>ENG 2101H/5</t>
  </si>
  <si>
    <t>ENG 2101H/7</t>
  </si>
  <si>
    <t>ENG 2101H/8</t>
  </si>
  <si>
    <t>ENG 2101H/9</t>
  </si>
  <si>
    <t>ENG 2101H/6</t>
  </si>
  <si>
    <t>ENG 2101H/10</t>
  </si>
  <si>
    <t>ENG 2101H/11</t>
  </si>
  <si>
    <t>ENG 2101H/12</t>
  </si>
  <si>
    <t>ENG 2101H/13</t>
  </si>
  <si>
    <t>ENG 2101H/14</t>
  </si>
  <si>
    <t>ENG 2101H/15</t>
  </si>
  <si>
    <t>ENG 2101H/16</t>
  </si>
  <si>
    <t>ENG 2101H/17</t>
  </si>
  <si>
    <t>ENG 2101H/18</t>
  </si>
  <si>
    <t>ENG 2101H/19</t>
  </si>
  <si>
    <t>ENG 2101H/20</t>
  </si>
  <si>
    <t>ENG 2101H/21</t>
  </si>
  <si>
    <t>ENG 2101H/22</t>
  </si>
  <si>
    <t>ENG 2101H/23</t>
  </si>
  <si>
    <t>ENG 2101H/24</t>
  </si>
  <si>
    <t>ENG 2101H/25</t>
  </si>
  <si>
    <t>ENG 2101H/26</t>
  </si>
  <si>
    <t>ENG 2101H/27</t>
  </si>
  <si>
    <t>ENG 2101H/28</t>
  </si>
  <si>
    <t>ENG 2101H/29</t>
  </si>
  <si>
    <t>ENG 2101H/30</t>
  </si>
  <si>
    <t>ENG 2101H/31</t>
  </si>
  <si>
    <t>ENG 2101H/32</t>
  </si>
  <si>
    <t>ENG 2101H/33</t>
  </si>
  <si>
    <t>ENG 2101H/34</t>
  </si>
  <si>
    <t>ENG 2101H/35</t>
  </si>
  <si>
    <t>ENG 2101H/36</t>
  </si>
  <si>
    <t>ENG 2101H/37</t>
  </si>
  <si>
    <t>ENG 2101H/38</t>
  </si>
  <si>
    <t>ENG 2101H/39</t>
  </si>
  <si>
    <t>ENG 2101H/40</t>
  </si>
  <si>
    <t>ENG 2101H/41</t>
  </si>
  <si>
    <t>ENG 2101H/42</t>
  </si>
  <si>
    <t>ENG 2101H/43</t>
  </si>
  <si>
    <t>ENG 2101H/44</t>
  </si>
  <si>
    <t>ENG 2101H/45</t>
  </si>
  <si>
    <t>ENG 2101H/46</t>
  </si>
  <si>
    <t>ENG 2101H/47</t>
  </si>
  <si>
    <t>ENG 2101H/48</t>
  </si>
  <si>
    <t>ENG1101H/2</t>
  </si>
  <si>
    <t>ENG1101H/4</t>
  </si>
  <si>
    <t>ENG1101H/5</t>
  </si>
  <si>
    <t>ENG1101H/3</t>
  </si>
  <si>
    <t>ENG1101H/1</t>
  </si>
  <si>
    <t>ENG1101H/45</t>
  </si>
  <si>
    <t>ENG1101H/49</t>
  </si>
  <si>
    <t>ENG1101H/52</t>
  </si>
  <si>
    <t>ENG1101H/54</t>
  </si>
  <si>
    <t>ENG1101H/7</t>
  </si>
  <si>
    <t>ENG1101H/10</t>
  </si>
  <si>
    <t>ENG1101H/14</t>
  </si>
  <si>
    <t>ENG1101H/16</t>
  </si>
  <si>
    <t>ENG1101H/20</t>
  </si>
  <si>
    <t>ENG1101H/24</t>
  </si>
  <si>
    <t>ENG1101H/27</t>
  </si>
  <si>
    <t>ENG1101H/30</t>
  </si>
  <si>
    <t>ENG1101H/34</t>
  </si>
  <si>
    <t>ENG1101H/39</t>
  </si>
  <si>
    <t>ENG1101H/42</t>
  </si>
  <si>
    <t>ENG1101H/53</t>
  </si>
  <si>
    <t>ENG1101H/51</t>
  </si>
  <si>
    <t>ENG1101H/50</t>
  </si>
  <si>
    <t>ENG1101H/48</t>
  </si>
  <si>
    <t>ENG1101H/47</t>
  </si>
  <si>
    <t>ENG1101H/46</t>
  </si>
  <si>
    <t>ENG1101H/44</t>
  </si>
  <si>
    <t>ENG1101H/43</t>
  </si>
  <si>
    <t>ENG1101H/41</t>
  </si>
  <si>
    <t>ENG1101H/40</t>
  </si>
  <si>
    <t>ENG1101H/38</t>
  </si>
  <si>
    <t>ENG1101H/37</t>
  </si>
  <si>
    <t>ENG1101H/36</t>
  </si>
  <si>
    <t>ENG1101H/35</t>
  </si>
  <si>
    <t>ENG1101H/33</t>
  </si>
  <si>
    <t>ENG1101H/32</t>
  </si>
  <si>
    <t>ENG1101H/31</t>
  </si>
  <si>
    <t>ENG1101H/29</t>
  </si>
  <si>
    <t>ENG1101H/28</t>
  </si>
  <si>
    <t>ENG1101H/26</t>
  </si>
  <si>
    <t>ENG1101H/25</t>
  </si>
  <si>
    <t>ENG1101H/23</t>
  </si>
  <si>
    <t xml:space="preserve">Keunang Tchouala Blaise </t>
  </si>
  <si>
    <t>ENG1101H/22</t>
  </si>
  <si>
    <t>ENG1101H/21</t>
  </si>
  <si>
    <t>ENG1101H/19</t>
  </si>
  <si>
    <t>ENG1101H/18</t>
  </si>
  <si>
    <t>ENG1101H/17</t>
  </si>
  <si>
    <t>ENG1101H/15</t>
  </si>
  <si>
    <t>ENG1101H/13</t>
  </si>
  <si>
    <t>ENG1101H/12</t>
  </si>
  <si>
    <t>ENG1101H/11</t>
  </si>
  <si>
    <t>ENG1101H/9</t>
  </si>
  <si>
    <t>ENG1101H/8</t>
  </si>
  <si>
    <t>ENG1101H/6</t>
  </si>
  <si>
    <t>LAW 2101H/</t>
  </si>
  <si>
    <t>LAW 2101H/1</t>
  </si>
  <si>
    <t>LAW 2101H/2</t>
  </si>
  <si>
    <t>LAW 2101H/3</t>
  </si>
  <si>
    <t>LAW 2101H/4</t>
  </si>
  <si>
    <t>LAW 2101H/5</t>
  </si>
  <si>
    <t>LAW 2101H/6</t>
  </si>
  <si>
    <t>LAW 2101H/7</t>
  </si>
  <si>
    <t>LAW 2101H/8</t>
  </si>
  <si>
    <t>LAW 2101H/9</t>
  </si>
  <si>
    <t>LAW 2101H/10</t>
  </si>
  <si>
    <t>LAW 2101H/11</t>
  </si>
  <si>
    <t>LAW 2101H/12</t>
  </si>
  <si>
    <t>LAW 2101H/13</t>
  </si>
  <si>
    <t>LAW 2101H/14</t>
  </si>
  <si>
    <t>LAW 2101H/15</t>
  </si>
  <si>
    <t>LAW 2101H/17</t>
  </si>
  <si>
    <t>LAW 2101H/18</t>
  </si>
  <si>
    <t>LAW 2101H/19</t>
  </si>
  <si>
    <t>LAW 2101H/20</t>
  </si>
  <si>
    <t>LAW 2101H/21</t>
  </si>
  <si>
    <t>LAW 2101H/22</t>
  </si>
  <si>
    <t>LAW 2101H/23</t>
  </si>
  <si>
    <t>LAW 2101H/24</t>
  </si>
  <si>
    <t>LAW 2101H/25</t>
  </si>
  <si>
    <t>LAW 2101H/26</t>
  </si>
  <si>
    <t>LAW 2101H/27</t>
  </si>
  <si>
    <t>LAW 2101H/28</t>
  </si>
  <si>
    <t>LAW 2101H/29</t>
  </si>
  <si>
    <t>LAW 2101H/30</t>
  </si>
  <si>
    <t>LAW 2101H/31</t>
  </si>
  <si>
    <t>LAW 2101H/32</t>
  </si>
  <si>
    <t>LAW 2101H/33</t>
  </si>
  <si>
    <t>LAW 2101H/34</t>
  </si>
  <si>
    <t>LAW 2101H/35</t>
  </si>
  <si>
    <t>LAW 2101H/36</t>
  </si>
  <si>
    <t>LAW 2101H/37</t>
  </si>
  <si>
    <t>LAW 2101H/38</t>
  </si>
  <si>
    <t>LAW 2101H/39</t>
  </si>
  <si>
    <t>LAW 2101H/40</t>
  </si>
  <si>
    <t>LAW 2101H/41</t>
  </si>
  <si>
    <t>LAW 2101H/42</t>
  </si>
  <si>
    <t>LAW 2101H/43</t>
  </si>
  <si>
    <t>LAW 2101H/44</t>
  </si>
  <si>
    <t>LAW 2101H/45</t>
  </si>
  <si>
    <t>LAW 2101H/46</t>
  </si>
  <si>
    <t>LAW 2101H/47</t>
  </si>
  <si>
    <t>LAW 2101H/48</t>
  </si>
  <si>
    <t>LAW 2101H/49</t>
  </si>
  <si>
    <t>Mr Nkwa Felix</t>
  </si>
  <si>
    <t>BFI2101H</t>
  </si>
  <si>
    <t>ACC1101H/1</t>
  </si>
  <si>
    <t>ACC1101H/2</t>
  </si>
  <si>
    <t>ACC1101H/3</t>
  </si>
  <si>
    <t>ACC1101H/4</t>
  </si>
  <si>
    <t>ACC1101H/5</t>
  </si>
  <si>
    <t>ACC1101H/6</t>
  </si>
  <si>
    <t>ACC1101H/7</t>
  </si>
  <si>
    <t>ACC1101H/8</t>
  </si>
  <si>
    <t>ACC1101H/9</t>
  </si>
  <si>
    <t>ACC1101H/10</t>
  </si>
  <si>
    <t>ACC1101H/11</t>
  </si>
  <si>
    <t>ACC1101H/12</t>
  </si>
  <si>
    <t>ACC1101H/13</t>
  </si>
  <si>
    <t>ACC1101H/14</t>
  </si>
  <si>
    <t>ACC1101H/15</t>
  </si>
  <si>
    <t>ACC1101H/16</t>
  </si>
  <si>
    <t>ACC1101H/17</t>
  </si>
  <si>
    <t>ACC1101H/18</t>
  </si>
  <si>
    <t>ACC1101H/19</t>
  </si>
  <si>
    <t>ACC1101H/20</t>
  </si>
  <si>
    <t>ACC1101H/21</t>
  </si>
  <si>
    <t>ACC1101H/22</t>
  </si>
  <si>
    <t>ACC1101H/23</t>
  </si>
  <si>
    <t>ACC1101H/24</t>
  </si>
  <si>
    <t>ACC1101H/25</t>
  </si>
  <si>
    <t>ACC1101H/26</t>
  </si>
  <si>
    <t>ACC1101H/27</t>
  </si>
  <si>
    <t>ACC1101H/28</t>
  </si>
  <si>
    <t>ACC1101H/29</t>
  </si>
  <si>
    <t>ACC1101H/30</t>
  </si>
  <si>
    <t>ACC1101H/31</t>
  </si>
  <si>
    <t>ACC1101H/32</t>
  </si>
  <si>
    <t>ACC1101H/33</t>
  </si>
  <si>
    <t>ACC1101H/34</t>
  </si>
  <si>
    <t>ACC1101H/35</t>
  </si>
  <si>
    <t>ACC1101H/36</t>
  </si>
  <si>
    <t>ACC1101H/37</t>
  </si>
  <si>
    <t>ACC1101H/38</t>
  </si>
  <si>
    <t>ACC1101H/39</t>
  </si>
  <si>
    <t>ACC1101H/40</t>
  </si>
  <si>
    <t>ACC1101H/41</t>
  </si>
  <si>
    <t>ACC1101H/42</t>
  </si>
  <si>
    <t>ACC1101H/43</t>
  </si>
  <si>
    <t>ACC1101H/44</t>
  </si>
  <si>
    <t>ACC1101H/45</t>
  </si>
  <si>
    <t>ACC1101H/46</t>
  </si>
  <si>
    <t>ACC1101H/47</t>
  </si>
  <si>
    <t>ACC1101H/48</t>
  </si>
  <si>
    <t>ACC1101H/49</t>
  </si>
  <si>
    <t>ACC1101H/50</t>
  </si>
  <si>
    <t>ACC1101H/51</t>
  </si>
  <si>
    <t>ACC1101H/52</t>
  </si>
  <si>
    <t>ACC1101H/53</t>
  </si>
  <si>
    <t>ACC1101H/54</t>
  </si>
  <si>
    <t>ACC1101H/55</t>
  </si>
  <si>
    <t>Human Relations II</t>
  </si>
  <si>
    <t>BANKING AND FINANCE</t>
  </si>
  <si>
    <t>ACC 2101H/1</t>
  </si>
  <si>
    <t>ACC 2101H/2</t>
  </si>
  <si>
    <t>ACC 2101H/3</t>
  </si>
  <si>
    <t>ACC 2101H/4</t>
  </si>
  <si>
    <t>ACC 2101H/5</t>
  </si>
  <si>
    <t>ACC 2101H/6</t>
  </si>
  <si>
    <t>ACC 2101H/7</t>
  </si>
  <si>
    <t>ACC 2101H/8</t>
  </si>
  <si>
    <t>ACC 2101H/9</t>
  </si>
  <si>
    <t>ACC 2101H/10</t>
  </si>
  <si>
    <t>ACC 2101H/11</t>
  </si>
  <si>
    <t>ACC 2101H/12</t>
  </si>
  <si>
    <t>ACC 2101H/13</t>
  </si>
  <si>
    <t>ACC 2101H/14</t>
  </si>
  <si>
    <t>ACC 2101H/15</t>
  </si>
  <si>
    <t>ACC 2101H/16</t>
  </si>
  <si>
    <t>ACC 2101H/17</t>
  </si>
  <si>
    <t>ACC 2101H/18</t>
  </si>
  <si>
    <t>ACC 2101H/19</t>
  </si>
  <si>
    <t>ACC 2101H/20</t>
  </si>
  <si>
    <t>ACC 2101H/21</t>
  </si>
  <si>
    <t>MGT1101H/1</t>
  </si>
  <si>
    <t>MGT1101H/2</t>
  </si>
  <si>
    <t>MGT1101H/3</t>
  </si>
  <si>
    <t>MGT1101H/4</t>
  </si>
  <si>
    <t>MGT1101H/5</t>
  </si>
  <si>
    <t>MGT1101H/6</t>
  </si>
  <si>
    <t>MGT1101H/7</t>
  </si>
  <si>
    <t>MGT1101H/8</t>
  </si>
  <si>
    <t>MGT1101H/9</t>
  </si>
  <si>
    <t>MGT1101H/10</t>
  </si>
  <si>
    <t>MGT1101H/11</t>
  </si>
  <si>
    <t>MGT1101H/12</t>
  </si>
  <si>
    <t>MGT1101H/13</t>
  </si>
  <si>
    <t>MGT1101H/14</t>
  </si>
  <si>
    <t>MGT1101H/15</t>
  </si>
  <si>
    <t>MGT1101H/16</t>
  </si>
  <si>
    <t>MGT1101H/17</t>
  </si>
  <si>
    <t>MGT1101H/18</t>
  </si>
  <si>
    <t>MGT1101H/19</t>
  </si>
  <si>
    <t>MGT1101H/20</t>
  </si>
  <si>
    <t>MGT1101H/21</t>
  </si>
  <si>
    <t>MGT1101H/22</t>
  </si>
  <si>
    <t>MGT1101H/23</t>
  </si>
  <si>
    <t>MGT1101H/24</t>
  </si>
  <si>
    <t>MGT1101H/25</t>
  </si>
  <si>
    <t>MGT1101H/26</t>
  </si>
  <si>
    <t>MGT1101H/27</t>
  </si>
  <si>
    <t>MGT1101H/28</t>
  </si>
  <si>
    <t>MGT1101H/29</t>
  </si>
  <si>
    <t>MGT1101H/30</t>
  </si>
  <si>
    <t>MGT1101H/31</t>
  </si>
  <si>
    <t>MGT1101H/32</t>
  </si>
  <si>
    <t>MGT1101H/33</t>
  </si>
  <si>
    <t>MGT1101H/34</t>
  </si>
  <si>
    <t>MGT1101H/35</t>
  </si>
  <si>
    <t>MGT1101H/36</t>
  </si>
  <si>
    <t>MGT1101H/37</t>
  </si>
  <si>
    <t>MGT1101H/38</t>
  </si>
  <si>
    <t>MGT1101H/39</t>
  </si>
  <si>
    <t>MGT1101H/40</t>
  </si>
  <si>
    <t>MGT1101H/41</t>
  </si>
  <si>
    <t>MGT1101H/42</t>
  </si>
  <si>
    <t>MGT1101H/43</t>
  </si>
  <si>
    <t>MGT1101H/44</t>
  </si>
  <si>
    <t>MGT1101H/45</t>
  </si>
  <si>
    <t>MGT1101H/46</t>
  </si>
  <si>
    <t>MGT1101H/47</t>
  </si>
  <si>
    <t>MGT1101H/48</t>
  </si>
  <si>
    <t>MGT1101H/49</t>
  </si>
  <si>
    <t>MGT1101H/50</t>
  </si>
  <si>
    <t>MGT1101H/51</t>
  </si>
  <si>
    <t>ACC 2101H/</t>
  </si>
  <si>
    <t>ACC1102H/1</t>
  </si>
  <si>
    <t>ACC1102H/2</t>
  </si>
  <si>
    <t>ACC1102H/3</t>
  </si>
  <si>
    <t>ACC1102H/4</t>
  </si>
  <si>
    <t>ACC1102H/5</t>
  </si>
  <si>
    <t>ACC1102H/6</t>
  </si>
  <si>
    <t>ACC1102H/7</t>
  </si>
  <si>
    <t>ACC1102H/8</t>
  </si>
  <si>
    <t>ACC1102H/9</t>
  </si>
  <si>
    <t>ACC1102H/10</t>
  </si>
  <si>
    <t>ACC1102H/11</t>
  </si>
  <si>
    <t>ACC1102H/12</t>
  </si>
  <si>
    <t>ACC1102H/13</t>
  </si>
  <si>
    <t>ACC1102H/14</t>
  </si>
  <si>
    <t>ACC1102H/15</t>
  </si>
  <si>
    <t>ACC1102H/16</t>
  </si>
  <si>
    <t>ACC1102H/17</t>
  </si>
  <si>
    <t>ACC1102H/18</t>
  </si>
  <si>
    <t>ACC1102H/19</t>
  </si>
  <si>
    <t>ACC1102H/20</t>
  </si>
  <si>
    <t>ACC1102H/21</t>
  </si>
  <si>
    <t>ACC1102H/22</t>
  </si>
  <si>
    <t>ACC1102H/23</t>
  </si>
  <si>
    <t>ACC1102H/24</t>
  </si>
  <si>
    <t>ACC1102H/25</t>
  </si>
  <si>
    <t>ACC1102H/26</t>
  </si>
  <si>
    <t>ACC1102H/27</t>
  </si>
  <si>
    <t>ACC1102H/28</t>
  </si>
  <si>
    <t>ACC1102H/29</t>
  </si>
  <si>
    <t>ACC1102H/30</t>
  </si>
  <si>
    <t>ACC1102H/31</t>
  </si>
  <si>
    <t>ACC1102H/32</t>
  </si>
  <si>
    <t>ACC1102H/33</t>
  </si>
  <si>
    <t>ACC1102H/34</t>
  </si>
  <si>
    <t>ACC1102H/35</t>
  </si>
  <si>
    <t>ACC1102H/36</t>
  </si>
  <si>
    <t>ACC1102H/37</t>
  </si>
  <si>
    <t>ACC1102H/38</t>
  </si>
  <si>
    <t>ACC1102H/39</t>
  </si>
  <si>
    <t>ACC1102H/40</t>
  </si>
  <si>
    <t>ACC1102H/41</t>
  </si>
  <si>
    <t>ACC1102H/42</t>
  </si>
  <si>
    <t>ACC1102H/43</t>
  </si>
  <si>
    <t>ACC1102H/44</t>
  </si>
  <si>
    <t>ACC1102H/45</t>
  </si>
  <si>
    <t>ACC1102H/46</t>
  </si>
  <si>
    <t>ACC1102H/47</t>
  </si>
  <si>
    <t>ACC1102H/48</t>
  </si>
  <si>
    <t>ACC1102H/49</t>
  </si>
  <si>
    <t>ACC1102H/50</t>
  </si>
  <si>
    <t>ACC1102H/51</t>
  </si>
  <si>
    <t>ACC1102H/52</t>
  </si>
  <si>
    <t>ACC1102H/53</t>
  </si>
  <si>
    <t>ACC1102H/54</t>
  </si>
  <si>
    <t>ACC1101H/</t>
  </si>
  <si>
    <t>ECO 2101H/</t>
  </si>
  <si>
    <t>ECO 2101H/1</t>
  </si>
  <si>
    <t>ECO 2101H/2</t>
  </si>
  <si>
    <t>ECO 2101H/3</t>
  </si>
  <si>
    <t>ECO 2101H/5</t>
  </si>
  <si>
    <t>ECO 2101H/6</t>
  </si>
  <si>
    <t>ECO 2101H/7</t>
  </si>
  <si>
    <t>ECO 2101H/8</t>
  </si>
  <si>
    <t>ECO 2101H/9</t>
  </si>
  <si>
    <t>ECO 2101H/10</t>
  </si>
  <si>
    <t>ECO 2101H/11</t>
  </si>
  <si>
    <t>ECO 2101H/12</t>
  </si>
  <si>
    <t>ECO 2101H/13</t>
  </si>
  <si>
    <t>ECO 2101H/14</t>
  </si>
  <si>
    <t>ECO 2101H/15</t>
  </si>
  <si>
    <t>ECO 2101H/16</t>
  </si>
  <si>
    <t>ECO 2101H/17</t>
  </si>
  <si>
    <t>ECO 2101H/18</t>
  </si>
  <si>
    <t>ECO 2101H/19</t>
  </si>
  <si>
    <t>ECO 2101H/20</t>
  </si>
  <si>
    <t>ECO 2101H/21</t>
  </si>
  <si>
    <t>ECO 2101H/22</t>
  </si>
  <si>
    <t>ECO 2101H/23</t>
  </si>
  <si>
    <t>ECO 2101H/24</t>
  </si>
  <si>
    <t>ECO 2101H/25</t>
  </si>
  <si>
    <t>ECO 2101H/26</t>
  </si>
  <si>
    <t>ECO 2101H/27</t>
  </si>
  <si>
    <t>ECO 2101H/28</t>
  </si>
  <si>
    <t>ECO 2101H/29</t>
  </si>
  <si>
    <t>ECO 2101H/30</t>
  </si>
  <si>
    <t>ECO 2101H/31</t>
  </si>
  <si>
    <t>ECO 2101H/32</t>
  </si>
  <si>
    <t>ECO 2101H/33</t>
  </si>
  <si>
    <t>ECO 2101H/34</t>
  </si>
  <si>
    <t>ECO 2101H/35</t>
  </si>
  <si>
    <t>ECO 2101H/36</t>
  </si>
  <si>
    <t>ECO 2101H/37</t>
  </si>
  <si>
    <t>ECO 2101H/38</t>
  </si>
  <si>
    <t>ECO 2101H/39</t>
  </si>
  <si>
    <t>ECO 2101H/40</t>
  </si>
  <si>
    <t>ECO 2101H/41</t>
  </si>
  <si>
    <t>ECO 2101H/42</t>
  </si>
  <si>
    <t>ECO 2101H/43</t>
  </si>
  <si>
    <t>ECO 2101H/44</t>
  </si>
  <si>
    <t>ECO 2101H/45</t>
  </si>
  <si>
    <t>ECO 2101H/46</t>
  </si>
  <si>
    <t>ECO 2101H/47</t>
  </si>
  <si>
    <t>MGT1101H/</t>
  </si>
  <si>
    <t>MR NKWA FELIX</t>
  </si>
  <si>
    <t>BFI 2102H/1</t>
  </si>
  <si>
    <t>BFI 2102H/2</t>
  </si>
  <si>
    <t>BFI 2102H/3</t>
  </si>
  <si>
    <t>BFI 2102H/4</t>
  </si>
  <si>
    <t>BFI 2102H/5</t>
  </si>
  <si>
    <t>BFI 2102H/6</t>
  </si>
  <si>
    <t>BFI 2102H/7</t>
  </si>
  <si>
    <t>BFI 2102H/8</t>
  </si>
  <si>
    <t>BFI 2102H/9</t>
  </si>
  <si>
    <t>BFI 2102H/10</t>
  </si>
  <si>
    <t>BFI 2102H/11</t>
  </si>
  <si>
    <t>BFI 2102H/12</t>
  </si>
  <si>
    <t>BFI 2102H/13</t>
  </si>
  <si>
    <t>BFI 2102H/14</t>
  </si>
  <si>
    <t>BFI 2102H/15</t>
  </si>
  <si>
    <t>BFI 2102H/16</t>
  </si>
  <si>
    <t>BFI 2102H/17</t>
  </si>
  <si>
    <t>BFI 2102H/18</t>
  </si>
  <si>
    <t>BFI 2102H/19</t>
  </si>
  <si>
    <t>BFI 2102H/20</t>
  </si>
  <si>
    <t>BFI 2102H/21</t>
  </si>
  <si>
    <t>BFI 2102H/22</t>
  </si>
  <si>
    <t>BFI 2102H/23</t>
  </si>
  <si>
    <t>BFI 2102H/24</t>
  </si>
  <si>
    <t>BFI 2102H/25</t>
  </si>
  <si>
    <t>BFI 2102H/26</t>
  </si>
  <si>
    <t>BFI 2102H/27</t>
  </si>
  <si>
    <t>BFI 2102H/28</t>
  </si>
  <si>
    <t>BFI 2102H/29</t>
  </si>
  <si>
    <t>ACC1105H/1</t>
  </si>
  <si>
    <t>ACC1105H/2</t>
  </si>
  <si>
    <t>ACC1105H/3</t>
  </si>
  <si>
    <t>ACC1105H/4</t>
  </si>
  <si>
    <t>ACC1105H/5</t>
  </si>
  <si>
    <t>ACC1105H/6</t>
  </si>
  <si>
    <t>ACC1105H/7</t>
  </si>
  <si>
    <t>ACC1105H/8</t>
  </si>
  <si>
    <t>ACC1105H/9</t>
  </si>
  <si>
    <t>ACC1105H/10</t>
  </si>
  <si>
    <t>ACC1105H/11</t>
  </si>
  <si>
    <t>ACC1105H/12</t>
  </si>
  <si>
    <t>ACC1105H/13</t>
  </si>
  <si>
    <t>ACC1105H/14</t>
  </si>
  <si>
    <t>ACC1105H/15</t>
  </si>
  <si>
    <t>ACC1105H/16</t>
  </si>
  <si>
    <t>ACC1105H/17</t>
  </si>
  <si>
    <t>ACC1105H/18</t>
  </si>
  <si>
    <t>ACC1105H/19</t>
  </si>
  <si>
    <t>ACC1105H/20</t>
  </si>
  <si>
    <t>ACC1105H/21</t>
  </si>
  <si>
    <t>ACC1105H/22</t>
  </si>
  <si>
    <t>ACC1105H/23</t>
  </si>
  <si>
    <t>ACC1105H/24</t>
  </si>
  <si>
    <t>ACC1105H/25</t>
  </si>
  <si>
    <t>ACC1105H/26</t>
  </si>
  <si>
    <t>ACC1105H/27</t>
  </si>
  <si>
    <t>ACC1105H/28</t>
  </si>
  <si>
    <t>ACC1105H/29</t>
  </si>
  <si>
    <t>ACC1105H/30</t>
  </si>
  <si>
    <t>ACC1105H/31</t>
  </si>
  <si>
    <t>ACC1105H/32</t>
  </si>
  <si>
    <t>ACC1105H/33</t>
  </si>
  <si>
    <t>ACC1105H/34</t>
  </si>
  <si>
    <t>ACC1105H/35</t>
  </si>
  <si>
    <t>ACC1105H/36</t>
  </si>
  <si>
    <t>ACC1105H/37</t>
  </si>
  <si>
    <t>ACC1105H/38</t>
  </si>
  <si>
    <t>ACC1105H/39</t>
  </si>
  <si>
    <t>ACC1105H/40</t>
  </si>
  <si>
    <t>ACC1105H/41</t>
  </si>
  <si>
    <t>ACC1105H/42</t>
  </si>
  <si>
    <t>ACC1105H/43</t>
  </si>
  <si>
    <t>ACC1105H/44</t>
  </si>
  <si>
    <t>ACC1105H/45</t>
  </si>
  <si>
    <t>ACC1105H/46</t>
  </si>
  <si>
    <t>ACC1105H/47</t>
  </si>
  <si>
    <t>ACC1105H/48</t>
  </si>
  <si>
    <t>ACC1105H/49</t>
  </si>
  <si>
    <t>ACC1105H/50</t>
  </si>
  <si>
    <t>ACC1105H/51</t>
  </si>
  <si>
    <t>ACC1105H/52</t>
  </si>
  <si>
    <t>ACC1105H/53</t>
  </si>
  <si>
    <t>ACC1105H/54</t>
  </si>
  <si>
    <t>ACC1105H/55</t>
  </si>
  <si>
    <t>ACC1105H/56</t>
  </si>
  <si>
    <t>ECO1101H/</t>
  </si>
  <si>
    <t>ECO1101H/54</t>
  </si>
  <si>
    <t>ECO1101H/1</t>
  </si>
  <si>
    <t>ECO1101H/2</t>
  </si>
  <si>
    <t>ECO1101H/3</t>
  </si>
  <si>
    <t>ECO1101H/4</t>
  </si>
  <si>
    <t>ECO1101H/6</t>
  </si>
  <si>
    <t>ECO1101H/7</t>
  </si>
  <si>
    <t>ECO1101H/8</t>
  </si>
  <si>
    <t>ECO1101H/9</t>
  </si>
  <si>
    <t>ECO1101H/10</t>
  </si>
  <si>
    <t>ECO1101H/11</t>
  </si>
  <si>
    <t>ECO1101H/12</t>
  </si>
  <si>
    <t>ECO1101H/13</t>
  </si>
  <si>
    <t>ECO1101H/14</t>
  </si>
  <si>
    <t>ECO1101H/15</t>
  </si>
  <si>
    <t>ECO1101H/16</t>
  </si>
  <si>
    <t>ECO1101H/17</t>
  </si>
  <si>
    <t>ECO1101H/18</t>
  </si>
  <si>
    <t>ECO1101H/19</t>
  </si>
  <si>
    <t>ECO1101H/20</t>
  </si>
  <si>
    <t>ECO1101H/21</t>
  </si>
  <si>
    <t>ECO1101H/22</t>
  </si>
  <si>
    <t>ECO1101H/23</t>
  </si>
  <si>
    <t>ECO1101H/24</t>
  </si>
  <si>
    <t>ECO1101H/25</t>
  </si>
  <si>
    <t>ECO1101H/26</t>
  </si>
  <si>
    <t>ECO1101H/27</t>
  </si>
  <si>
    <t>ECO1101H/28</t>
  </si>
  <si>
    <t>ECO1101H/29</t>
  </si>
  <si>
    <t>ECO1101H/30</t>
  </si>
  <si>
    <t>ECO1101H/31</t>
  </si>
  <si>
    <t>ECO1101H/32</t>
  </si>
  <si>
    <t>ECO1101H/33</t>
  </si>
  <si>
    <t>ECO1101H/34</t>
  </si>
  <si>
    <t>ECO1101H/35</t>
  </si>
  <si>
    <t>ECO1101H/36</t>
  </si>
  <si>
    <t>ECO1101H/37</t>
  </si>
  <si>
    <t>ECO1101H/38</t>
  </si>
  <si>
    <t>ECO1101H/39</t>
  </si>
  <si>
    <t>ECO1101H/40</t>
  </si>
  <si>
    <t>ECO1101H/41</t>
  </si>
  <si>
    <t>ECO1101H/42</t>
  </si>
  <si>
    <t>ECO1101H/43</t>
  </si>
  <si>
    <t>ECO1101H/44</t>
  </si>
  <si>
    <t>ECO1101H/45</t>
  </si>
  <si>
    <t>ECO1101H/46</t>
  </si>
  <si>
    <t>ECO1101H/47</t>
  </si>
  <si>
    <t>ECO1101H/48</t>
  </si>
  <si>
    <t>ECO1101H/49</t>
  </si>
  <si>
    <t>ECO1101H/50</t>
  </si>
  <si>
    <t>ECO1101H/51</t>
  </si>
  <si>
    <t>ECO1101H/52</t>
  </si>
  <si>
    <t>ECO1101H/53</t>
  </si>
  <si>
    <t>MKT2101H/1</t>
  </si>
  <si>
    <t>MKT2101H/2</t>
  </si>
  <si>
    <t>MKT2101H/3</t>
  </si>
  <si>
    <t>MKT2101H/4</t>
  </si>
  <si>
    <t>MKT2101H/5</t>
  </si>
  <si>
    <t>MKT2101H/6</t>
  </si>
  <si>
    <t>MKT2101H/7</t>
  </si>
  <si>
    <t>MKT2101H/8</t>
  </si>
  <si>
    <t>MKT2101H/9</t>
  </si>
  <si>
    <t>MKT2101H/10</t>
  </si>
  <si>
    <t>MGT2104H/</t>
  </si>
  <si>
    <t>MGT2104H/1</t>
  </si>
  <si>
    <t>MGT2104H/2</t>
  </si>
  <si>
    <t>MGT2104H/3</t>
  </si>
  <si>
    <t>MGT2104H/4</t>
  </si>
  <si>
    <t>MGT2104H/5</t>
  </si>
  <si>
    <t>MGT2104H/6</t>
  </si>
  <si>
    <t>MGT2104H/7</t>
  </si>
  <si>
    <t>MGT2104H/8</t>
  </si>
  <si>
    <t>MGT2104H/9</t>
  </si>
  <si>
    <t>MGT2103H/</t>
  </si>
  <si>
    <t>MGT2103H/1</t>
  </si>
  <si>
    <t>MGT2103H/2</t>
  </si>
  <si>
    <t>MGT2103H/3</t>
  </si>
  <si>
    <t>MGT2103H/4</t>
  </si>
  <si>
    <t>MGT2103H/5</t>
  </si>
  <si>
    <t>MGT2103H/6</t>
  </si>
  <si>
    <t>MGT2103H/7</t>
  </si>
  <si>
    <t>MGT2103H/8</t>
  </si>
  <si>
    <t>MGT2103H/9</t>
  </si>
  <si>
    <t>BFI2103H</t>
  </si>
  <si>
    <t>BFI2103H/</t>
  </si>
  <si>
    <t>BFI2103H/27</t>
  </si>
  <si>
    <t>BFI2103H/28</t>
  </si>
  <si>
    <t>BFI2103H/29</t>
  </si>
  <si>
    <t>BFI2103H/30</t>
  </si>
  <si>
    <t>BFI2103H/25</t>
  </si>
  <si>
    <t>BFI2103H/24</t>
  </si>
  <si>
    <t>BFI2103H/1</t>
  </si>
  <si>
    <t>BFI2103H/3</t>
  </si>
  <si>
    <t>BFI2103H/2</t>
  </si>
  <si>
    <t>407423H</t>
  </si>
  <si>
    <t>BFI2103H/4</t>
  </si>
  <si>
    <t>BFI2103H/5</t>
  </si>
  <si>
    <t>BFI2103H/6</t>
  </si>
  <si>
    <t>BFI2103H/7</t>
  </si>
  <si>
    <t>BFI2103H/8</t>
  </si>
  <si>
    <t>BFI2103H/9</t>
  </si>
  <si>
    <t>BFI2103H/10</t>
  </si>
  <si>
    <t>BFI2103H/11</t>
  </si>
  <si>
    <t>BFI2103H/12</t>
  </si>
  <si>
    <t>BFI2103H/13</t>
  </si>
  <si>
    <t>BFI2103H/14</t>
  </si>
  <si>
    <t>BFI2103H/15</t>
  </si>
  <si>
    <t>BFI2103H/16</t>
  </si>
  <si>
    <t>BFI2103H/17</t>
  </si>
  <si>
    <t>BFI2103H/18</t>
  </si>
  <si>
    <t>BFI2103H/19</t>
  </si>
  <si>
    <t>BFI2103H/20</t>
  </si>
  <si>
    <t>BFI2103H/21</t>
  </si>
  <si>
    <t>BFI2103H/22</t>
  </si>
  <si>
    <t>BFI2103H/23</t>
  </si>
  <si>
    <t>BFI2103H/26</t>
  </si>
  <si>
    <t>ACC 2102H/</t>
  </si>
  <si>
    <t>ACC 2102H/1</t>
  </si>
  <si>
    <t>ACC 2102H/2</t>
  </si>
  <si>
    <t>ACC 2102H/3</t>
  </si>
  <si>
    <t>ACC 2102H/4</t>
  </si>
  <si>
    <t>ACC 2102H/5</t>
  </si>
  <si>
    <t>ACC 2102H/6</t>
  </si>
  <si>
    <t>ACC 2102H/7</t>
  </si>
  <si>
    <t>ACC 2102H/8</t>
  </si>
  <si>
    <t>ACC 2102H/9</t>
  </si>
  <si>
    <t>ACC 2102H/10</t>
  </si>
  <si>
    <t>ACC 2102H/11</t>
  </si>
  <si>
    <t>ACC 2102H/12</t>
  </si>
  <si>
    <t>ACC 2102H/13</t>
  </si>
  <si>
    <t>ACC 2102H/14</t>
  </si>
  <si>
    <t>ACC 2102H/15</t>
  </si>
  <si>
    <t>ACC 2102H/16</t>
  </si>
  <si>
    <t>ACC 2102H/17</t>
  </si>
  <si>
    <t>ACC 2102H/18</t>
  </si>
  <si>
    <t>ACC 2102H/19</t>
  </si>
  <si>
    <t>ACC 2102H/20</t>
  </si>
  <si>
    <t>ACC 2102H/21</t>
  </si>
  <si>
    <t>ACC 2102H/22</t>
  </si>
  <si>
    <t>ACC 2102H/23</t>
  </si>
  <si>
    <t>ACC 2102H/24</t>
  </si>
  <si>
    <t>ACC 2102H/25</t>
  </si>
  <si>
    <t>ACC 2102H/26</t>
  </si>
  <si>
    <t>ACC 2102H/27</t>
  </si>
  <si>
    <t>ACC 2102H/28</t>
  </si>
  <si>
    <t>ACC 2105H/1</t>
  </si>
  <si>
    <t>ACC 2105H/2</t>
  </si>
  <si>
    <t>ACC 2105H/3</t>
  </si>
  <si>
    <t>ACC 2105H/4</t>
  </si>
  <si>
    <t>ACC 2105H/5</t>
  </si>
  <si>
    <t>ACC 2105H/6</t>
  </si>
  <si>
    <t>ACC 2105H/7</t>
  </si>
  <si>
    <t>ACC 2105H/8</t>
  </si>
  <si>
    <t>ACC 2105H/9</t>
  </si>
  <si>
    <t>ACC 2105H/10</t>
  </si>
  <si>
    <t>ACC 2105H/11</t>
  </si>
  <si>
    <t>ACC 2105H/12</t>
  </si>
  <si>
    <t>ACC 2105H/13</t>
  </si>
  <si>
    <t>ACC 2105H/14</t>
  </si>
  <si>
    <t>ACC 2105H/15</t>
  </si>
  <si>
    <t>ACC 2105H/16</t>
  </si>
  <si>
    <t>ACC 2105H/17</t>
  </si>
  <si>
    <t>ACC 2105H/18</t>
  </si>
  <si>
    <t>ACC 2105H/19</t>
  </si>
  <si>
    <t>ACC 2105H/20</t>
  </si>
  <si>
    <t>ACC 2105H/21</t>
  </si>
  <si>
    <t>ACC 2105H/22</t>
  </si>
  <si>
    <t>ACC 2105H/23</t>
  </si>
  <si>
    <t>ACC 2105H/24</t>
  </si>
  <si>
    <t>ACC 2105H/25</t>
  </si>
  <si>
    <t>ACC 2105H/26</t>
  </si>
  <si>
    <t>ACC 2105H/27</t>
  </si>
  <si>
    <t>ACC 2105H/28</t>
  </si>
  <si>
    <t>ACC 2105H/29</t>
  </si>
  <si>
    <t>ACC 2105H/30</t>
  </si>
  <si>
    <t>ACC 2105H/</t>
  </si>
  <si>
    <t>BFI2101H/1</t>
  </si>
  <si>
    <t>BFI2101H/2</t>
  </si>
  <si>
    <t>BFI2101H/3</t>
  </si>
  <si>
    <t>BFI2101H/4</t>
  </si>
  <si>
    <t>BFI2101H/5</t>
  </si>
  <si>
    <t>BFI2101H/6</t>
  </si>
  <si>
    <t>BFI2101H/7</t>
  </si>
  <si>
    <t>BFI2101H/8</t>
  </si>
  <si>
    <t>BFI2101H/9</t>
  </si>
  <si>
    <t>MGT2101H/</t>
  </si>
  <si>
    <t>MGT2101H/1</t>
  </si>
  <si>
    <t>MGT2101H/2</t>
  </si>
  <si>
    <t>MGT2101H/3</t>
  </si>
  <si>
    <t>MGT2101H/4</t>
  </si>
  <si>
    <t>MGT2101H/5</t>
  </si>
  <si>
    <t>MGT2101H/6</t>
  </si>
  <si>
    <t>MGT2101H/7</t>
  </si>
  <si>
    <t>MGT2101H/8</t>
  </si>
  <si>
    <t>MGT2101H/9</t>
  </si>
  <si>
    <t>MKT2103H/1</t>
  </si>
  <si>
    <t>MKT2103H/2</t>
  </si>
  <si>
    <t>MKT2103H/3</t>
  </si>
  <si>
    <t>MKT2103H/4</t>
  </si>
  <si>
    <t>MKT2103H/5</t>
  </si>
  <si>
    <t>MKT2103H/6</t>
  </si>
  <si>
    <t>MKT2103H/7</t>
  </si>
  <si>
    <t>MKT2103H/8</t>
  </si>
  <si>
    <t>MKT2103H/9</t>
  </si>
  <si>
    <t>MKT2103H/10</t>
  </si>
  <si>
    <t>BFI 2102H/</t>
  </si>
  <si>
    <t>MKT2102H/1</t>
  </si>
  <si>
    <t>MKT2102H/2</t>
  </si>
  <si>
    <t>MKT2102H/3</t>
  </si>
  <si>
    <t>MKT2102H/4</t>
  </si>
  <si>
    <t>MKT2102H/5</t>
  </si>
  <si>
    <t>MKT2102H/6</t>
  </si>
  <si>
    <t>MKT2102H/7</t>
  </si>
  <si>
    <t>MKT2102H/8</t>
  </si>
  <si>
    <t>MKT2102H/9</t>
  </si>
  <si>
    <t>MKT2102H/10</t>
  </si>
  <si>
    <t>MGT2102H/</t>
  </si>
  <si>
    <t>MGT2102H/1</t>
  </si>
  <si>
    <t>MGT2102H/2</t>
  </si>
  <si>
    <t>MGT2102H/3</t>
  </si>
  <si>
    <t>MGT2102H/4</t>
  </si>
  <si>
    <t>MGT2102H/5</t>
  </si>
  <si>
    <t>MGT2102H/6</t>
  </si>
  <si>
    <t>MGT2102H/7</t>
  </si>
  <si>
    <t>MGT2102H/8</t>
  </si>
  <si>
    <t>MGT2102H/9</t>
  </si>
  <si>
    <t>MKT2105H/1</t>
  </si>
  <si>
    <t>MKT2105H/2</t>
  </si>
  <si>
    <t>MKT2105H/3</t>
  </si>
  <si>
    <t>MKT2105H/4</t>
  </si>
  <si>
    <t>MKT2105H/5</t>
  </si>
  <si>
    <t>MKT2105H/6</t>
  </si>
  <si>
    <t>MKT2105H/7</t>
  </si>
  <si>
    <t>MKT2105H/8</t>
  </si>
  <si>
    <t>MKT2105H/9</t>
  </si>
  <si>
    <t>MKT2105H/10</t>
  </si>
  <si>
    <t>ECO1102H/1</t>
  </si>
  <si>
    <t>ECO1102H/2</t>
  </si>
  <si>
    <t>ECO1102H/3</t>
  </si>
  <si>
    <t>ECO1102H/4</t>
  </si>
  <si>
    <t>ECO1102H/5</t>
  </si>
  <si>
    <t>ECO1102H/6</t>
  </si>
  <si>
    <t>ECO1102H/7</t>
  </si>
  <si>
    <t>ECO1102H/8</t>
  </si>
  <si>
    <t>ECO1102H/9</t>
  </si>
  <si>
    <t>ECO1102H/10</t>
  </si>
  <si>
    <t>ECO1102H/11</t>
  </si>
  <si>
    <t>ECO1102H/12</t>
  </si>
  <si>
    <t>ECO1102H/13</t>
  </si>
  <si>
    <t>ECO1102H/14</t>
  </si>
  <si>
    <t>ECO1102H/15</t>
  </si>
  <si>
    <t>ECO1102H/16</t>
  </si>
  <si>
    <t>ECO1102H/17</t>
  </si>
  <si>
    <t>ECO1102H/18</t>
  </si>
  <si>
    <t>ECO1102H/19</t>
  </si>
  <si>
    <t>ECO1102H/20</t>
  </si>
  <si>
    <t>ECO1102H/21</t>
  </si>
  <si>
    <t>ECO1102H/22</t>
  </si>
  <si>
    <t>ECO1102H/23</t>
  </si>
  <si>
    <t>ECO1102H/24</t>
  </si>
  <si>
    <t>ECO1102H/25</t>
  </si>
  <si>
    <t>ECO1102H/26</t>
  </si>
  <si>
    <t>ECO1102H/27</t>
  </si>
  <si>
    <t>ECO1102H/28</t>
  </si>
  <si>
    <t>ECO1102H/29</t>
  </si>
  <si>
    <t>ECO1102H/30</t>
  </si>
  <si>
    <t>ECO1102H/31</t>
  </si>
  <si>
    <t>ECO1102H/32</t>
  </si>
  <si>
    <t>ECO1102H/33</t>
  </si>
  <si>
    <t>ECO1102H/34</t>
  </si>
  <si>
    <t>ECO1102H/35</t>
  </si>
  <si>
    <t>ECO1102H/36</t>
  </si>
  <si>
    <t>ECO1102H/37</t>
  </si>
  <si>
    <t>ECO1102H/38</t>
  </si>
  <si>
    <t>ECO1102H/39</t>
  </si>
  <si>
    <t>ECO1102H/40</t>
  </si>
  <si>
    <t>ECO1102H/41</t>
  </si>
  <si>
    <t>ECO1102H/42</t>
  </si>
  <si>
    <t>ECO1102H/43</t>
  </si>
  <si>
    <t>ECO1102H/44</t>
  </si>
  <si>
    <t>ECO1102H/45</t>
  </si>
  <si>
    <t>ECO1102H/46</t>
  </si>
  <si>
    <t>ECO1102H/47</t>
  </si>
  <si>
    <t>ECO1102H/48</t>
  </si>
  <si>
    <t>ECO1102H/49</t>
  </si>
  <si>
    <t>ECO1102H/50</t>
  </si>
  <si>
    <t>ECO1102H/52</t>
  </si>
  <si>
    <t>ECO1102H/53</t>
  </si>
  <si>
    <t>ECO1102H/54</t>
  </si>
  <si>
    <t>ECO1102H/55</t>
  </si>
  <si>
    <t>MAT1101H/1</t>
  </si>
  <si>
    <t>MAT1101H/2</t>
  </si>
  <si>
    <t>MAT1101H/3</t>
  </si>
  <si>
    <t>MAT1101H/4</t>
  </si>
  <si>
    <t>MAT1101H/5</t>
  </si>
  <si>
    <t>MAT1101H/6</t>
  </si>
  <si>
    <t>MAT1101H/7</t>
  </si>
  <si>
    <t>MAT1101H/8</t>
  </si>
  <si>
    <t>MAT1101H/9</t>
  </si>
  <si>
    <t>MAT1101H/10</t>
  </si>
  <si>
    <t>MAT1101H/11</t>
  </si>
  <si>
    <t>MAT1101H/12</t>
  </si>
  <si>
    <t>MAT1101H/13</t>
  </si>
  <si>
    <t>MAT1101H/14</t>
  </si>
  <si>
    <t>MAT1101H/15</t>
  </si>
  <si>
    <t>MAT1101H/16</t>
  </si>
  <si>
    <t>MAT1101H/17</t>
  </si>
  <si>
    <t>MAT1101H/18</t>
  </si>
  <si>
    <t>MAT1101H/19</t>
  </si>
  <si>
    <t>MAT1101H/20</t>
  </si>
  <si>
    <t>MAT1101H/21</t>
  </si>
  <si>
    <t>MAT1101H/22</t>
  </si>
  <si>
    <t>MAT1101H/23</t>
  </si>
  <si>
    <t>MAT1101H/24</t>
  </si>
  <si>
    <t>MAT1101H/25</t>
  </si>
  <si>
    <t>MAT1101H/26</t>
  </si>
  <si>
    <t>MAT1101H/27</t>
  </si>
  <si>
    <t>MAT1101H/28</t>
  </si>
  <si>
    <t>MAT1101H/29</t>
  </si>
  <si>
    <t>MAT1101H/30</t>
  </si>
  <si>
    <t>MAT1101H/31</t>
  </si>
  <si>
    <t>MAT1101H/32</t>
  </si>
  <si>
    <t>MAT1101H/33</t>
  </si>
  <si>
    <t>MAT1101H/34</t>
  </si>
  <si>
    <t>MAT1101H/35</t>
  </si>
  <si>
    <t>MAT1101H/36</t>
  </si>
  <si>
    <t>MAT1101H/37</t>
  </si>
  <si>
    <t>MAT1101H/38</t>
  </si>
  <si>
    <t>MAT1101H/39</t>
  </si>
  <si>
    <t>MAT1101H/40</t>
  </si>
  <si>
    <t>MAT1101H/41</t>
  </si>
  <si>
    <t>MAT1101H/42</t>
  </si>
  <si>
    <t>MAT1101H/43</t>
  </si>
  <si>
    <t>MAT1101H/44</t>
  </si>
  <si>
    <t>MAT1101H/45</t>
  </si>
  <si>
    <t>MAT1101H/46</t>
  </si>
  <si>
    <t>MAT1101H/47</t>
  </si>
  <si>
    <t>MAT1101H/48</t>
  </si>
  <si>
    <t>MAT1101H/49</t>
  </si>
  <si>
    <t>MAT1101H/50</t>
  </si>
  <si>
    <t>MAT1101H/51</t>
  </si>
  <si>
    <t>MAT1101H/52</t>
  </si>
  <si>
    <t>MAT1101H/53</t>
  </si>
  <si>
    <t>MAT1101H/54</t>
  </si>
  <si>
    <t>ACC 2104H/1</t>
  </si>
  <si>
    <t>ACC 2104H/2</t>
  </si>
  <si>
    <t>ACC 2104H/3</t>
  </si>
  <si>
    <t>ACC 2104H/4</t>
  </si>
  <si>
    <t>ACC 2104H/5</t>
  </si>
  <si>
    <t>ACC 2104H/6</t>
  </si>
  <si>
    <t>ACC 2104H/7</t>
  </si>
  <si>
    <t>ACC 2104H/8</t>
  </si>
  <si>
    <t>ACC 2104H/9</t>
  </si>
  <si>
    <t>ACC 2104H/10</t>
  </si>
  <si>
    <t>ACC 2104H/11</t>
  </si>
  <si>
    <t>ACC 2104H/12</t>
  </si>
  <si>
    <t>ACC 2104H/13</t>
  </si>
  <si>
    <t>ACC 2104H/14</t>
  </si>
  <si>
    <t>ACC 2104H/15</t>
  </si>
  <si>
    <t>ACC 2104H/16</t>
  </si>
  <si>
    <t>ACC 2104H/17</t>
  </si>
  <si>
    <t>ACC 2104H/18</t>
  </si>
  <si>
    <t>ACC 2104H/19</t>
  </si>
  <si>
    <t>ACC 2104H/20</t>
  </si>
  <si>
    <t>BFI 2104H</t>
  </si>
  <si>
    <t>BFI 2104H/1</t>
  </si>
  <si>
    <t>BFI 2104H/2</t>
  </si>
  <si>
    <t>BFI 2104H/3</t>
  </si>
  <si>
    <t>BFI 2104H/4</t>
  </si>
  <si>
    <t>BFI 2104H/5</t>
  </si>
  <si>
    <t>BFI 2104H/6</t>
  </si>
  <si>
    <t>BFI 2104H/7</t>
  </si>
  <si>
    <t>BFI 2104H/8</t>
  </si>
  <si>
    <t>BFI 2104H/9</t>
  </si>
  <si>
    <t>MKT2104H/1</t>
  </si>
  <si>
    <t>MKT2104H/2</t>
  </si>
  <si>
    <t>MKT2104H/3</t>
  </si>
  <si>
    <t>MKT2104H/4</t>
  </si>
  <si>
    <t>MKT2104H/5</t>
  </si>
  <si>
    <t>MKT2104H/6</t>
  </si>
  <si>
    <t>MKT2104H/7</t>
  </si>
  <si>
    <t>MKT2104H/8</t>
  </si>
  <si>
    <t>MKT2104H/9</t>
  </si>
  <si>
    <t>MKT2104H/10</t>
  </si>
  <si>
    <t>BFI 2105H</t>
  </si>
  <si>
    <t>BFI 2105H/1</t>
  </si>
  <si>
    <t>BFI 2105H/2</t>
  </si>
  <si>
    <t>BFI 2105H/3</t>
  </si>
  <si>
    <t>BFI 2105H/4</t>
  </si>
  <si>
    <t>BFI 2105H/5</t>
  </si>
  <si>
    <t>BFI 2105H/6</t>
  </si>
  <si>
    <t>BFI 2105H/7</t>
  </si>
  <si>
    <t>BFI 2105H/8</t>
  </si>
  <si>
    <t>BFI 2105H/9</t>
  </si>
  <si>
    <t>ECO1102H/</t>
  </si>
  <si>
    <t>301521H</t>
  </si>
  <si>
    <t>ACC 2104H/</t>
  </si>
  <si>
    <t>BFI1102H/55</t>
  </si>
  <si>
    <t>BFI1102H/56</t>
  </si>
  <si>
    <t>BFI1102H/57</t>
  </si>
  <si>
    <t>BFI1102H/58</t>
  </si>
  <si>
    <t>BFI1102H/59</t>
  </si>
  <si>
    <t>MKT1101H/1</t>
  </si>
  <si>
    <t>MKT1101H/2</t>
  </si>
  <si>
    <t>MKT1101H/3</t>
  </si>
  <si>
    <t>MKT1101H/4</t>
  </si>
  <si>
    <t>MKT1101H/5</t>
  </si>
  <si>
    <t>MKT1101H/6</t>
  </si>
  <si>
    <t>MKT1101H/7</t>
  </si>
  <si>
    <t>MKT1101H/8</t>
  </si>
  <si>
    <t>MKT1101H/9</t>
  </si>
  <si>
    <t>MKT1101H/10</t>
  </si>
  <si>
    <t>MKT1101H/11</t>
  </si>
  <si>
    <t>MKT1101H/13</t>
  </si>
  <si>
    <t>MKT1101H/14</t>
  </si>
  <si>
    <t>MKT1101H/15</t>
  </si>
  <si>
    <t>MKT1101H/16</t>
  </si>
  <si>
    <t>MKT1101H/17</t>
  </si>
  <si>
    <t>MKT1101H/18</t>
  </si>
  <si>
    <t>MKT1101H/19</t>
  </si>
  <si>
    <t>MKT1101H/20</t>
  </si>
  <si>
    <t>MKT1101H/21</t>
  </si>
  <si>
    <t>MKT1101H/22</t>
  </si>
  <si>
    <t>MKT1101H/23</t>
  </si>
  <si>
    <t>MKT1101H/24</t>
  </si>
  <si>
    <t>MKT1101H/25</t>
  </si>
  <si>
    <t>MKT1101H/26</t>
  </si>
  <si>
    <t>MKT1101H/27</t>
  </si>
  <si>
    <t>MKT1101H/28</t>
  </si>
  <si>
    <t>MKT1101H/29</t>
  </si>
  <si>
    <t>MKT1101H/30</t>
  </si>
  <si>
    <t>MKT1101H/31</t>
  </si>
  <si>
    <t>MKT1101H/32</t>
  </si>
  <si>
    <t>MKT1101H/33</t>
  </si>
  <si>
    <t>MKT1101H/34</t>
  </si>
  <si>
    <t>MKT1101H/35</t>
  </si>
  <si>
    <t>MKT1101H/36</t>
  </si>
  <si>
    <t>MKT1101H/37</t>
  </si>
  <si>
    <t>MKT1101H/38</t>
  </si>
  <si>
    <t>MKT1101H/39</t>
  </si>
  <si>
    <t>MKT1101H/40</t>
  </si>
  <si>
    <t>MKT1101H/41</t>
  </si>
  <si>
    <t>MKT1101H/42</t>
  </si>
  <si>
    <t>MKT1101H/43</t>
  </si>
  <si>
    <t>MKT1101H/44</t>
  </si>
  <si>
    <t>MKT1101H/45</t>
  </si>
  <si>
    <t>MKT1101H/46</t>
  </si>
  <si>
    <t>MKT1101H/47</t>
  </si>
  <si>
    <t>MKT1101H/48</t>
  </si>
  <si>
    <t>MKT1101H/49</t>
  </si>
  <si>
    <t>MKT1101H/50</t>
  </si>
  <si>
    <t>MKT1101H/51</t>
  </si>
  <si>
    <t>MKT1101H/52</t>
  </si>
  <si>
    <t>MKT1101H/53</t>
  </si>
  <si>
    <t>MKT1101H/54</t>
  </si>
  <si>
    <t>MGT2107H</t>
  </si>
  <si>
    <t>MGT2107H/</t>
  </si>
  <si>
    <t>MGT2107H/1</t>
  </si>
  <si>
    <t>MGT2107H/2</t>
  </si>
  <si>
    <t>MGT2107H/3</t>
  </si>
  <si>
    <t>MGT2107H/4</t>
  </si>
  <si>
    <t>MGT2107H/5</t>
  </si>
  <si>
    <t>MGT2107H/6</t>
  </si>
  <si>
    <t>MGT2107H/7</t>
  </si>
  <si>
    <t>MGT2107H/8</t>
  </si>
  <si>
    <t>MGT2107H/9</t>
  </si>
  <si>
    <t>MGT2107H/10</t>
  </si>
  <si>
    <t>MGT2107H/11</t>
  </si>
  <si>
    <t>MGT2107H/12</t>
  </si>
  <si>
    <t>MGT2107H/13</t>
  </si>
  <si>
    <t>MGT2107H/14</t>
  </si>
  <si>
    <t>MGT2107H/15</t>
  </si>
  <si>
    <t>MGT2107H/16</t>
  </si>
  <si>
    <t>MGT2107H/17</t>
  </si>
  <si>
    <t>MGT2107H/18</t>
  </si>
  <si>
    <t>MGT2107H/19</t>
  </si>
  <si>
    <t>MGT2107H/20</t>
  </si>
  <si>
    <t>MGT2107H/21</t>
  </si>
  <si>
    <t>MGT2107H/22</t>
  </si>
  <si>
    <t>MGT2107H/23</t>
  </si>
  <si>
    <t>MGT2107H/24</t>
  </si>
  <si>
    <t>MGT2107H/25</t>
  </si>
  <si>
    <t>MGT2107H/26</t>
  </si>
  <si>
    <t>MGT2107H/27</t>
  </si>
  <si>
    <t>MGT2107H/28</t>
  </si>
  <si>
    <t>MGT2107H/29</t>
  </si>
  <si>
    <t>MGT2107H/30</t>
  </si>
  <si>
    <t>MGT2107H/31</t>
  </si>
  <si>
    <t>MGT2107H/32</t>
  </si>
  <si>
    <t>MGT2107H/33</t>
  </si>
  <si>
    <t>MGT2107H/34</t>
  </si>
  <si>
    <t>MGT2107H/35</t>
  </si>
  <si>
    <t>MGT2107H/36</t>
  </si>
  <si>
    <t>MGT2107H/37</t>
  </si>
  <si>
    <t>MGT2107H/38</t>
  </si>
  <si>
    <t>MGT2107H/39</t>
  </si>
  <si>
    <t>MGT2107H/72</t>
  </si>
  <si>
    <t>MGT2107H/73</t>
  </si>
  <si>
    <t>MGT2107H/75</t>
  </si>
  <si>
    <t>MGT2107H/80</t>
  </si>
  <si>
    <t>MGT2107H/81</t>
  </si>
  <si>
    <t>MGT2107H/82</t>
  </si>
  <si>
    <t>MGT2107H/83</t>
  </si>
  <si>
    <t>MGT2107H/84</t>
  </si>
  <si>
    <t>MGT2107H/85</t>
  </si>
  <si>
    <t>MGT2107H/86</t>
  </si>
  <si>
    <t>INS1101H/1</t>
  </si>
  <si>
    <t>INS1101H/2</t>
  </si>
  <si>
    <t>INS1101H/3</t>
  </si>
  <si>
    <t>INS1101H/4</t>
  </si>
  <si>
    <t>INS1101H/5</t>
  </si>
  <si>
    <t>INS1101H/6</t>
  </si>
  <si>
    <t>INS1101H/7</t>
  </si>
  <si>
    <t>INS1101H/8</t>
  </si>
  <si>
    <t>INS1101H/9</t>
  </si>
  <si>
    <t>INS1101H/10</t>
  </si>
  <si>
    <t>INS1101H/11</t>
  </si>
  <si>
    <t>INS1101H/12</t>
  </si>
  <si>
    <t>INS1101H/13</t>
  </si>
  <si>
    <t>INS1101H/14</t>
  </si>
  <si>
    <t>INS1101H/15</t>
  </si>
  <si>
    <t>INS1101H/16</t>
  </si>
  <si>
    <t>INS1101H/17</t>
  </si>
  <si>
    <t>INS1101H/18</t>
  </si>
  <si>
    <t>INS1101H/19</t>
  </si>
  <si>
    <t>INS1101H/20</t>
  </si>
  <si>
    <t>INS1101H/21</t>
  </si>
  <si>
    <t>INS1101H/22</t>
  </si>
  <si>
    <t>INS1101H/23</t>
  </si>
  <si>
    <t>INS1101H/24</t>
  </si>
  <si>
    <t>INS1101H/25</t>
  </si>
  <si>
    <t>INS1101H/26</t>
  </si>
  <si>
    <t>INS1101H/27</t>
  </si>
  <si>
    <t>INS1101H/28</t>
  </si>
  <si>
    <t>INS1101H/29</t>
  </si>
  <si>
    <t>INS1101H/30</t>
  </si>
  <si>
    <t>INS1101H/31</t>
  </si>
  <si>
    <t>INS1101H/32</t>
  </si>
  <si>
    <t>INS1101H/33</t>
  </si>
  <si>
    <t>INS1101H/34</t>
  </si>
  <si>
    <t>INS1101H/35</t>
  </si>
  <si>
    <t>INS1101H/36</t>
  </si>
  <si>
    <t>INS1101H/37</t>
  </si>
  <si>
    <t>INS1101H/38</t>
  </si>
  <si>
    <t>INS1101H/39</t>
  </si>
  <si>
    <t>INS1101H/40</t>
  </si>
  <si>
    <t>INS1101H/41</t>
  </si>
  <si>
    <t>INS1101H/42</t>
  </si>
  <si>
    <t>INS1101H/43</t>
  </si>
  <si>
    <t>INS1101H/44</t>
  </si>
  <si>
    <t>INS1101H/45</t>
  </si>
  <si>
    <t>INS1101H/46</t>
  </si>
  <si>
    <t>INS1101H/47</t>
  </si>
  <si>
    <t>INS1101H/48</t>
  </si>
  <si>
    <t>INS1101H/49</t>
  </si>
  <si>
    <t>INS1101H/50</t>
  </si>
  <si>
    <t>INS1101H/51</t>
  </si>
  <si>
    <t>INS1101H/52</t>
  </si>
  <si>
    <t>INS1101H/53</t>
  </si>
  <si>
    <t>INS1101H/54</t>
  </si>
  <si>
    <t>BFI1102H/</t>
  </si>
  <si>
    <t>BFI1102H/1</t>
  </si>
  <si>
    <t>BFI1102H/2</t>
  </si>
  <si>
    <t>BFI1102H/54</t>
  </si>
  <si>
    <t>BFI1102H/53</t>
  </si>
  <si>
    <t>BFI1102H/52</t>
  </si>
  <si>
    <t>BFI1102H/51</t>
  </si>
  <si>
    <t>BFI1102H/50</t>
  </si>
  <si>
    <t>BFI1102H/49</t>
  </si>
  <si>
    <t>BFI1102H/48</t>
  </si>
  <si>
    <t>BFI1102H/47</t>
  </si>
  <si>
    <t>BFI1102H/46</t>
  </si>
  <si>
    <t>BFI1102H/45</t>
  </si>
  <si>
    <t>BFI1102H/44</t>
  </si>
  <si>
    <t>BFI1102H/43</t>
  </si>
  <si>
    <t>BFI1102H/42</t>
  </si>
  <si>
    <t>BFI1102H/41</t>
  </si>
  <si>
    <t>BFI1102H/40</t>
  </si>
  <si>
    <t>BFI1102H/39</t>
  </si>
  <si>
    <t>BFI1102H/38</t>
  </si>
  <si>
    <t>BFI1102H/37</t>
  </si>
  <si>
    <t>BFI1102H/36</t>
  </si>
  <si>
    <t>BFI1102H/35</t>
  </si>
  <si>
    <t>BFI1102H/34</t>
  </si>
  <si>
    <t>BFI1102H/33</t>
  </si>
  <si>
    <t>BFI1102H/32</t>
  </si>
  <si>
    <t>BFI1102H/31</t>
  </si>
  <si>
    <t>BFI1102H/30</t>
  </si>
  <si>
    <t>BFI1102H/29</t>
  </si>
  <si>
    <t>BFI1102H/28</t>
  </si>
  <si>
    <t>BFI1102H/27</t>
  </si>
  <si>
    <t>BFI1102H/26</t>
  </si>
  <si>
    <t>BFI1102H/25</t>
  </si>
  <si>
    <t>BFI1102H/24</t>
  </si>
  <si>
    <t>BFI1102H/23</t>
  </si>
  <si>
    <t>BFI1102H/22</t>
  </si>
  <si>
    <t>BFI1102H/21</t>
  </si>
  <si>
    <t>BFI1102H/20</t>
  </si>
  <si>
    <t>BFI1102H/19</t>
  </si>
  <si>
    <t>BFI1102H/18</t>
  </si>
  <si>
    <t>BFI1102H/17</t>
  </si>
  <si>
    <t>BFI1102H/16</t>
  </si>
  <si>
    <t>BFI1102H/15</t>
  </si>
  <si>
    <t>BFI1102H/14</t>
  </si>
  <si>
    <t>BFI1102H/13</t>
  </si>
  <si>
    <t>BFI1102H/12</t>
  </si>
  <si>
    <t>BFI1102H/11</t>
  </si>
  <si>
    <t>BFI1102H/10</t>
  </si>
  <si>
    <t>BFI1102H/9</t>
  </si>
  <si>
    <t>BFI1102H/8</t>
  </si>
  <si>
    <t>BFI1102H/7</t>
  </si>
  <si>
    <t>BFI1102H/6</t>
  </si>
  <si>
    <t>BFI1102H/5</t>
  </si>
  <si>
    <t>BFI1102H/4</t>
  </si>
  <si>
    <t>BFI1102H/3</t>
  </si>
  <si>
    <t>COM2101H</t>
  </si>
  <si>
    <t>COM2101H/</t>
  </si>
  <si>
    <t>COM2101H/1</t>
  </si>
  <si>
    <t>COM2101H/2</t>
  </si>
  <si>
    <t>COM2101H/3</t>
  </si>
  <si>
    <t>COM2101H/4</t>
  </si>
  <si>
    <t>COM2101H/5</t>
  </si>
  <si>
    <t>COM2101H/6</t>
  </si>
  <si>
    <t>COM2101H/7</t>
  </si>
  <si>
    <t>COM2101H/8</t>
  </si>
  <si>
    <t>COM2101H/9</t>
  </si>
  <si>
    <t>COM2101H/10</t>
  </si>
  <si>
    <t>COM2101H/11</t>
  </si>
  <si>
    <t>COM2101H/12</t>
  </si>
  <si>
    <t>COM2101H/13</t>
  </si>
  <si>
    <t>COM2101H/14</t>
  </si>
  <si>
    <t>COM2101H/15</t>
  </si>
  <si>
    <t>COM2101H/16</t>
  </si>
  <si>
    <t>COM2101H/17</t>
  </si>
  <si>
    <t>COM2101H/18</t>
  </si>
  <si>
    <t>COM2101H/19</t>
  </si>
  <si>
    <t>COM2101H/20</t>
  </si>
  <si>
    <t>COM2101H/21</t>
  </si>
  <si>
    <t>COM2101H/22</t>
  </si>
  <si>
    <t>COM2101H/23</t>
  </si>
  <si>
    <t>COM2101H/24</t>
  </si>
  <si>
    <t>COM2101H/25</t>
  </si>
  <si>
    <t>COM2101H/26</t>
  </si>
  <si>
    <t>COM2101H/27</t>
  </si>
  <si>
    <t>COM2101H/28</t>
  </si>
  <si>
    <t>COM2101H/29</t>
  </si>
  <si>
    <t>COM2101H/30</t>
  </si>
  <si>
    <t>COM2101H/31</t>
  </si>
  <si>
    <t>COM2101H/32</t>
  </si>
  <si>
    <t>COM2101H/33</t>
  </si>
  <si>
    <t>COM2101H/34</t>
  </si>
  <si>
    <t>COM2101H/35</t>
  </si>
  <si>
    <t>COM2101H/36</t>
  </si>
  <si>
    <t>COM2101H/37</t>
  </si>
  <si>
    <t>COM2101H/38</t>
  </si>
  <si>
    <t>COM2101H/39</t>
  </si>
  <si>
    <t>COM2101H/40</t>
  </si>
  <si>
    <t>COM2101H/41</t>
  </si>
  <si>
    <t>COM2101H/42</t>
  </si>
  <si>
    <t>COM2101H/43</t>
  </si>
  <si>
    <t>COM2101H/44</t>
  </si>
  <si>
    <t>COM2101H/45</t>
  </si>
  <si>
    <t>COM2101H/46</t>
  </si>
  <si>
    <t>COM2101H/47</t>
  </si>
  <si>
    <t>COM2101H/48</t>
  </si>
  <si>
    <t>COM2101H/49</t>
  </si>
  <si>
    <t>ECO 2102H/1</t>
  </si>
  <si>
    <t>ECO 2102H/2</t>
  </si>
  <si>
    <t>ECO 2102H/3</t>
  </si>
  <si>
    <t>ECO 2102H/4</t>
  </si>
  <si>
    <t>ECO 2102H/5</t>
  </si>
  <si>
    <t>ECO 2102H/6</t>
  </si>
  <si>
    <t>ECO 2102H/7</t>
  </si>
  <si>
    <t>ECO 2102H/8</t>
  </si>
  <si>
    <t>ECO 2102H/9</t>
  </si>
  <si>
    <t>ECO 2102H/10</t>
  </si>
  <si>
    <t>ECO 2102H/11</t>
  </si>
  <si>
    <t>ECO 2102H/12</t>
  </si>
  <si>
    <t>ECO 2102H/13</t>
  </si>
  <si>
    <t>ECO 2102H/14</t>
  </si>
  <si>
    <t>ECO 2102H/15</t>
  </si>
  <si>
    <t>ECO 2102H/16</t>
  </si>
  <si>
    <t>ECO 2102H/17</t>
  </si>
  <si>
    <t>ECO 2102H/18</t>
  </si>
  <si>
    <t>ECO 2102H/19</t>
  </si>
  <si>
    <t>ECO 2102H/20</t>
  </si>
  <si>
    <t>ECO 2102H/21</t>
  </si>
  <si>
    <t>ECO 2102H/22</t>
  </si>
  <si>
    <t>ECO 2102H/23</t>
  </si>
  <si>
    <t>ECO 2102H/24</t>
  </si>
  <si>
    <t>ECO 2102H/25</t>
  </si>
  <si>
    <t>ECO 2102H/26</t>
  </si>
  <si>
    <t>ECO 2102H/27</t>
  </si>
  <si>
    <t>ECO 2102H/28</t>
  </si>
  <si>
    <t>ECO 2102H/29</t>
  </si>
  <si>
    <t>ECO 2102H/30</t>
  </si>
  <si>
    <t>ECO 2102H/31</t>
  </si>
  <si>
    <t>ECO 2102H/32</t>
  </si>
  <si>
    <t>ECO 2102H/33</t>
  </si>
  <si>
    <t>ECO 2102H/34</t>
  </si>
  <si>
    <t>ECO 2102H/35</t>
  </si>
  <si>
    <t>ECO 2102H/36</t>
  </si>
  <si>
    <t>ECO 2102H/37</t>
  </si>
  <si>
    <t>ECO 2102H/38</t>
  </si>
  <si>
    <t>ECO 2102H/39</t>
  </si>
  <si>
    <t>ECO 2102H/40</t>
  </si>
  <si>
    <t>ECO 2102H/41</t>
  </si>
  <si>
    <t>ECO 2102H/42</t>
  </si>
  <si>
    <t>ECO 2102H/43</t>
  </si>
  <si>
    <t>ECO 2102H/44</t>
  </si>
  <si>
    <t>ECO 2102H/45</t>
  </si>
  <si>
    <t>ECO 2102H/46</t>
  </si>
  <si>
    <t>ECO 2102H/47</t>
  </si>
  <si>
    <t>ECO 2102H/48</t>
  </si>
  <si>
    <t>ECO 2102H/49</t>
  </si>
  <si>
    <t>ACC 2103H/</t>
  </si>
  <si>
    <t>ACC 2103H/1</t>
  </si>
  <si>
    <t>ACC 2103H/2</t>
  </si>
  <si>
    <t>ACC 2103H/3</t>
  </si>
  <si>
    <t>ACC 2103H/4</t>
  </si>
  <si>
    <t>ACC 2103H/5</t>
  </si>
  <si>
    <t>ACC 2103H/6</t>
  </si>
  <si>
    <t>ACC 2103H/7</t>
  </si>
  <si>
    <t>ACC 2103H/8</t>
  </si>
  <si>
    <t>ACC 2103H/9</t>
  </si>
  <si>
    <t>ACC 2103H/10</t>
  </si>
  <si>
    <t>ACC 2103H/11</t>
  </si>
  <si>
    <t>ACC 2103H/12</t>
  </si>
  <si>
    <t>ACC 2103H/13</t>
  </si>
  <si>
    <t>ACC 2103H/14</t>
  </si>
  <si>
    <t>ACC 2103H/15</t>
  </si>
  <si>
    <t>ACC 2103H/16</t>
  </si>
  <si>
    <t>ACC 2103H/17</t>
  </si>
  <si>
    <t>ACC 2103H/18</t>
  </si>
  <si>
    <t>ACC 2103H/19</t>
  </si>
  <si>
    <t>ACC 2103H/20</t>
  </si>
  <si>
    <t>ACC 2103H/21</t>
  </si>
  <si>
    <t>ACC 2103H/22</t>
  </si>
  <si>
    <t>ACC 2103H/23</t>
  </si>
  <si>
    <t>ACC 2103H/24</t>
  </si>
  <si>
    <t>ACC 2103H/25</t>
  </si>
  <si>
    <t>ACC 2103H/26</t>
  </si>
  <si>
    <t>ACC 2103H/27</t>
  </si>
  <si>
    <t>ACC 2103H/28</t>
  </si>
  <si>
    <t>ACC 2103H/29</t>
  </si>
  <si>
    <t>ACC 2103H/30</t>
  </si>
  <si>
    <t>ACC 2103H/31</t>
  </si>
  <si>
    <t>ACC 2103H/32</t>
  </si>
  <si>
    <t>ACC 2103H/33</t>
  </si>
  <si>
    <t>ACC 2103H/34</t>
  </si>
  <si>
    <t>ACC 2103H/35</t>
  </si>
  <si>
    <t>ACC 2103H/36</t>
  </si>
  <si>
    <t>ACC 2103H/37</t>
  </si>
  <si>
    <t>ACC 2103H/38</t>
  </si>
  <si>
    <t>ACC 2103H/39</t>
  </si>
  <si>
    <t>ACC 2103H/40</t>
  </si>
  <si>
    <t>ACC 2103H/41</t>
  </si>
  <si>
    <t>ACC 2103H/42</t>
  </si>
  <si>
    <t>ACC 2103H/43</t>
  </si>
  <si>
    <t>ACC 2103H/44</t>
  </si>
  <si>
    <t>ACC 2103H/45</t>
  </si>
  <si>
    <t>ACC 2103H/46</t>
  </si>
  <si>
    <t>ACC 2103H/47</t>
  </si>
  <si>
    <t>ACC 2103H/48</t>
  </si>
  <si>
    <t>ACC 2103H/49</t>
  </si>
  <si>
    <t>ECO 2102H/</t>
  </si>
  <si>
    <t>First Semester Exams 2023-2024</t>
  </si>
  <si>
    <t>Faculty of Business and Mnagement Sciences</t>
  </si>
  <si>
    <t>HND/ FBNS 2</t>
  </si>
  <si>
    <t>Mme Teneng C.T</t>
  </si>
  <si>
    <t xml:space="preserve">HND/FBMS </t>
  </si>
  <si>
    <t>Level:2</t>
  </si>
  <si>
    <t>EXAMS/60</t>
  </si>
  <si>
    <t>Marketing Environment 1, 2</t>
  </si>
  <si>
    <t>Mme Teneng</t>
  </si>
  <si>
    <t>SCHOOL YEAR: 2023/2024</t>
  </si>
  <si>
    <t>Mr. Neba Befrieden</t>
  </si>
  <si>
    <t>Mme. Muyen Synthia</t>
  </si>
  <si>
    <t>Mr Kedju Robert Nembo</t>
  </si>
  <si>
    <t>Mr Muokweh Julius</t>
  </si>
  <si>
    <t>Dr Ghondo charles</t>
  </si>
  <si>
    <t>Mr Ghondo charles</t>
  </si>
  <si>
    <t>Mr</t>
  </si>
  <si>
    <t>ABS</t>
  </si>
  <si>
    <t>PASSED</t>
  </si>
  <si>
    <t>FAILED</t>
  </si>
  <si>
    <t>FIRST SEMESTER RESULTS 2023/2024</t>
  </si>
  <si>
    <t>Nursing</t>
  </si>
  <si>
    <t>Food Technology</t>
  </si>
  <si>
    <t>Prof. Robert J. Leke</t>
  </si>
  <si>
    <t>Dr Njualem Dominic</t>
  </si>
  <si>
    <t>Passed</t>
  </si>
  <si>
    <t>Failed</t>
  </si>
  <si>
    <t>Statistics and Business Mathematics III</t>
  </si>
  <si>
    <t>Mr Nzebir Chrysantus</t>
  </si>
  <si>
    <t>Banking Operations and Techniques</t>
  </si>
  <si>
    <t>Monetary Economics and Banking</t>
  </si>
  <si>
    <t>FRE 2101H</t>
  </si>
  <si>
    <t>LEVEL ONE</t>
  </si>
  <si>
    <t>DEPARTMENT : HND /LEVEL ONE</t>
  </si>
  <si>
    <t>x</t>
  </si>
  <si>
    <t>Principles of Insurance</t>
  </si>
  <si>
    <t>Priciples of Micro Econimics</t>
  </si>
  <si>
    <t>Statistics and Busines Maths</t>
  </si>
  <si>
    <t>Ohada Financial Accounting</t>
  </si>
  <si>
    <t>Funtional English I</t>
  </si>
  <si>
    <t>Enterprise craetion and Entrepreneurship</t>
  </si>
  <si>
    <t>Company Accounting I</t>
  </si>
  <si>
    <t>Computer Assisted Accounting II</t>
  </si>
  <si>
    <t>Monetray Eceonomics and Banking</t>
  </si>
  <si>
    <t>Marketing Environment I&amp;II</t>
  </si>
  <si>
    <t>International Trade</t>
  </si>
  <si>
    <t>Organisation and Management I</t>
  </si>
  <si>
    <t>ACC1105; Stat: ; CV:3</t>
  </si>
  <si>
    <t>Provost-STANR</t>
  </si>
  <si>
    <t xml:space="preserve"> Dean-FBMS</t>
  </si>
  <si>
    <t xml:space="preserve"> Provost-SHMS</t>
  </si>
  <si>
    <t>HND Coordinator</t>
  </si>
  <si>
    <t xml:space="preserve">HND PROGRAM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</si>
</sst>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theme="1"/>
      <name val="Times New Roman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i/>
      <sz val="11"/>
      <color theme="1"/>
      <name val="Times New Roman"/>
      <family val="1"/>
    </font>
    <font>
      <sz val="11"/>
      <name val="Times New Roman"/>
      <family val="1"/>
    </font>
    <font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Times New Roman"/>
      <family val="1"/>
    </font>
    <font>
      <b/>
      <sz val="8"/>
      <color theme="1"/>
      <name val="Times New Roman"/>
      <family val="1"/>
    </font>
    <font>
      <b/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5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3" fillId="3" borderId="48" applyNumberFormat="0" applyFont="0" applyAlignment="0" applyProtection="0"/>
    <xf numFmtId="9" fontId="33" fillId="0" borderId="0" applyFont="0" applyFill="0" applyBorder="0" applyAlignment="0" applyProtection="0"/>
  </cellStyleXfs>
  <cellXfs count="633">
    <xf numFmtId="0" fontId="0" fillId="0" borderId="0" xfId="0"/>
    <xf numFmtId="1" fontId="2" fillId="0" borderId="2" xfId="0" applyNumberFormat="1" applyFont="1" applyBorder="1"/>
    <xf numFmtId="0" fontId="2" fillId="0" borderId="2" xfId="0" applyFont="1" applyBorder="1"/>
    <xf numFmtId="0" fontId="4" fillId="2" borderId="3" xfId="0" applyFont="1" applyFill="1" applyBorder="1"/>
    <xf numFmtId="0" fontId="5" fillId="0" borderId="3" xfId="0" applyFont="1" applyBorder="1"/>
    <xf numFmtId="0" fontId="4" fillId="0" borderId="3" xfId="0" applyFont="1" applyBorder="1"/>
    <xf numFmtId="1" fontId="4" fillId="2" borderId="3" xfId="0" applyNumberFormat="1" applyFont="1" applyFill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horizontal="center"/>
    </xf>
    <xf numFmtId="0" fontId="0" fillId="0" borderId="3" xfId="0" applyBorder="1"/>
    <xf numFmtId="0" fontId="3" fillId="0" borderId="0" xfId="0" applyFont="1" applyAlignment="1">
      <alignment horizontal="right"/>
    </xf>
    <xf numFmtId="0" fontId="1" fillId="0" borderId="0" xfId="0" applyFont="1"/>
    <xf numFmtId="0" fontId="0" fillId="0" borderId="7" xfId="0" applyBorder="1"/>
    <xf numFmtId="0" fontId="3" fillId="0" borderId="0" xfId="0" applyFont="1"/>
    <xf numFmtId="0" fontId="6" fillId="0" borderId="1" xfId="0" applyFont="1" applyBorder="1"/>
    <xf numFmtId="0" fontId="6" fillId="0" borderId="2" xfId="0" applyFont="1" applyBorder="1"/>
    <xf numFmtId="1" fontId="6" fillId="0" borderId="2" xfId="0" applyNumberFormat="1" applyFont="1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8" fillId="0" borderId="2" xfId="0" applyFont="1" applyBorder="1"/>
    <xf numFmtId="1" fontId="6" fillId="0" borderId="4" xfId="0" applyNumberFormat="1" applyFont="1" applyBorder="1"/>
    <xf numFmtId="0" fontId="6" fillId="2" borderId="3" xfId="0" applyFont="1" applyFill="1" applyBorder="1"/>
    <xf numFmtId="0" fontId="6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 textRotation="90"/>
    </xf>
    <xf numFmtId="0" fontId="6" fillId="2" borderId="3" xfId="0" applyFont="1" applyFill="1" applyBorder="1" applyAlignment="1">
      <alignment textRotation="90"/>
    </xf>
    <xf numFmtId="0" fontId="6" fillId="0" borderId="0" xfId="0" applyFont="1" applyAlignment="1">
      <alignment horizontal="left" textRotation="90"/>
    </xf>
    <xf numFmtId="2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 textRotation="45"/>
    </xf>
    <xf numFmtId="1" fontId="4" fillId="0" borderId="3" xfId="0" applyNumberFormat="1" applyFont="1" applyBorder="1"/>
    <xf numFmtId="1" fontId="6" fillId="0" borderId="6" xfId="0" applyNumberFormat="1" applyFont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3" xfId="0" applyFont="1" applyFill="1" applyBorder="1"/>
    <xf numFmtId="0" fontId="4" fillId="0" borderId="3" xfId="0" applyFont="1" applyBorder="1" applyAlignment="1">
      <alignment horizontal="right"/>
    </xf>
    <xf numFmtId="0" fontId="5" fillId="0" borderId="0" xfId="0" applyFont="1"/>
    <xf numFmtId="0" fontId="1" fillId="0" borderId="2" xfId="0" applyFont="1" applyBorder="1"/>
    <xf numFmtId="0" fontId="0" fillId="0" borderId="2" xfId="0" applyBorder="1"/>
    <xf numFmtId="0" fontId="9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textRotation="90"/>
    </xf>
    <xf numFmtId="0" fontId="1" fillId="0" borderId="8" xfId="0" applyFont="1" applyBorder="1"/>
    <xf numFmtId="0" fontId="0" fillId="0" borderId="3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0" xfId="0" applyFont="1" applyBorder="1"/>
    <xf numFmtId="0" fontId="0" fillId="0" borderId="8" xfId="0" applyBorder="1"/>
    <xf numFmtId="0" fontId="0" fillId="0" borderId="3" xfId="0" applyFill="1" applyBorder="1"/>
    <xf numFmtId="0" fontId="6" fillId="0" borderId="3" xfId="0" applyFont="1" applyBorder="1" applyAlignment="1">
      <alignment textRotation="90"/>
    </xf>
    <xf numFmtId="1" fontId="9" fillId="0" borderId="2" xfId="0" applyNumberFormat="1" applyFont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11" fillId="0" borderId="0" xfId="0" applyFont="1"/>
    <xf numFmtId="0" fontId="0" fillId="0" borderId="0" xfId="0" applyBorder="1"/>
    <xf numFmtId="0" fontId="4" fillId="0" borderId="0" xfId="0" applyFont="1" applyBorder="1"/>
    <xf numFmtId="0" fontId="4" fillId="2" borderId="5" xfId="0" applyFont="1" applyFill="1" applyBorder="1"/>
    <xf numFmtId="0" fontId="4" fillId="0" borderId="5" xfId="0" applyFont="1" applyBorder="1"/>
    <xf numFmtId="0" fontId="0" fillId="0" borderId="3" xfId="0" applyBorder="1" applyAlignment="1">
      <alignment horizontal="left"/>
    </xf>
    <xf numFmtId="0" fontId="1" fillId="0" borderId="3" xfId="0" applyFont="1" applyBorder="1" applyAlignment="1">
      <alignment wrapText="1"/>
    </xf>
    <xf numFmtId="0" fontId="0" fillId="0" borderId="5" xfId="0" applyBorder="1"/>
    <xf numFmtId="0" fontId="0" fillId="0" borderId="3" xfId="0" applyBorder="1" applyAlignment="1">
      <alignment vertical="top"/>
    </xf>
    <xf numFmtId="164" fontId="4" fillId="2" borderId="3" xfId="0" applyNumberFormat="1" applyFont="1" applyFill="1" applyBorder="1"/>
    <xf numFmtId="164" fontId="4" fillId="0" borderId="3" xfId="0" applyNumberFormat="1" applyFont="1" applyBorder="1"/>
    <xf numFmtId="0" fontId="6" fillId="0" borderId="2" xfId="0" applyFont="1" applyBorder="1" applyAlignment="1">
      <alignment horizontal="left"/>
    </xf>
    <xf numFmtId="0" fontId="6" fillId="0" borderId="2" xfId="0" applyFont="1" applyBorder="1"/>
    <xf numFmtId="0" fontId="1" fillId="0" borderId="2" xfId="0" applyFont="1" applyBorder="1"/>
    <xf numFmtId="0" fontId="1" fillId="0" borderId="7" xfId="0" applyFont="1" applyBorder="1"/>
    <xf numFmtId="0" fontId="0" fillId="0" borderId="2" xfId="0" applyBorder="1"/>
    <xf numFmtId="0" fontId="12" fillId="0" borderId="2" xfId="0" applyFont="1" applyBorder="1"/>
    <xf numFmtId="0" fontId="12" fillId="0" borderId="1" xfId="0" applyFont="1" applyBorder="1"/>
    <xf numFmtId="0" fontId="12" fillId="2" borderId="3" xfId="0" applyFont="1" applyFill="1" applyBorder="1" applyAlignment="1">
      <alignment horizontal="center"/>
    </xf>
    <xf numFmtId="0" fontId="13" fillId="2" borderId="3" xfId="0" applyFont="1" applyFill="1" applyBorder="1"/>
    <xf numFmtId="0" fontId="13" fillId="0" borderId="0" xfId="0" applyFont="1"/>
    <xf numFmtId="0" fontId="14" fillId="0" borderId="0" xfId="0" applyFont="1" applyFill="1" applyBorder="1"/>
    <xf numFmtId="0" fontId="14" fillId="0" borderId="0" xfId="0" applyFont="1"/>
    <xf numFmtId="0" fontId="13" fillId="0" borderId="3" xfId="0" applyFont="1" applyBorder="1"/>
    <xf numFmtId="0" fontId="12" fillId="2" borderId="3" xfId="0" applyFont="1" applyFill="1" applyBorder="1" applyAlignment="1">
      <alignment horizontal="center" textRotation="90"/>
    </xf>
    <xf numFmtId="0" fontId="6" fillId="0" borderId="2" xfId="0" applyFon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4" fillId="2" borderId="0" xfId="0" applyFont="1" applyFill="1" applyBorder="1"/>
    <xf numFmtId="0" fontId="6" fillId="0" borderId="1" xfId="0" applyFont="1" applyBorder="1"/>
    <xf numFmtId="0" fontId="6" fillId="0" borderId="2" xfId="0" applyFont="1" applyBorder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1" xfId="0" applyFont="1" applyBorder="1"/>
    <xf numFmtId="0" fontId="7" fillId="0" borderId="2" xfId="0" applyFont="1" applyBorder="1"/>
    <xf numFmtId="0" fontId="6" fillId="0" borderId="1" xfId="0" applyFont="1" applyBorder="1" applyAlignment="1"/>
    <xf numFmtId="0" fontId="6" fillId="0" borderId="2" xfId="0" applyFont="1" applyBorder="1" applyAlignment="1"/>
    <xf numFmtId="0" fontId="12" fillId="0" borderId="2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0" fontId="12" fillId="0" borderId="2" xfId="0" applyFont="1" applyBorder="1"/>
    <xf numFmtId="0" fontId="1" fillId="0" borderId="2" xfId="0" applyFont="1" applyBorder="1"/>
    <xf numFmtId="0" fontId="0" fillId="0" borderId="2" xfId="0" applyBorder="1"/>
    <xf numFmtId="0" fontId="0" fillId="0" borderId="6" xfId="0" applyBorder="1"/>
    <xf numFmtId="0" fontId="0" fillId="0" borderId="6" xfId="0" applyBorder="1"/>
    <xf numFmtId="0" fontId="16" fillId="0" borderId="2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7" fillId="0" borderId="23" xfId="0" applyFont="1" applyBorder="1"/>
    <xf numFmtId="0" fontId="17" fillId="0" borderId="3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/>
    <xf numFmtId="0" fontId="17" fillId="0" borderId="2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0" fillId="0" borderId="30" xfId="0" applyBorder="1"/>
    <xf numFmtId="0" fontId="17" fillId="0" borderId="37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" xfId="0" applyFont="1" applyBorder="1"/>
    <xf numFmtId="0" fontId="0" fillId="0" borderId="40" xfId="0" applyBorder="1"/>
    <xf numFmtId="0" fontId="16" fillId="0" borderId="39" xfId="0" applyFont="1" applyBorder="1"/>
    <xf numFmtId="0" fontId="0" fillId="0" borderId="6" xfId="0" applyBorder="1" applyAlignment="1">
      <alignment vertical="center"/>
    </xf>
    <xf numFmtId="0" fontId="17" fillId="0" borderId="39" xfId="0" applyFont="1" applyBorder="1" applyAlignment="1">
      <alignment vertical="center"/>
    </xf>
    <xf numFmtId="0" fontId="16" fillId="0" borderId="44" xfId="0" applyFont="1" applyBorder="1"/>
    <xf numFmtId="0" fontId="0" fillId="0" borderId="0" xfId="0" applyBorder="1" applyAlignment="1">
      <alignment vertical="center"/>
    </xf>
    <xf numFmtId="0" fontId="17" fillId="0" borderId="44" xfId="0" applyFont="1" applyBorder="1" applyAlignment="1">
      <alignment vertical="center"/>
    </xf>
    <xf numFmtId="0" fontId="0" fillId="0" borderId="40" xfId="0" applyBorder="1" applyAlignment="1">
      <alignment horizontal="right"/>
    </xf>
    <xf numFmtId="0" fontId="0" fillId="0" borderId="0" xfId="0" applyBorder="1" applyAlignment="1">
      <alignment horizontal="right"/>
    </xf>
    <xf numFmtId="0" fontId="16" fillId="0" borderId="44" xfId="0" applyFont="1" applyBorder="1" applyAlignment="1"/>
    <xf numFmtId="0" fontId="16" fillId="0" borderId="40" xfId="0" applyFont="1" applyBorder="1" applyAlignment="1"/>
    <xf numFmtId="0" fontId="0" fillId="0" borderId="44" xfId="0" applyBorder="1"/>
    <xf numFmtId="0" fontId="17" fillId="0" borderId="44" xfId="0" applyFont="1" applyBorder="1"/>
    <xf numFmtId="0" fontId="0" fillId="0" borderId="32" xfId="0" applyBorder="1"/>
    <xf numFmtId="0" fontId="16" fillId="0" borderId="33" xfId="0" applyFont="1" applyBorder="1"/>
    <xf numFmtId="0" fontId="17" fillId="0" borderId="33" xfId="0" applyFont="1" applyBorder="1"/>
    <xf numFmtId="0" fontId="6" fillId="0" borderId="2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4" fillId="0" borderId="23" xfId="0" applyFont="1" applyBorder="1"/>
    <xf numFmtId="0" fontId="4" fillId="0" borderId="3" xfId="0" applyFont="1" applyBorder="1" applyAlignment="1">
      <alignment vertical="top" wrapText="1"/>
    </xf>
    <xf numFmtId="0" fontId="4" fillId="0" borderId="3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4" xfId="0" applyFont="1" applyBorder="1"/>
    <xf numFmtId="0" fontId="4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1" fontId="17" fillId="0" borderId="8" xfId="0" applyNumberFormat="1" applyFont="1" applyBorder="1" applyAlignment="1">
      <alignment horizontal="center" vertical="center"/>
    </xf>
    <xf numFmtId="1" fontId="17" fillId="0" borderId="32" xfId="0" applyNumberFormat="1" applyFont="1" applyBorder="1" applyAlignment="1">
      <alignment horizontal="center" vertical="center"/>
    </xf>
    <xf numFmtId="1" fontId="17" fillId="0" borderId="3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1" fontId="17" fillId="0" borderId="30" xfId="0" applyNumberFormat="1" applyFont="1" applyBorder="1" applyAlignment="1">
      <alignment horizontal="center" vertical="center"/>
    </xf>
    <xf numFmtId="1" fontId="17" fillId="0" borderId="24" xfId="0" applyNumberFormat="1" applyFont="1" applyBorder="1" applyAlignment="1">
      <alignment horizontal="center" vertical="center"/>
    </xf>
    <xf numFmtId="1" fontId="17" fillId="0" borderId="35" xfId="0" applyNumberFormat="1" applyFont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19" fillId="0" borderId="0" xfId="0" applyFont="1" applyBorder="1" applyAlignment="1"/>
    <xf numFmtId="0" fontId="19" fillId="0" borderId="0" xfId="0" applyFont="1" applyBorder="1" applyAlignment="1"/>
    <xf numFmtId="0" fontId="11" fillId="0" borderId="0" xfId="0" applyFont="1" applyBorder="1"/>
    <xf numFmtId="0" fontId="20" fillId="0" borderId="0" xfId="0" applyFont="1" applyAlignment="1"/>
    <xf numFmtId="0" fontId="19" fillId="0" borderId="0" xfId="0" applyFont="1" applyAlignment="1"/>
    <xf numFmtId="0" fontId="6" fillId="0" borderId="0" xfId="0" applyFont="1" applyAlignment="1"/>
    <xf numFmtId="0" fontId="19" fillId="0" borderId="0" xfId="0" applyFont="1"/>
    <xf numFmtId="0" fontId="20" fillId="0" borderId="3" xfId="0" applyFont="1" applyBorder="1" applyAlignment="1">
      <alignment horizontal="center" vertical="top" wrapText="1"/>
    </xf>
    <xf numFmtId="0" fontId="24" fillId="0" borderId="3" xfId="0" applyFont="1" applyBorder="1" applyAlignment="1">
      <alignment horizontal="right" vertical="top" wrapText="1"/>
    </xf>
    <xf numFmtId="0" fontId="24" fillId="0" borderId="3" xfId="0" applyFont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25" fillId="0" borderId="3" xfId="0" applyFont="1" applyBorder="1" applyAlignment="1">
      <alignment vertical="top" wrapText="1"/>
    </xf>
    <xf numFmtId="0" fontId="25" fillId="0" borderId="3" xfId="0" applyFont="1" applyBorder="1" applyAlignment="1">
      <alignment horizontal="justify" vertical="top" wrapText="1"/>
    </xf>
    <xf numFmtId="1" fontId="11" fillId="0" borderId="3" xfId="0" applyNumberFormat="1" applyFont="1" applyBorder="1" applyAlignment="1">
      <alignment vertical="top"/>
    </xf>
    <xf numFmtId="2" fontId="11" fillId="0" borderId="3" xfId="0" applyNumberFormat="1" applyFont="1" applyBorder="1" applyAlignment="1">
      <alignment vertical="top" wrapText="1"/>
    </xf>
    <xf numFmtId="0" fontId="11" fillId="0" borderId="3" xfId="0" applyFont="1" applyBorder="1" applyAlignment="1">
      <alignment vertical="top" wrapText="1"/>
    </xf>
    <xf numFmtId="0" fontId="22" fillId="0" borderId="3" xfId="0" applyFont="1" applyBorder="1" applyAlignment="1">
      <alignment vertical="top" wrapText="1"/>
    </xf>
    <xf numFmtId="0" fontId="25" fillId="0" borderId="3" xfId="0" applyFont="1" applyBorder="1" applyAlignment="1">
      <alignment horizontal="left" vertical="top" wrapText="1"/>
    </xf>
    <xf numFmtId="0" fontId="11" fillId="0" borderId="3" xfId="0" applyFont="1" applyBorder="1"/>
    <xf numFmtId="0" fontId="19" fillId="0" borderId="3" xfId="0" applyFont="1" applyBorder="1"/>
    <xf numFmtId="2" fontId="19" fillId="0" borderId="3" xfId="0" applyNumberFormat="1" applyFont="1" applyBorder="1"/>
    <xf numFmtId="0" fontId="26" fillId="0" borderId="0" xfId="0" applyFont="1" applyFill="1" applyBorder="1" applyAlignment="1">
      <alignment horizontal="left" vertical="top" wrapText="1"/>
    </xf>
    <xf numFmtId="0" fontId="19" fillId="0" borderId="0" xfId="0" applyFont="1" applyBorder="1"/>
    <xf numFmtId="0" fontId="19" fillId="0" borderId="0" xfId="0" applyFont="1" applyFill="1" applyBorder="1" applyAlignment="1">
      <alignment horizontal="center" vertical="top" wrapText="1"/>
    </xf>
    <xf numFmtId="0" fontId="26" fillId="0" borderId="0" xfId="0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left" vertical="top" wrapText="1"/>
    </xf>
    <xf numFmtId="2" fontId="19" fillId="0" borderId="0" xfId="0" applyNumberFormat="1" applyFont="1" applyBorder="1"/>
    <xf numFmtId="2" fontId="1" fillId="0" borderId="0" xfId="0" applyNumberFormat="1" applyFont="1"/>
    <xf numFmtId="2" fontId="19" fillId="0" borderId="0" xfId="0" applyNumberFormat="1" applyFont="1" applyFill="1" applyBorder="1" applyAlignment="1">
      <alignment horizontal="left" vertical="top" wrapText="1"/>
    </xf>
    <xf numFmtId="0" fontId="19" fillId="0" borderId="7" xfId="0" applyFont="1" applyFill="1" applyBorder="1" applyAlignment="1">
      <alignment horizontal="left" vertical="top" wrapText="1"/>
    </xf>
    <xf numFmtId="0" fontId="11" fillId="0" borderId="0" xfId="0" applyFont="1" applyBorder="1" applyAlignment="1">
      <alignment horizontal="center"/>
    </xf>
    <xf numFmtId="0" fontId="11" fillId="0" borderId="6" xfId="0" applyFont="1" applyBorder="1"/>
    <xf numFmtId="0" fontId="11" fillId="0" borderId="0" xfId="0" applyFont="1" applyBorder="1" applyAlignment="1"/>
    <xf numFmtId="0" fontId="25" fillId="0" borderId="3" xfId="0" applyFont="1" applyBorder="1" applyAlignment="1">
      <alignment horizontal="center" vertical="top" wrapText="1"/>
    </xf>
    <xf numFmtId="0" fontId="25" fillId="0" borderId="1" xfId="0" applyFont="1" applyBorder="1" applyAlignment="1">
      <alignment vertical="top" wrapText="1"/>
    </xf>
    <xf numFmtId="0" fontId="24" fillId="0" borderId="0" xfId="0" applyFont="1" applyAlignment="1"/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right" vertical="top" wrapText="1"/>
    </xf>
    <xf numFmtId="2" fontId="4" fillId="0" borderId="3" xfId="0" applyNumberFormat="1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1" fontId="11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top" wrapText="1"/>
    </xf>
    <xf numFmtId="0" fontId="0" fillId="0" borderId="0" xfId="0" applyFont="1" applyAlignment="1">
      <alignment vertical="top"/>
    </xf>
    <xf numFmtId="0" fontId="6" fillId="0" borderId="3" xfId="0" applyFont="1" applyBorder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 wrapText="1"/>
    </xf>
    <xf numFmtId="0" fontId="11" fillId="0" borderId="7" xfId="0" applyFont="1" applyFill="1" applyBorder="1" applyAlignment="1">
      <alignment horizontal="left" vertical="top" wrapText="1"/>
    </xf>
    <xf numFmtId="0" fontId="11" fillId="0" borderId="0" xfId="0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9" fillId="0" borderId="0" xfId="0" applyFont="1" applyBorder="1" applyAlignment="1">
      <alignment horizontal="left"/>
    </xf>
    <xf numFmtId="0" fontId="11" fillId="0" borderId="3" xfId="0" applyFont="1" applyBorder="1" applyAlignment="1">
      <alignment vertical="top"/>
    </xf>
    <xf numFmtId="0" fontId="11" fillId="0" borderId="3" xfId="0" applyFont="1" applyBorder="1" applyAlignment="1">
      <alignment horizontal="right" vertical="top" wrapText="1"/>
    </xf>
    <xf numFmtId="0" fontId="4" fillId="0" borderId="4" xfId="0" applyFont="1" applyBorder="1" applyAlignment="1">
      <alignment vertical="top" wrapText="1"/>
    </xf>
    <xf numFmtId="0" fontId="11" fillId="0" borderId="0" xfId="0" applyFont="1" applyBorder="1" applyAlignment="1">
      <alignment vertical="top" wrapText="1"/>
    </xf>
    <xf numFmtId="2" fontId="11" fillId="0" borderId="3" xfId="0" applyNumberFormat="1" applyFont="1" applyBorder="1"/>
    <xf numFmtId="1" fontId="4" fillId="0" borderId="3" xfId="0" applyNumberFormat="1" applyFont="1" applyBorder="1" applyAlignment="1">
      <alignment horizontal="center" vertical="top" wrapText="1"/>
    </xf>
    <xf numFmtId="1" fontId="4" fillId="0" borderId="3" xfId="0" applyNumberFormat="1" applyFont="1" applyBorder="1" applyAlignment="1">
      <alignment horizontal="center" vertical="top"/>
    </xf>
    <xf numFmtId="1" fontId="4" fillId="0" borderId="3" xfId="0" applyNumberFormat="1" applyFont="1" applyBorder="1" applyAlignment="1">
      <alignment horizontal="center" vertical="center"/>
    </xf>
    <xf numFmtId="1" fontId="0" fillId="0" borderId="3" xfId="0" applyNumberFormat="1" applyBorder="1"/>
    <xf numFmtId="0" fontId="15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 vertical="center"/>
    </xf>
    <xf numFmtId="0" fontId="15" fillId="0" borderId="10" xfId="0" applyFont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/>
    <xf numFmtId="1" fontId="17" fillId="0" borderId="34" xfId="0" applyNumberFormat="1" applyFont="1" applyBorder="1" applyAlignment="1">
      <alignment horizontal="center" vertical="center"/>
    </xf>
    <xf numFmtId="0" fontId="1" fillId="0" borderId="14" xfId="0" applyFont="1" applyBorder="1" applyAlignment="1"/>
    <xf numFmtId="1" fontId="17" fillId="0" borderId="23" xfId="0" applyNumberFormat="1" applyFont="1" applyBorder="1" applyAlignment="1">
      <alignment horizontal="center" vertical="center"/>
    </xf>
    <xf numFmtId="0" fontId="0" fillId="0" borderId="0" xfId="0" applyAlignment="1"/>
    <xf numFmtId="0" fontId="1" fillId="0" borderId="0" xfId="0" applyFont="1" applyBorder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left" wrapText="1"/>
    </xf>
    <xf numFmtId="0" fontId="25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/>
    </xf>
    <xf numFmtId="0" fontId="0" fillId="0" borderId="3" xfId="0" applyFont="1" applyBorder="1" applyAlignment="1">
      <alignment horizontal="left"/>
    </xf>
    <xf numFmtId="0" fontId="11" fillId="0" borderId="6" xfId="0" applyFont="1" applyBorder="1"/>
    <xf numFmtId="1" fontId="11" fillId="0" borderId="3" xfId="0" applyNumberFormat="1" applyFont="1" applyBorder="1" applyAlignment="1">
      <alignment horizontal="center" vertical="top"/>
    </xf>
    <xf numFmtId="1" fontId="11" fillId="0" borderId="0" xfId="0" applyNumberFormat="1" applyFont="1" applyBorder="1" applyAlignment="1">
      <alignment horizontal="center" vertical="top"/>
    </xf>
    <xf numFmtId="0" fontId="5" fillId="0" borderId="2" xfId="0" applyFont="1" applyBorder="1"/>
    <xf numFmtId="0" fontId="11" fillId="0" borderId="6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6" fillId="0" borderId="3" xfId="0" applyFont="1" applyBorder="1" applyAlignment="1"/>
    <xf numFmtId="0" fontId="6" fillId="0" borderId="3" xfId="0" applyFont="1" applyBorder="1" applyAlignment="1">
      <alignment horizontal="center" wrapText="1"/>
    </xf>
    <xf numFmtId="0" fontId="4" fillId="0" borderId="1" xfId="0" applyFont="1" applyBorder="1"/>
    <xf numFmtId="0" fontId="28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0" fontId="28" fillId="0" borderId="4" xfId="0" applyFont="1" applyBorder="1"/>
    <xf numFmtId="0" fontId="6" fillId="0" borderId="3" xfId="0" applyFont="1" applyBorder="1" applyAlignment="1">
      <alignment horizontal="center"/>
    </xf>
    <xf numFmtId="2" fontId="6" fillId="0" borderId="3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7" xfId="0" applyFont="1" applyBorder="1"/>
    <xf numFmtId="1" fontId="4" fillId="0" borderId="3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1" fillId="0" borderId="7" xfId="0" applyFont="1" applyBorder="1"/>
    <xf numFmtId="0" fontId="30" fillId="0" borderId="3" xfId="0" applyFont="1" applyBorder="1"/>
    <xf numFmtId="0" fontId="30" fillId="0" borderId="3" xfId="0" applyFont="1" applyBorder="1" applyAlignment="1">
      <alignment vertical="top" wrapText="1"/>
    </xf>
    <xf numFmtId="0" fontId="30" fillId="0" borderId="3" xfId="0" applyFont="1" applyBorder="1" applyAlignment="1">
      <alignment wrapText="1"/>
    </xf>
    <xf numFmtId="0" fontId="0" fillId="0" borderId="1" xfId="0" applyBorder="1"/>
    <xf numFmtId="0" fontId="31" fillId="0" borderId="3" xfId="0" applyFont="1" applyBorder="1"/>
    <xf numFmtId="0" fontId="31" fillId="0" borderId="3" xfId="0" applyFont="1" applyBorder="1" applyAlignment="1">
      <alignment vertical="center" wrapText="1"/>
    </xf>
    <xf numFmtId="0" fontId="31" fillId="0" borderId="3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31" fillId="0" borderId="0" xfId="0" applyFont="1" applyBorder="1" applyAlignment="1">
      <alignment vertical="center" wrapText="1"/>
    </xf>
    <xf numFmtId="0" fontId="0" fillId="0" borderId="0" xfId="0" applyFill="1" applyBorder="1"/>
    <xf numFmtId="0" fontId="0" fillId="0" borderId="40" xfId="0" applyFill="1" applyBorder="1"/>
    <xf numFmtId="0" fontId="0" fillId="0" borderId="0" xfId="0" applyFont="1" applyFill="1" applyBorder="1"/>
    <xf numFmtId="0" fontId="0" fillId="0" borderId="0" xfId="0" applyFont="1" applyBorder="1"/>
    <xf numFmtId="1" fontId="0" fillId="0" borderId="0" xfId="0" applyNumberFormat="1" applyBorder="1"/>
    <xf numFmtId="0" fontId="1" fillId="0" borderId="3" xfId="0" applyFont="1" applyBorder="1"/>
    <xf numFmtId="2" fontId="17" fillId="0" borderId="0" xfId="0" applyNumberFormat="1" applyFont="1" applyBorder="1" applyAlignment="1">
      <alignment horizontal="right"/>
    </xf>
    <xf numFmtId="2" fontId="17" fillId="0" borderId="44" xfId="0" applyNumberFormat="1" applyFont="1" applyBorder="1" applyAlignment="1">
      <alignment horizontal="right"/>
    </xf>
    <xf numFmtId="2" fontId="17" fillId="0" borderId="0" xfId="0" applyNumberFormat="1" applyFont="1" applyBorder="1" applyAlignment="1">
      <alignment horizontal="right" vertical="center"/>
    </xf>
    <xf numFmtId="2" fontId="17" fillId="0" borderId="44" xfId="0" applyNumberFormat="1" applyFont="1" applyBorder="1" applyAlignment="1">
      <alignment horizontal="right" vertical="center"/>
    </xf>
    <xf numFmtId="1" fontId="4" fillId="2" borderId="0" xfId="0" applyNumberFormat="1" applyFont="1" applyFill="1" applyBorder="1"/>
    <xf numFmtId="0" fontId="17" fillId="0" borderId="5" xfId="0" applyFont="1" applyBorder="1"/>
    <xf numFmtId="0" fontId="27" fillId="0" borderId="30" xfId="0" applyFont="1" applyBorder="1"/>
    <xf numFmtId="1" fontId="17" fillId="0" borderId="38" xfId="0" applyNumberFormat="1" applyFont="1" applyBorder="1" applyAlignment="1">
      <alignment horizontal="center" vertical="center"/>
    </xf>
    <xf numFmtId="1" fontId="17" fillId="0" borderId="9" xfId="0" applyNumberFormat="1" applyFont="1" applyBorder="1" applyAlignment="1">
      <alignment horizontal="center" vertical="center"/>
    </xf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0" fillId="0" borderId="6" xfId="0" applyBorder="1"/>
    <xf numFmtId="2" fontId="17" fillId="0" borderId="0" xfId="0" applyNumberFormat="1" applyFont="1" applyBorder="1" applyAlignment="1">
      <alignment horizontal="right"/>
    </xf>
    <xf numFmtId="2" fontId="17" fillId="0" borderId="44" xfId="0" applyNumberFormat="1" applyFont="1" applyBorder="1" applyAlignment="1">
      <alignment horizontal="right"/>
    </xf>
    <xf numFmtId="2" fontId="17" fillId="0" borderId="0" xfId="0" applyNumberFormat="1" applyFont="1" applyBorder="1" applyAlignment="1">
      <alignment horizontal="right" vertical="center"/>
    </xf>
    <xf numFmtId="2" fontId="17" fillId="0" borderId="44" xfId="0" applyNumberFormat="1" applyFont="1" applyBorder="1" applyAlignment="1">
      <alignment horizontal="right" vertical="center"/>
    </xf>
    <xf numFmtId="0" fontId="0" fillId="0" borderId="32" xfId="0" applyBorder="1"/>
    <xf numFmtId="0" fontId="0" fillId="0" borderId="7" xfId="0" applyBorder="1"/>
    <xf numFmtId="0" fontId="0" fillId="0" borderId="33" xfId="0" applyBorder="1"/>
    <xf numFmtId="0" fontId="1" fillId="0" borderId="9" xfId="0" applyFont="1" applyFill="1" applyBorder="1" applyAlignment="1">
      <alignment textRotation="90"/>
    </xf>
    <xf numFmtId="0" fontId="4" fillId="3" borderId="48" xfId="1" applyFont="1"/>
    <xf numFmtId="0" fontId="0" fillId="3" borderId="48" xfId="1" applyFont="1"/>
    <xf numFmtId="0" fontId="4" fillId="3" borderId="48" xfId="1" applyFont="1" applyAlignment="1">
      <alignment horizontal="center" vertical="center"/>
    </xf>
    <xf numFmtId="0" fontId="5" fillId="3" borderId="48" xfId="1" applyFont="1" applyAlignment="1">
      <alignment horizontal="center" vertical="center"/>
    </xf>
    <xf numFmtId="1" fontId="5" fillId="3" borderId="48" xfId="1" applyNumberFormat="1" applyFont="1" applyAlignment="1">
      <alignment horizontal="center" vertical="center"/>
    </xf>
    <xf numFmtId="0" fontId="0" fillId="0" borderId="39" xfId="0" applyBorder="1"/>
    <xf numFmtId="164" fontId="0" fillId="0" borderId="3" xfId="0" applyNumberFormat="1" applyFont="1" applyBorder="1"/>
    <xf numFmtId="164" fontId="0" fillId="0" borderId="3" xfId="0" applyNumberFormat="1" applyBorder="1"/>
    <xf numFmtId="0" fontId="13" fillId="3" borderId="48" xfId="1" applyFont="1"/>
    <xf numFmtId="1" fontId="4" fillId="3" borderId="48" xfId="1" applyNumberFormat="1" applyFont="1"/>
    <xf numFmtId="0" fontId="4" fillId="3" borderId="48" xfId="1" applyFont="1" applyAlignment="1">
      <alignment horizontal="left"/>
    </xf>
    <xf numFmtId="0" fontId="4" fillId="3" borderId="48" xfId="1" applyFont="1" applyAlignment="1">
      <alignment horizontal="right"/>
    </xf>
    <xf numFmtId="164" fontId="4" fillId="3" borderId="48" xfId="1" applyNumberFormat="1" applyFont="1"/>
    <xf numFmtId="0" fontId="17" fillId="3" borderId="48" xfId="1" applyFont="1" applyAlignment="1">
      <alignment horizontal="center" vertical="center"/>
    </xf>
    <xf numFmtId="0" fontId="4" fillId="3" borderId="49" xfId="1" applyFont="1" applyBorder="1" applyAlignment="1">
      <alignment horizontal="left"/>
    </xf>
    <xf numFmtId="0" fontId="4" fillId="3" borderId="3" xfId="1" applyFont="1" applyBorder="1"/>
    <xf numFmtId="0" fontId="13" fillId="3" borderId="3" xfId="1" applyFont="1" applyBorder="1"/>
    <xf numFmtId="1" fontId="4" fillId="3" borderId="3" xfId="1" applyNumberFormat="1" applyFont="1" applyBorder="1"/>
    <xf numFmtId="164" fontId="4" fillId="3" borderId="3" xfId="1" applyNumberFormat="1" applyFont="1" applyBorder="1"/>
    <xf numFmtId="0" fontId="4" fillId="3" borderId="0" xfId="1" applyFont="1" applyBorder="1"/>
    <xf numFmtId="0" fontId="13" fillId="3" borderId="0" xfId="1" applyFont="1" applyBorder="1"/>
    <xf numFmtId="164" fontId="4" fillId="0" borderId="0" xfId="0" applyNumberFormat="1" applyFont="1" applyBorder="1"/>
    <xf numFmtId="164" fontId="4" fillId="3" borderId="0" xfId="1" applyNumberFormat="1" applyFont="1" applyBorder="1"/>
    <xf numFmtId="0" fontId="4" fillId="3" borderId="0" xfId="1" applyFont="1" applyBorder="1" applyAlignment="1">
      <alignment horizontal="left"/>
    </xf>
    <xf numFmtId="0" fontId="31" fillId="3" borderId="48" xfId="1" applyFont="1"/>
    <xf numFmtId="0" fontId="15" fillId="0" borderId="0" xfId="0" applyFont="1" applyBorder="1" applyAlignment="1">
      <alignment horizontal="left"/>
    </xf>
    <xf numFmtId="0" fontId="16" fillId="0" borderId="3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0" fillId="3" borderId="3" xfId="1" applyFont="1" applyBorder="1"/>
    <xf numFmtId="0" fontId="31" fillId="3" borderId="3" xfId="1" applyFont="1" applyBorder="1"/>
    <xf numFmtId="0" fontId="27" fillId="0" borderId="6" xfId="0" applyFont="1" applyBorder="1"/>
    <xf numFmtId="0" fontId="16" fillId="0" borderId="6" xfId="0" applyFont="1" applyBorder="1"/>
    <xf numFmtId="0" fontId="16" fillId="0" borderId="0" xfId="0" applyFont="1" applyBorder="1"/>
    <xf numFmtId="0" fontId="16" fillId="0" borderId="0" xfId="0" applyFont="1" applyBorder="1" applyAlignment="1"/>
    <xf numFmtId="0" fontId="16" fillId="0" borderId="7" xfId="0" applyFont="1" applyBorder="1"/>
    <xf numFmtId="0" fontId="4" fillId="0" borderId="2" xfId="0" applyFont="1" applyBorder="1"/>
    <xf numFmtId="0" fontId="6" fillId="0" borderId="10" xfId="0" applyFont="1" applyBorder="1" applyAlignment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/>
    <xf numFmtId="0" fontId="6" fillId="0" borderId="2" xfId="0" applyFont="1" applyBorder="1"/>
    <xf numFmtId="0" fontId="6" fillId="0" borderId="0" xfId="0" applyFont="1" applyBorder="1"/>
    <xf numFmtId="0" fontId="34" fillId="0" borderId="1" xfId="0" applyFont="1" applyBorder="1"/>
    <xf numFmtId="0" fontId="30" fillId="0" borderId="3" xfId="0" applyFont="1" applyBorder="1" applyAlignment="1">
      <alignment vertical="center" wrapText="1"/>
    </xf>
    <xf numFmtId="0" fontId="6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3" xfId="0" applyFont="1" applyBorder="1" applyAlignment="1">
      <alignment vertical="top"/>
    </xf>
    <xf numFmtId="0" fontId="0" fillId="0" borderId="5" xfId="0" applyFont="1" applyBorder="1"/>
    <xf numFmtId="0" fontId="0" fillId="0" borderId="1" xfId="0" applyFont="1" applyBorder="1"/>
    <xf numFmtId="0" fontId="0" fillId="0" borderId="4" xfId="0" applyBorder="1"/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vertical="top"/>
    </xf>
    <xf numFmtId="0" fontId="31" fillId="0" borderId="3" xfId="0" applyFont="1" applyBorder="1" applyAlignment="1">
      <alignment vertical="top" wrapText="1"/>
    </xf>
    <xf numFmtId="0" fontId="5" fillId="0" borderId="5" xfId="0" applyFont="1" applyBorder="1"/>
    <xf numFmtId="0" fontId="31" fillId="0" borderId="3" xfId="0" applyFont="1" applyBorder="1" applyAlignment="1">
      <alignment wrapText="1"/>
    </xf>
    <xf numFmtId="0" fontId="5" fillId="0" borderId="1" xfId="0" applyFont="1" applyBorder="1"/>
    <xf numFmtId="0" fontId="6" fillId="0" borderId="1" xfId="0" applyFont="1" applyBorder="1"/>
    <xf numFmtId="0" fontId="4" fillId="0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0" borderId="1" xfId="0" applyFont="1" applyBorder="1"/>
    <xf numFmtId="0" fontId="3" fillId="3" borderId="3" xfId="1" applyFont="1" applyBorder="1"/>
    <xf numFmtId="0" fontId="0" fillId="3" borderId="3" xfId="1" applyFont="1" applyBorder="1" applyAlignment="1">
      <alignment vertical="top" wrapText="1"/>
    </xf>
    <xf numFmtId="0" fontId="0" fillId="3" borderId="3" xfId="1" applyFont="1" applyBorder="1" applyAlignment="1">
      <alignment vertical="top"/>
    </xf>
    <xf numFmtId="0" fontId="14" fillId="3" borderId="3" xfId="1" applyFont="1" applyBorder="1"/>
    <xf numFmtId="0" fontId="0" fillId="3" borderId="3" xfId="1" applyFont="1" applyBorder="1" applyAlignment="1">
      <alignment horizontal="left"/>
    </xf>
    <xf numFmtId="1" fontId="17" fillId="3" borderId="48" xfId="1" applyNumberFormat="1" applyFont="1" applyAlignment="1">
      <alignment horizontal="center" vertical="center"/>
    </xf>
    <xf numFmtId="1" fontId="0" fillId="0" borderId="3" xfId="0" applyNumberFormat="1" applyFont="1" applyBorder="1"/>
    <xf numFmtId="1" fontId="1" fillId="0" borderId="3" xfId="0" applyNumberFormat="1" applyFont="1" applyBorder="1"/>
    <xf numFmtId="0" fontId="0" fillId="3" borderId="54" xfId="1" applyFont="1" applyBorder="1"/>
    <xf numFmtId="0" fontId="4" fillId="3" borderId="49" xfId="1" applyFont="1" applyBorder="1" applyAlignment="1">
      <alignment horizontal="center" vertical="center"/>
    </xf>
    <xf numFmtId="0" fontId="14" fillId="3" borderId="54" xfId="1" applyFont="1" applyBorder="1"/>
    <xf numFmtId="0" fontId="0" fillId="3" borderId="49" xfId="1" applyFont="1" applyBorder="1"/>
    <xf numFmtId="0" fontId="6" fillId="0" borderId="1" xfId="0" applyFont="1" applyBorder="1"/>
    <xf numFmtId="0" fontId="17" fillId="0" borderId="3" xfId="0" applyFont="1" applyBorder="1" applyAlignment="1">
      <alignment horizontal="center" vertical="center"/>
    </xf>
    <xf numFmtId="0" fontId="1" fillId="0" borderId="3" xfId="0" applyFont="1" applyBorder="1"/>
    <xf numFmtId="0" fontId="11" fillId="0" borderId="6" xfId="0" applyFont="1" applyBorder="1"/>
    <xf numFmtId="0" fontId="20" fillId="0" borderId="3" xfId="0" applyFont="1" applyBorder="1" applyAlignment="1">
      <alignment horizontal="center" vertical="top" wrapText="1"/>
    </xf>
    <xf numFmtId="0" fontId="19" fillId="0" borderId="0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center" vertical="top" wrapText="1"/>
    </xf>
    <xf numFmtId="0" fontId="11" fillId="0" borderId="6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6" fillId="0" borderId="0" xfId="0" applyFont="1" applyAlignment="1"/>
    <xf numFmtId="0" fontId="11" fillId="0" borderId="6" xfId="0" applyFont="1" applyBorder="1" applyAlignment="1">
      <alignment horizontal="left"/>
    </xf>
    <xf numFmtId="0" fontId="17" fillId="3" borderId="3" xfId="1" applyFont="1" applyBorder="1" applyAlignment="1">
      <alignment horizontal="center" vertical="center"/>
    </xf>
    <xf numFmtId="0" fontId="15" fillId="0" borderId="3" xfId="0" applyFont="1" applyBorder="1"/>
    <xf numFmtId="0" fontId="25" fillId="0" borderId="3" xfId="0" applyFont="1" applyBorder="1" applyAlignment="1">
      <alignment horizontal="left" vertical="center" wrapText="1"/>
    </xf>
    <xf numFmtId="0" fontId="1" fillId="0" borderId="3" xfId="0" applyFont="1" applyBorder="1"/>
    <xf numFmtId="0" fontId="2" fillId="0" borderId="3" xfId="0" applyFont="1" applyBorder="1" applyAlignment="1">
      <alignment horizontal="center" vertical="top" wrapText="1"/>
    </xf>
    <xf numFmtId="0" fontId="35" fillId="0" borderId="3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wrapText="1"/>
    </xf>
    <xf numFmtId="0" fontId="11" fillId="0" borderId="0" xfId="0" applyFont="1" applyAlignment="1">
      <alignment horizontal="center"/>
    </xf>
    <xf numFmtId="0" fontId="6" fillId="0" borderId="0" xfId="0" applyFont="1"/>
    <xf numFmtId="1" fontId="0" fillId="3" borderId="48" xfId="1" applyNumberFormat="1" applyFont="1"/>
    <xf numFmtId="0" fontId="36" fillId="0" borderId="3" xfId="0" applyFont="1" applyBorder="1"/>
    <xf numFmtId="0" fontId="1" fillId="0" borderId="3" xfId="0" applyFont="1" applyBorder="1" applyAlignment="1">
      <alignment vertical="top"/>
    </xf>
    <xf numFmtId="0" fontId="36" fillId="0" borderId="3" xfId="0" applyFont="1" applyBorder="1" applyAlignment="1">
      <alignment vertical="top" wrapText="1"/>
    </xf>
    <xf numFmtId="0" fontId="1" fillId="0" borderId="3" xfId="0" applyFont="1" applyBorder="1" applyAlignment="1">
      <alignment vertical="center" wrapText="1"/>
    </xf>
    <xf numFmtId="0" fontId="37" fillId="0" borderId="3" xfId="0" applyFont="1" applyBorder="1" applyAlignment="1">
      <alignment vertical="center" wrapText="1"/>
    </xf>
    <xf numFmtId="0" fontId="37" fillId="0" borderId="3" xfId="0" applyFont="1" applyBorder="1"/>
    <xf numFmtId="0" fontId="1" fillId="0" borderId="4" xfId="0" applyFont="1" applyBorder="1"/>
    <xf numFmtId="0" fontId="19" fillId="0" borderId="0" xfId="0" applyFont="1" applyFill="1" applyBorder="1" applyAlignment="1">
      <alignment horizontal="left" vertical="top" wrapText="1"/>
    </xf>
    <xf numFmtId="1" fontId="11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top" wrapText="1"/>
    </xf>
    <xf numFmtId="2" fontId="11" fillId="0" borderId="3" xfId="0" applyNumberFormat="1" applyFont="1" applyBorder="1" applyAlignment="1">
      <alignment horizontal="center" vertical="top" wrapText="1"/>
    </xf>
    <xf numFmtId="0" fontId="11" fillId="0" borderId="0" xfId="0" applyFont="1" applyBorder="1" applyAlignment="1">
      <alignment horizontal="center" vertical="top" wrapText="1"/>
    </xf>
    <xf numFmtId="0" fontId="0" fillId="0" borderId="4" xfId="0" applyBorder="1"/>
    <xf numFmtId="0" fontId="1" fillId="0" borderId="2" xfId="0" applyFont="1" applyBorder="1" applyAlignment="1">
      <alignment horizontal="left"/>
    </xf>
    <xf numFmtId="0" fontId="1" fillId="0" borderId="2" xfId="0" applyFont="1" applyBorder="1"/>
    <xf numFmtId="0" fontId="0" fillId="0" borderId="2" xfId="0" applyBorder="1"/>
    <xf numFmtId="0" fontId="1" fillId="0" borderId="3" xfId="0" applyFont="1" applyBorder="1"/>
    <xf numFmtId="0" fontId="1" fillId="0" borderId="7" xfId="0" applyFont="1" applyBorder="1"/>
    <xf numFmtId="0" fontId="0" fillId="0" borderId="7" xfId="0" applyBorder="1"/>
    <xf numFmtId="0" fontId="11" fillId="0" borderId="0" xfId="0" applyFont="1" applyAlignment="1">
      <alignment horizontal="center"/>
    </xf>
    <xf numFmtId="1" fontId="11" fillId="0" borderId="0" xfId="0" applyNumberFormat="1" applyFont="1" applyBorder="1" applyAlignment="1">
      <alignment horizontal="left" vertical="top"/>
    </xf>
    <xf numFmtId="1" fontId="11" fillId="0" borderId="3" xfId="0" applyNumberFormat="1" applyFont="1" applyBorder="1" applyAlignment="1">
      <alignment horizontal="left" vertical="top"/>
    </xf>
    <xf numFmtId="0" fontId="5" fillId="3" borderId="48" xfId="1" applyFont="1"/>
    <xf numFmtId="164" fontId="0" fillId="3" borderId="48" xfId="1" applyNumberFormat="1" applyFont="1"/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0" fillId="0" borderId="2" xfId="0" applyBorder="1"/>
    <xf numFmtId="0" fontId="1" fillId="0" borderId="6" xfId="0" applyFont="1" applyBorder="1"/>
    <xf numFmtId="0" fontId="0" fillId="0" borderId="6" xfId="0" applyBorder="1"/>
    <xf numFmtId="0" fontId="9" fillId="0" borderId="3" xfId="0" applyFont="1" applyBorder="1" applyAlignment="1">
      <alignment horizontal="left"/>
    </xf>
    <xf numFmtId="0" fontId="1" fillId="0" borderId="3" xfId="0" applyFont="1" applyBorder="1"/>
    <xf numFmtId="0" fontId="1" fillId="0" borderId="3" xfId="0" applyFont="1" applyBorder="1" applyAlignment="1">
      <alignment horizontal="left"/>
    </xf>
    <xf numFmtId="0" fontId="1" fillId="0" borderId="7" xfId="0" applyFont="1" applyBorder="1"/>
    <xf numFmtId="0" fontId="1" fillId="0" borderId="1" xfId="0" applyFont="1" applyBorder="1" applyAlignment="1">
      <alignment horizontal="left"/>
    </xf>
    <xf numFmtId="0" fontId="20" fillId="0" borderId="3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6" xfId="0" applyFont="1" applyBorder="1" applyAlignment="1"/>
    <xf numFmtId="0" fontId="20" fillId="0" borderId="1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4" xfId="0" applyFont="1" applyBorder="1" applyAlignment="1">
      <alignment horizontal="center" vertical="top" wrapText="1"/>
    </xf>
    <xf numFmtId="0" fontId="20" fillId="0" borderId="5" xfId="0" applyFont="1" applyBorder="1" applyAlignment="1">
      <alignment horizontal="center" vertical="top" wrapText="1"/>
    </xf>
    <xf numFmtId="0" fontId="20" fillId="0" borderId="8" xfId="0" applyFont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Fill="1" applyBorder="1" applyAlignment="1">
      <alignment horizontal="left" vertical="top" wrapText="1"/>
    </xf>
    <xf numFmtId="0" fontId="23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7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6" fillId="0" borderId="6" xfId="0" applyFont="1" applyFill="1" applyBorder="1" applyAlignment="1">
      <alignment horizontal="left" vertical="top" wrapText="1"/>
    </xf>
    <xf numFmtId="0" fontId="19" fillId="0" borderId="0" xfId="0" applyFont="1" applyFill="1" applyBorder="1" applyAlignment="1">
      <alignment horizontal="center" vertical="top" wrapText="1"/>
    </xf>
    <xf numFmtId="10" fontId="19" fillId="0" borderId="0" xfId="0" applyNumberFormat="1" applyFont="1" applyFill="1" applyBorder="1" applyAlignment="1">
      <alignment horizontal="left" vertical="top" wrapText="1"/>
    </xf>
    <xf numFmtId="0" fontId="11" fillId="0" borderId="9" xfId="0" applyFont="1" applyBorder="1" applyAlignment="1">
      <alignment horizontal="center" vertical="top" wrapText="1"/>
    </xf>
    <xf numFmtId="1" fontId="19" fillId="0" borderId="0" xfId="0" applyNumberFormat="1" applyFont="1" applyFill="1" applyBorder="1" applyAlignment="1">
      <alignment horizontal="center" vertical="top" wrapText="1"/>
    </xf>
    <xf numFmtId="0" fontId="19" fillId="0" borderId="0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0" xfId="0" applyFont="1" applyBorder="1"/>
    <xf numFmtId="0" fontId="11" fillId="0" borderId="6" xfId="0" applyFont="1" applyBorder="1"/>
    <xf numFmtId="2" fontId="19" fillId="0" borderId="0" xfId="2" applyNumberFormat="1" applyFont="1" applyFill="1" applyBorder="1" applyAlignment="1">
      <alignment horizontal="left" vertical="top" wrapText="1"/>
    </xf>
    <xf numFmtId="0" fontId="11" fillId="0" borderId="0" xfId="0" applyFont="1" applyBorder="1" applyAlignment="1">
      <alignment horizontal="center"/>
    </xf>
    <xf numFmtId="0" fontId="6" fillId="0" borderId="1" xfId="0" applyFont="1" applyBorder="1" applyAlignment="1"/>
    <xf numFmtId="0" fontId="6" fillId="0" borderId="2" xfId="0" applyFont="1" applyBorder="1" applyAlignment="1"/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" xfId="0" applyFont="1" applyBorder="1"/>
    <xf numFmtId="0" fontId="6" fillId="0" borderId="2" xfId="0" applyFont="1" applyBorder="1"/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4" xfId="0" applyBorder="1"/>
    <xf numFmtId="0" fontId="12" fillId="0" borderId="1" xfId="0" applyFont="1" applyBorder="1"/>
    <xf numFmtId="0" fontId="12" fillId="0" borderId="2" xfId="0" applyFont="1" applyBorder="1"/>
    <xf numFmtId="0" fontId="15" fillId="0" borderId="0" xfId="0" applyFont="1" applyBorder="1" applyAlignment="1">
      <alignment horizontal="left"/>
    </xf>
    <xf numFmtId="0" fontId="15" fillId="0" borderId="0" xfId="0" applyFont="1" applyBorder="1" applyAlignment="1">
      <alignment horizontal="left" vertical="center"/>
    </xf>
    <xf numFmtId="0" fontId="15" fillId="0" borderId="10" xfId="0" applyFont="1" applyBorder="1" applyAlignment="1">
      <alignment horizontal="left"/>
    </xf>
    <xf numFmtId="0" fontId="6" fillId="0" borderId="50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0" xfId="0" applyFont="1" applyBorder="1" applyAlignment="1"/>
    <xf numFmtId="0" fontId="6" fillId="0" borderId="0" xfId="0" applyFont="1" applyBorder="1" applyAlignment="1">
      <alignment vertical="center"/>
    </xf>
    <xf numFmtId="0" fontId="6" fillId="0" borderId="10" xfId="0" applyFont="1" applyBorder="1" applyAlignment="1"/>
    <xf numFmtId="0" fontId="16" fillId="0" borderId="50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" fillId="0" borderId="10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textRotation="90"/>
    </xf>
    <xf numFmtId="0" fontId="16" fillId="0" borderId="17" xfId="0" applyFont="1" applyBorder="1" applyAlignment="1">
      <alignment horizontal="center" vertical="center" textRotation="90"/>
    </xf>
    <xf numFmtId="0" fontId="16" fillId="0" borderId="23" xfId="0" applyFont="1" applyBorder="1" applyAlignment="1">
      <alignment horizontal="center" vertical="center" textRotation="90"/>
    </xf>
    <xf numFmtId="0" fontId="16" fillId="0" borderId="12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18" fillId="0" borderId="7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90"/>
    </xf>
    <xf numFmtId="0" fontId="6" fillId="0" borderId="17" xfId="0" applyFont="1" applyBorder="1" applyAlignment="1">
      <alignment horizontal="center" vertical="center" textRotation="90"/>
    </xf>
    <xf numFmtId="0" fontId="6" fillId="0" borderId="23" xfId="0" applyFont="1" applyBorder="1" applyAlignment="1">
      <alignment horizontal="center" vertical="center" textRotation="90"/>
    </xf>
    <xf numFmtId="0" fontId="2" fillId="0" borderId="31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0" fontId="20" fillId="0" borderId="46" xfId="0" applyFont="1" applyBorder="1" applyAlignment="1">
      <alignment horizontal="center"/>
    </xf>
    <xf numFmtId="0" fontId="20" fillId="0" borderId="47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21" fillId="0" borderId="31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4" fillId="0" borderId="30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41" xfId="0" applyFont="1" applyBorder="1" applyAlignment="1">
      <alignment vertical="center" wrapText="1"/>
    </xf>
    <xf numFmtId="0" fontId="4" fillId="0" borderId="42" xfId="0" applyFont="1" applyBorder="1" applyAlignment="1">
      <alignment vertical="center" wrapText="1"/>
    </xf>
    <xf numFmtId="0" fontId="4" fillId="0" borderId="43" xfId="0" applyFont="1" applyBorder="1" applyAlignment="1">
      <alignment vertical="center" wrapText="1"/>
    </xf>
    <xf numFmtId="0" fontId="4" fillId="0" borderId="3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33" xfId="0" applyFont="1" applyBorder="1" applyAlignment="1">
      <alignment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0" fillId="0" borderId="42" xfId="0" applyBorder="1" applyAlignment="1">
      <alignment horizontal="left"/>
    </xf>
    <xf numFmtId="0" fontId="0" fillId="0" borderId="43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33" xfId="0" applyBorder="1" applyAlignment="1">
      <alignment horizontal="left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32" xfId="0" applyBorder="1"/>
    <xf numFmtId="0" fontId="0" fillId="0" borderId="7" xfId="0" applyBorder="1"/>
    <xf numFmtId="0" fontId="0" fillId="0" borderId="33" xfId="0" applyBorder="1"/>
    <xf numFmtId="0" fontId="21" fillId="0" borderId="19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6" fillId="0" borderId="0" xfId="0" applyFont="1"/>
    <xf numFmtId="0" fontId="11" fillId="0" borderId="6" xfId="0" applyFont="1" applyBorder="1" applyAlignment="1">
      <alignment horizontal="left"/>
    </xf>
    <xf numFmtId="0" fontId="6" fillId="0" borderId="0" xfId="0" applyFont="1" applyAlignment="1"/>
    <xf numFmtId="0" fontId="29" fillId="0" borderId="0" xfId="0" applyFont="1" applyAlignment="1">
      <alignment horizontal="center"/>
    </xf>
  </cellXfs>
  <cellStyles count="3">
    <cellStyle name="Normal" xfId="0" builtinId="0"/>
    <cellStyle name="Note" xfId="1" builtinId="1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TUC\Desktop\HND%202021-2022\CA%20&amp;%20EXAM%20SHEET%20HND%20FIRST%20SEMESTER%202021-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TUC\Desktop\1st%20sem%20exams%202024\Copy%20of%20SHMS-HND_FIRST_SEMESTER_CA_&amp;_EXAM_MARK_SHEET_2023-2024(1)%20ANTY%20SER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st%20sem%20exams%202024\STANR-HND%20FIRST%20SEMESTER%20CA%20&amp;%20EXAM%20MARK%20SHEET%202023-2024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level one"/>
      <sheetName val="level two"/>
      <sheetName val="dpt frequency"/>
      <sheetName val="result sheet"/>
      <sheetName val="summary sheet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>
        <row r="5">
          <cell r="C5" t="str">
            <v>BFI1101H</v>
          </cell>
        </row>
        <row r="6">
          <cell r="C6" t="str">
            <v>Principles  of Banking</v>
          </cell>
        </row>
        <row r="7">
          <cell r="C7">
            <v>3</v>
          </cell>
        </row>
        <row r="44">
          <cell r="C44" t="str">
            <v>BFI1102H</v>
          </cell>
        </row>
        <row r="45">
          <cell r="C45" t="str">
            <v>Principles of Finance</v>
          </cell>
        </row>
        <row r="46">
          <cell r="C46">
            <v>3</v>
          </cell>
        </row>
        <row r="94">
          <cell r="C94" t="str">
            <v>INS1101H</v>
          </cell>
        </row>
        <row r="95">
          <cell r="C95" t="str">
            <v>Principles of Insurance</v>
          </cell>
        </row>
        <row r="96">
          <cell r="C96">
            <v>3</v>
          </cell>
        </row>
        <row r="141">
          <cell r="C141" t="str">
            <v>MGT1101H</v>
          </cell>
        </row>
        <row r="142">
          <cell r="C142" t="str">
            <v>Principles of Management</v>
          </cell>
        </row>
        <row r="143">
          <cell r="C143">
            <v>3</v>
          </cell>
        </row>
        <row r="193">
          <cell r="C193" t="str">
            <v>MKT1101H</v>
          </cell>
        </row>
        <row r="194">
          <cell r="C194" t="str">
            <v>Principles of Marketing</v>
          </cell>
        </row>
        <row r="195">
          <cell r="C195">
            <v>3</v>
          </cell>
        </row>
        <row r="245">
          <cell r="C245" t="str">
            <v>ECO1101H</v>
          </cell>
        </row>
        <row r="246">
          <cell r="C246" t="str">
            <v>Principles of Micro-economics</v>
          </cell>
        </row>
        <row r="247">
          <cell r="C247">
            <v>2</v>
          </cell>
        </row>
        <row r="296">
          <cell r="C296" t="str">
            <v>ENG1101H</v>
          </cell>
        </row>
        <row r="297">
          <cell r="C297" t="str">
            <v>Functional English I</v>
          </cell>
        </row>
        <row r="298">
          <cell r="C298">
            <v>2</v>
          </cell>
        </row>
        <row r="299">
          <cell r="C299" t="str">
            <v>Dr Ngie Florence</v>
          </cell>
        </row>
        <row r="349">
          <cell r="C349" t="str">
            <v>ECO1102H</v>
          </cell>
        </row>
        <row r="350">
          <cell r="C350" t="str">
            <v>Statuistics and Business Mathematicss</v>
          </cell>
        </row>
        <row r="351">
          <cell r="C351">
            <v>2</v>
          </cell>
        </row>
        <row r="402">
          <cell r="C402" t="str">
            <v>ACC1102H</v>
          </cell>
        </row>
        <row r="403">
          <cell r="C403" t="str">
            <v>OHADA Financial Accounting I</v>
          </cell>
        </row>
        <row r="458">
          <cell r="C458" t="str">
            <v>Principles of Taxation</v>
          </cell>
        </row>
        <row r="459">
          <cell r="C459">
            <v>3</v>
          </cell>
        </row>
        <row r="460">
          <cell r="C460" t="str">
            <v>Mr Youopouo Maurice</v>
          </cell>
        </row>
        <row r="511">
          <cell r="C511" t="str">
            <v>FRE1101H</v>
          </cell>
        </row>
        <row r="512">
          <cell r="C512" t="str">
            <v>Functional French I</v>
          </cell>
        </row>
        <row r="513">
          <cell r="C513">
            <v>2</v>
          </cell>
        </row>
        <row r="563">
          <cell r="C563" t="str">
            <v>ACC1101H</v>
          </cell>
        </row>
        <row r="564">
          <cell r="C564" t="str">
            <v>Principles of Accounting</v>
          </cell>
        </row>
        <row r="565">
          <cell r="C565">
            <v>3</v>
          </cell>
        </row>
      </sheetData>
      <sheetData sheetId="3">
        <row r="4">
          <cell r="C4" t="str">
            <v>FRE 2101H</v>
          </cell>
        </row>
        <row r="5">
          <cell r="C5" t="str">
            <v>Functional French III</v>
          </cell>
        </row>
        <row r="6">
          <cell r="C6">
            <v>2</v>
          </cell>
        </row>
        <row r="36">
          <cell r="C36" t="str">
            <v>ENG 2101H</v>
          </cell>
        </row>
        <row r="37">
          <cell r="C37" t="str">
            <v>Functional English III</v>
          </cell>
        </row>
        <row r="38">
          <cell r="C38">
            <v>2</v>
          </cell>
        </row>
        <row r="39">
          <cell r="C39" t="str">
            <v>Dr. Ngie Florence</v>
          </cell>
        </row>
        <row r="70">
          <cell r="C70" t="str">
            <v>ECO 2102H</v>
          </cell>
        </row>
        <row r="71">
          <cell r="C71" t="str">
            <v>Statistics &amp; business Mathematics III</v>
          </cell>
        </row>
        <row r="72">
          <cell r="C72">
            <v>2</v>
          </cell>
        </row>
        <row r="104">
          <cell r="C104" t="str">
            <v>ACC 2103H</v>
          </cell>
        </row>
        <row r="105">
          <cell r="C105" t="str">
            <v>Cost &amp; Management Accounting II</v>
          </cell>
        </row>
        <row r="106">
          <cell r="C106">
            <v>3</v>
          </cell>
        </row>
        <row r="141">
          <cell r="C141" t="str">
            <v>COM 2101H</v>
          </cell>
        </row>
        <row r="142">
          <cell r="C142" t="str">
            <v>Computer Science</v>
          </cell>
        </row>
        <row r="143">
          <cell r="C143">
            <v>2</v>
          </cell>
        </row>
        <row r="174">
          <cell r="C174" t="str">
            <v>ACC 2105H</v>
          </cell>
        </row>
        <row r="175">
          <cell r="C175" t="str">
            <v>Taxation I &amp; II</v>
          </cell>
        </row>
        <row r="176">
          <cell r="C176">
            <v>3</v>
          </cell>
        </row>
        <row r="177">
          <cell r="C177" t="str">
            <v>Mr. Youopouo Maurice</v>
          </cell>
        </row>
        <row r="207">
          <cell r="C207" t="str">
            <v>ECO 2101H</v>
          </cell>
        </row>
        <row r="208">
          <cell r="C208" t="str">
            <v>Managerial Economics</v>
          </cell>
        </row>
        <row r="209">
          <cell r="C209">
            <v>2</v>
          </cell>
        </row>
        <row r="239">
          <cell r="C239" t="str">
            <v>LAW 2101H</v>
          </cell>
        </row>
        <row r="240">
          <cell r="C240" t="str">
            <v>Business / Company Law</v>
          </cell>
        </row>
        <row r="241">
          <cell r="C241">
            <v>3</v>
          </cell>
        </row>
        <row r="242">
          <cell r="C242" t="str">
            <v>Mr. Ajong Jude</v>
          </cell>
        </row>
        <row r="272">
          <cell r="C272" t="str">
            <v>BFI 2103H</v>
          </cell>
        </row>
        <row r="273">
          <cell r="C273" t="str">
            <v>Financial Analysis I</v>
          </cell>
        </row>
        <row r="274">
          <cell r="C274">
            <v>3</v>
          </cell>
        </row>
        <row r="302">
          <cell r="C302" t="str">
            <v>BFI 2102H</v>
          </cell>
        </row>
        <row r="303">
          <cell r="C303" t="str">
            <v>Financial Accounting for Banks &amp; MFIs I</v>
          </cell>
        </row>
        <row r="304">
          <cell r="C304">
            <v>3</v>
          </cell>
        </row>
        <row r="305">
          <cell r="C305" t="str">
            <v>Mr. Ngwa Hedwig</v>
          </cell>
        </row>
        <row r="332">
          <cell r="C332" t="str">
            <v>ACC 2102H</v>
          </cell>
        </row>
        <row r="333">
          <cell r="C333" t="str">
            <v>OHADA Financial Accounting III</v>
          </cell>
        </row>
        <row r="334">
          <cell r="C334">
            <v>3</v>
          </cell>
        </row>
        <row r="335">
          <cell r="C335" t="str">
            <v>Mr. Youopouo Maurice</v>
          </cell>
        </row>
        <row r="364">
          <cell r="C364" t="str">
            <v>ACC 2104H</v>
          </cell>
        </row>
        <row r="365">
          <cell r="C365" t="str">
            <v>Company Accounting</v>
          </cell>
        </row>
        <row r="367">
          <cell r="C367" t="str">
            <v>Mr. Mforsah Roger</v>
          </cell>
        </row>
        <row r="395">
          <cell r="C395" t="str">
            <v>ACC 2101H</v>
          </cell>
        </row>
        <row r="396">
          <cell r="C396" t="str">
            <v>Computer Asisted Accounting II</v>
          </cell>
        </row>
        <row r="397">
          <cell r="C397">
            <v>3</v>
          </cell>
        </row>
        <row r="514">
          <cell r="C514" t="str">
            <v>MGT2104H</v>
          </cell>
        </row>
        <row r="515">
          <cell r="C515" t="str">
            <v>Social Environment I &amp; II</v>
          </cell>
        </row>
        <row r="516">
          <cell r="C516">
            <v>3</v>
          </cell>
        </row>
        <row r="517">
          <cell r="C517" t="str">
            <v xml:space="preserve">Mr Mohammadou </v>
          </cell>
        </row>
        <row r="551">
          <cell r="C551" t="str">
            <v>MGT 2102H</v>
          </cell>
        </row>
        <row r="552">
          <cell r="C552" t="str">
            <v>Organization and Management I</v>
          </cell>
        </row>
        <row r="553">
          <cell r="C553">
            <v>3</v>
          </cell>
        </row>
        <row r="582">
          <cell r="C582" t="str">
            <v>MGT 2103H</v>
          </cell>
        </row>
        <row r="583">
          <cell r="C583" t="str">
            <v>Practice of HRM</v>
          </cell>
        </row>
        <row r="584">
          <cell r="C584">
            <v>3</v>
          </cell>
        </row>
        <row r="585">
          <cell r="C585" t="str">
            <v>Mr. Neba Befrieden</v>
          </cell>
        </row>
        <row r="618">
          <cell r="C618" t="str">
            <v>MGT 2101H</v>
          </cell>
        </row>
        <row r="619">
          <cell r="C619" t="str">
            <v>Human Relations II</v>
          </cell>
        </row>
        <row r="620">
          <cell r="C620">
            <v>3</v>
          </cell>
        </row>
        <row r="621">
          <cell r="C621" t="str">
            <v>Mr. Neba Befrieden</v>
          </cell>
        </row>
      </sheetData>
      <sheetData sheetId="4">
        <row r="15">
          <cell r="A15">
            <v>6</v>
          </cell>
        </row>
        <row r="67">
          <cell r="A67">
            <v>8</v>
          </cell>
        </row>
        <row r="93">
          <cell r="A93">
            <v>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MS-HND LEVEL THREE L freq"/>
      <sheetName val="SHMS-HND LEVEL TWO (2)"/>
      <sheetName val="frequency (2)"/>
      <sheetName val="SHMS-HND LEVEL ONE (for freq)"/>
      <sheetName val="SHMS-HND LEVEL ONE (2)"/>
      <sheetName val="Sheet1 (2)"/>
      <sheetName val="SHMS-HND LEVEL ONE L"/>
      <sheetName val=" SHMS HND LEVEL 3 L"/>
      <sheetName val="frequency for senate"/>
      <sheetName val="RESULTS"/>
      <sheetName val="Sheet3"/>
      <sheetName val="SHMS-HND LEVEL TWO (freq) 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3">
          <cell r="I33">
            <v>1266</v>
          </cell>
          <cell r="J33">
            <v>1043</v>
          </cell>
          <cell r="K33">
            <v>223</v>
          </cell>
          <cell r="L33">
            <v>82.38546603475514</v>
          </cell>
          <cell r="M33">
            <v>17.614533965244867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EQ"/>
      <sheetName val="STANR-HND LEVEL ONE"/>
      <sheetName val="SHMS-HND LEVEL TWO"/>
      <sheetName val="SHMS-HND LEVEL THREE"/>
      <sheetName val="RESULTS"/>
      <sheetName val="Sheet3"/>
      <sheetName val="Sheet2"/>
    </sheetNames>
    <sheetDataSet>
      <sheetData sheetId="0">
        <row r="58">
          <cell r="I58">
            <v>54</v>
          </cell>
          <cell r="J58">
            <v>46</v>
          </cell>
          <cell r="K58">
            <v>8</v>
          </cell>
          <cell r="L58">
            <v>85.18518518518519</v>
          </cell>
          <cell r="M58">
            <v>14.814814814814813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762A7-A22F-41C1-ABE6-3504540A7CB9}">
  <dimension ref="A1:V1280"/>
  <sheetViews>
    <sheetView tabSelected="1" topLeftCell="A16" workbookViewId="0">
      <selection activeCell="C41" sqref="C41"/>
    </sheetView>
  </sheetViews>
  <sheetFormatPr defaultRowHeight="14.4" x14ac:dyDescent="0.3"/>
  <cols>
    <col min="1" max="1" width="12.33203125" customWidth="1"/>
    <col min="2" max="2" width="9" customWidth="1"/>
    <col min="3" max="3" width="33" customWidth="1"/>
    <col min="4" max="4" width="13.6640625" bestFit="1" customWidth="1"/>
    <col min="5" max="5" width="4.5546875" customWidth="1"/>
    <col min="6" max="6" width="4.33203125" customWidth="1"/>
    <col min="7" max="7" width="4.6640625" customWidth="1"/>
    <col min="8" max="8" width="5.33203125" hidden="1" customWidth="1"/>
    <col min="9" max="9" width="4.44140625" hidden="1" customWidth="1"/>
    <col min="10" max="10" width="5.109375" customWidth="1"/>
    <col min="11" max="11" width="4.88671875" customWidth="1"/>
    <col min="12" max="12" width="4.109375" customWidth="1"/>
    <col min="13" max="13" width="7.109375" customWidth="1"/>
    <col min="14" max="14" width="14.33203125" customWidth="1"/>
    <col min="15" max="15" width="7.6640625" customWidth="1"/>
  </cols>
  <sheetData>
    <row r="1" spans="1:15" x14ac:dyDescent="0.3">
      <c r="A1" s="450" t="s">
        <v>0</v>
      </c>
      <c r="B1" s="450"/>
      <c r="C1" s="450"/>
      <c r="D1" s="450"/>
      <c r="E1" s="450"/>
      <c r="F1" s="450"/>
      <c r="G1" s="451"/>
      <c r="H1" s="451"/>
      <c r="I1" s="451"/>
      <c r="J1" s="451"/>
      <c r="K1" s="451"/>
      <c r="L1" s="451"/>
    </row>
    <row r="2" spans="1:15" x14ac:dyDescent="0.3">
      <c r="A2" s="14" t="s">
        <v>66</v>
      </c>
      <c r="B2" s="14"/>
      <c r="C2" s="14"/>
      <c r="D2" s="14"/>
      <c r="E2" s="14"/>
      <c r="F2" s="14"/>
    </row>
    <row r="3" spans="1:15" x14ac:dyDescent="0.3">
      <c r="A3" s="460" t="s">
        <v>362</v>
      </c>
      <c r="B3" s="461"/>
      <c r="C3" s="461"/>
      <c r="D3" s="2"/>
      <c r="E3" s="2"/>
      <c r="F3" s="2"/>
      <c r="G3" s="2"/>
      <c r="H3" s="2"/>
      <c r="I3" s="2"/>
      <c r="J3" s="2"/>
      <c r="K3" s="2"/>
      <c r="L3" s="1"/>
      <c r="M3" s="16"/>
      <c r="N3" s="16"/>
      <c r="O3" s="13"/>
    </row>
    <row r="4" spans="1:15" x14ac:dyDescent="0.3">
      <c r="A4" s="450" t="s">
        <v>1</v>
      </c>
      <c r="B4" s="462" t="s">
        <v>541</v>
      </c>
      <c r="C4" s="464"/>
      <c r="D4" s="450"/>
      <c r="E4" s="450"/>
      <c r="F4" s="450"/>
      <c r="G4" s="451"/>
      <c r="H4" s="451"/>
      <c r="I4" s="451"/>
      <c r="J4" s="451"/>
      <c r="K4" s="451"/>
      <c r="L4" s="451"/>
    </row>
    <row r="5" spans="1:15" x14ac:dyDescent="0.3">
      <c r="A5" s="450" t="s">
        <v>3</v>
      </c>
      <c r="B5" s="462" t="s">
        <v>543</v>
      </c>
      <c r="C5" s="462"/>
      <c r="D5" s="450"/>
      <c r="E5" s="450"/>
      <c r="F5" s="450"/>
      <c r="G5" s="451"/>
      <c r="H5" s="451"/>
      <c r="I5" s="451"/>
      <c r="J5" s="451"/>
      <c r="K5" s="451"/>
      <c r="L5" s="451"/>
    </row>
    <row r="6" spans="1:15" x14ac:dyDescent="0.3">
      <c r="A6" s="450" t="s">
        <v>4</v>
      </c>
      <c r="B6" s="462" t="s">
        <v>67</v>
      </c>
      <c r="C6" s="462"/>
      <c r="D6" s="450"/>
      <c r="E6" s="450"/>
      <c r="F6" s="450"/>
      <c r="G6" s="451"/>
      <c r="H6" s="451"/>
      <c r="I6" s="451"/>
      <c r="J6" s="451"/>
      <c r="K6" s="451"/>
      <c r="L6" s="451"/>
    </row>
    <row r="7" spans="1:15" x14ac:dyDescent="0.3">
      <c r="A7" s="450" t="s">
        <v>5</v>
      </c>
      <c r="B7" s="463">
        <v>2</v>
      </c>
      <c r="C7" s="463"/>
      <c r="D7" s="450"/>
      <c r="E7" s="450"/>
      <c r="F7" s="450"/>
      <c r="G7" s="451"/>
      <c r="H7" s="451"/>
      <c r="I7" s="451"/>
      <c r="J7" s="451"/>
      <c r="K7" s="451"/>
      <c r="L7" s="451"/>
    </row>
    <row r="8" spans="1:15" x14ac:dyDescent="0.3">
      <c r="A8" s="450" t="s">
        <v>6</v>
      </c>
      <c r="B8" s="462" t="s">
        <v>542</v>
      </c>
      <c r="C8" s="462"/>
      <c r="D8" s="450"/>
      <c r="E8" s="450"/>
      <c r="F8" s="450"/>
      <c r="G8" s="451"/>
      <c r="H8" s="451"/>
      <c r="I8" s="451"/>
      <c r="J8" s="451"/>
      <c r="K8" s="451"/>
      <c r="L8" s="451"/>
    </row>
    <row r="9" spans="1:15" x14ac:dyDescent="0.3">
      <c r="A9" s="14" t="s">
        <v>68</v>
      </c>
      <c r="B9" s="14" t="s">
        <v>540</v>
      </c>
      <c r="C9" s="14"/>
      <c r="D9" s="14"/>
      <c r="E9" s="14"/>
      <c r="F9" s="14"/>
      <c r="L9" t="s">
        <v>17</v>
      </c>
      <c r="M9" t="s">
        <v>18</v>
      </c>
      <c r="N9" t="s">
        <v>19</v>
      </c>
    </row>
    <row r="10" spans="1:15" ht="60" x14ac:dyDescent="0.3">
      <c r="A10" s="452" t="s">
        <v>8</v>
      </c>
      <c r="B10" s="452" t="s">
        <v>9</v>
      </c>
      <c r="C10" s="452" t="s">
        <v>10</v>
      </c>
      <c r="D10" s="43" t="s">
        <v>11</v>
      </c>
      <c r="E10" s="43" t="s">
        <v>12</v>
      </c>
      <c r="F10" s="43" t="s">
        <v>13</v>
      </c>
      <c r="G10" s="43" t="s">
        <v>14</v>
      </c>
      <c r="H10" s="43" t="s">
        <v>208</v>
      </c>
      <c r="I10" s="43" t="s">
        <v>209</v>
      </c>
      <c r="J10" s="43" t="s">
        <v>15</v>
      </c>
      <c r="K10" s="43" t="s">
        <v>16</v>
      </c>
      <c r="N10" t="s">
        <v>20</v>
      </c>
      <c r="O10">
        <f>COUNT(G12:G65)</f>
        <v>48</v>
      </c>
    </row>
    <row r="11" spans="1:15" x14ac:dyDescent="0.3">
      <c r="A11" s="452" t="s">
        <v>69</v>
      </c>
      <c r="B11" s="452"/>
      <c r="C11" s="452"/>
      <c r="D11" s="452"/>
      <c r="E11" s="452"/>
      <c r="F11" s="452"/>
      <c r="G11" s="452"/>
      <c r="H11" s="452"/>
      <c r="I11" s="452"/>
      <c r="J11" s="452"/>
      <c r="K11" s="452"/>
      <c r="N11" t="s">
        <v>21</v>
      </c>
      <c r="O11">
        <f>COUNT(J12:J65)</f>
        <v>45</v>
      </c>
    </row>
    <row r="12" spans="1:15" x14ac:dyDescent="0.3">
      <c r="A12" s="12">
        <f>ROW(A1)</f>
        <v>1</v>
      </c>
      <c r="B12" s="45" t="s">
        <v>203</v>
      </c>
      <c r="C12" s="45" t="s">
        <v>92</v>
      </c>
      <c r="D12" s="12" t="s">
        <v>640</v>
      </c>
      <c r="E12" s="12">
        <v>8</v>
      </c>
      <c r="F12" s="12">
        <v>23</v>
      </c>
      <c r="G12" s="452">
        <f t="shared" ref="G12:G65" si="0">SUM(E12:F12)</f>
        <v>31</v>
      </c>
      <c r="H12" s="12"/>
      <c r="I12" s="12"/>
      <c r="J12" s="12">
        <v>26</v>
      </c>
      <c r="K12" s="452">
        <f t="shared" ref="K12:K65" si="1">SUM(G12:J12)</f>
        <v>57</v>
      </c>
      <c r="L12" t="str">
        <f t="shared" ref="L12:L65" si="2">IF(K12&gt;=80,"A",IF(K12&gt;=70,"B+",IF(K12&gt;=60,"B",IF(K12&gt;=55,"C+",IF(K12&gt;=50,"C",IF(K12&gt;=45,"D+",IF(K12&gt;=40,"D","F")))))))</f>
        <v>C+</v>
      </c>
      <c r="M12" t="str">
        <f t="shared" ref="M12:M65" si="3">IF(K12&gt;=50,"Passed","Failed")</f>
        <v>Passed</v>
      </c>
      <c r="N12" t="s">
        <v>22</v>
      </c>
      <c r="O12">
        <f>O10-O11</f>
        <v>3</v>
      </c>
    </row>
    <row r="13" spans="1:15" x14ac:dyDescent="0.3">
      <c r="A13" s="12">
        <f t="shared" ref="A13:A65" si="4">ROW(A2)</f>
        <v>2</v>
      </c>
      <c r="B13" s="45" t="s">
        <v>145</v>
      </c>
      <c r="C13" s="45" t="s">
        <v>93</v>
      </c>
      <c r="D13" s="12" t="s">
        <v>669</v>
      </c>
      <c r="E13" s="12">
        <v>8</v>
      </c>
      <c r="F13" s="12">
        <v>19</v>
      </c>
      <c r="G13" s="452">
        <f t="shared" si="0"/>
        <v>27</v>
      </c>
      <c r="H13" s="12"/>
      <c r="I13" s="12"/>
      <c r="J13" s="12">
        <v>26</v>
      </c>
      <c r="K13" s="452">
        <f t="shared" si="1"/>
        <v>53</v>
      </c>
      <c r="L13" t="str">
        <f t="shared" si="2"/>
        <v>C</v>
      </c>
      <c r="M13" t="str">
        <f t="shared" si="3"/>
        <v>Passed</v>
      </c>
      <c r="N13" t="s">
        <v>23</v>
      </c>
      <c r="O13">
        <f>COUNTIF(M12:M65,"Passed")</f>
        <v>33</v>
      </c>
    </row>
    <row r="14" spans="1:15" x14ac:dyDescent="0.3">
      <c r="A14" s="12">
        <f t="shared" si="4"/>
        <v>3</v>
      </c>
      <c r="B14" s="45" t="s">
        <v>149</v>
      </c>
      <c r="C14" s="45" t="s">
        <v>97</v>
      </c>
      <c r="D14" s="12" t="s">
        <v>635</v>
      </c>
      <c r="E14" s="12">
        <v>8</v>
      </c>
      <c r="F14" s="12">
        <v>23</v>
      </c>
      <c r="G14" s="452">
        <f t="shared" si="0"/>
        <v>31</v>
      </c>
      <c r="H14" s="12"/>
      <c r="I14" s="12"/>
      <c r="J14" s="12">
        <v>28</v>
      </c>
      <c r="K14" s="452">
        <f t="shared" si="1"/>
        <v>59</v>
      </c>
      <c r="L14" t="str">
        <f t="shared" si="2"/>
        <v>C+</v>
      </c>
      <c r="M14" t="str">
        <f t="shared" si="3"/>
        <v>Passed</v>
      </c>
      <c r="N14" t="s">
        <v>24</v>
      </c>
      <c r="O14">
        <f>O13/O11%</f>
        <v>73.333333333333329</v>
      </c>
    </row>
    <row r="15" spans="1:15" x14ac:dyDescent="0.3">
      <c r="A15" s="12">
        <f t="shared" si="4"/>
        <v>4</v>
      </c>
      <c r="B15" s="45" t="s">
        <v>152</v>
      </c>
      <c r="C15" s="45" t="s">
        <v>100</v>
      </c>
      <c r="D15" s="12" t="s">
        <v>657</v>
      </c>
      <c r="E15" s="12">
        <v>8</v>
      </c>
      <c r="F15" s="12">
        <v>20</v>
      </c>
      <c r="G15" s="452">
        <f t="shared" si="0"/>
        <v>28</v>
      </c>
      <c r="H15" s="12"/>
      <c r="I15" s="12"/>
      <c r="J15" s="12">
        <v>20</v>
      </c>
      <c r="K15" s="452">
        <f t="shared" si="1"/>
        <v>48</v>
      </c>
      <c r="L15" t="str">
        <f t="shared" si="2"/>
        <v>D+</v>
      </c>
      <c r="M15" t="str">
        <f t="shared" si="3"/>
        <v>Failed</v>
      </c>
      <c r="N15" t="s">
        <v>25</v>
      </c>
      <c r="O15">
        <f>COUNTIF(M12:M65,"failed")</f>
        <v>12</v>
      </c>
    </row>
    <row r="16" spans="1:15" x14ac:dyDescent="0.3">
      <c r="A16" s="12">
        <f t="shared" si="4"/>
        <v>5</v>
      </c>
      <c r="B16" s="45" t="s">
        <v>156</v>
      </c>
      <c r="C16" s="45" t="s">
        <v>104</v>
      </c>
      <c r="D16" s="12" t="s">
        <v>644</v>
      </c>
      <c r="E16" s="12">
        <v>8</v>
      </c>
      <c r="F16" s="12">
        <v>26</v>
      </c>
      <c r="G16" s="452">
        <f t="shared" si="0"/>
        <v>34</v>
      </c>
      <c r="H16" s="12"/>
      <c r="I16" s="12"/>
      <c r="J16" s="12">
        <v>32</v>
      </c>
      <c r="K16" s="452">
        <f t="shared" si="1"/>
        <v>66</v>
      </c>
      <c r="L16" t="str">
        <f t="shared" si="2"/>
        <v>B</v>
      </c>
      <c r="M16" t="str">
        <f t="shared" si="3"/>
        <v>Passed</v>
      </c>
      <c r="N16" t="s">
        <v>26</v>
      </c>
      <c r="O16">
        <f>O15/O11%</f>
        <v>26.666666666666664</v>
      </c>
    </row>
    <row r="17" spans="1:22" x14ac:dyDescent="0.3">
      <c r="A17" s="12">
        <f t="shared" si="4"/>
        <v>6</v>
      </c>
      <c r="B17" s="45" t="s">
        <v>160</v>
      </c>
      <c r="C17" s="45" t="s">
        <v>109</v>
      </c>
      <c r="D17" s="12" t="s">
        <v>634</v>
      </c>
      <c r="E17" s="12">
        <v>8</v>
      </c>
      <c r="F17" s="12">
        <v>21</v>
      </c>
      <c r="G17" s="452">
        <f t="shared" si="0"/>
        <v>29</v>
      </c>
      <c r="H17" s="12"/>
      <c r="I17" s="12"/>
      <c r="J17" s="12">
        <v>26</v>
      </c>
      <c r="K17" s="452">
        <f t="shared" si="1"/>
        <v>55</v>
      </c>
      <c r="L17" t="str">
        <f t="shared" si="2"/>
        <v>C+</v>
      </c>
      <c r="M17" t="str">
        <f t="shared" si="3"/>
        <v>Passed</v>
      </c>
      <c r="N17" t="s">
        <v>27</v>
      </c>
      <c r="O17" s="179">
        <f>AVERAGE(K12:K65)</f>
        <v>54.177777777777777</v>
      </c>
    </row>
    <row r="18" spans="1:22" x14ac:dyDescent="0.3">
      <c r="A18" s="12">
        <f t="shared" si="4"/>
        <v>7</v>
      </c>
      <c r="B18" s="45" t="s">
        <v>207</v>
      </c>
      <c r="C18" s="45" t="s">
        <v>110</v>
      </c>
      <c r="D18" s="12" t="s">
        <v>622</v>
      </c>
      <c r="E18" s="12"/>
      <c r="F18" s="12"/>
      <c r="G18" s="452"/>
      <c r="H18" s="12"/>
      <c r="I18" s="12"/>
      <c r="J18" s="12"/>
      <c r="K18" s="452"/>
    </row>
    <row r="19" spans="1:22" x14ac:dyDescent="0.3">
      <c r="A19" s="12">
        <f t="shared" si="4"/>
        <v>8</v>
      </c>
      <c r="B19" s="45" t="s">
        <v>163</v>
      </c>
      <c r="C19" s="45" t="s">
        <v>113</v>
      </c>
      <c r="D19" s="12" t="s">
        <v>655</v>
      </c>
      <c r="E19" s="12">
        <v>8</v>
      </c>
      <c r="F19" s="12">
        <v>22</v>
      </c>
      <c r="G19" s="452">
        <f t="shared" si="0"/>
        <v>30</v>
      </c>
      <c r="H19" s="12"/>
      <c r="I19" s="12"/>
      <c r="J19" s="12">
        <v>24</v>
      </c>
      <c r="K19" s="452">
        <f t="shared" si="1"/>
        <v>54</v>
      </c>
      <c r="L19" t="str">
        <f t="shared" si="2"/>
        <v>C</v>
      </c>
      <c r="M19" t="str">
        <f t="shared" si="3"/>
        <v>Passed</v>
      </c>
    </row>
    <row r="20" spans="1:22" x14ac:dyDescent="0.3">
      <c r="A20" s="12">
        <f t="shared" si="4"/>
        <v>9</v>
      </c>
      <c r="B20" s="45" t="s">
        <v>480</v>
      </c>
      <c r="C20" s="45" t="s">
        <v>115</v>
      </c>
      <c r="D20" s="12" t="s">
        <v>661</v>
      </c>
      <c r="E20" s="12">
        <v>8</v>
      </c>
      <c r="F20" s="12">
        <v>21</v>
      </c>
      <c r="G20" s="452">
        <f t="shared" si="0"/>
        <v>29</v>
      </c>
      <c r="H20" s="12"/>
      <c r="I20" s="12"/>
      <c r="J20" s="12">
        <v>42</v>
      </c>
      <c r="K20" s="452">
        <f t="shared" si="1"/>
        <v>71</v>
      </c>
      <c r="L20" t="str">
        <f t="shared" si="2"/>
        <v>B+</v>
      </c>
      <c r="M20" t="str">
        <f t="shared" si="3"/>
        <v>Passed</v>
      </c>
      <c r="N20" t="s">
        <v>17</v>
      </c>
    </row>
    <row r="21" spans="1:22" x14ac:dyDescent="0.3">
      <c r="A21" s="12">
        <f t="shared" si="4"/>
        <v>10</v>
      </c>
      <c r="B21" s="45" t="s">
        <v>200</v>
      </c>
      <c r="C21" s="45" t="s">
        <v>119</v>
      </c>
      <c r="D21" s="12" t="s">
        <v>638</v>
      </c>
      <c r="E21" s="12">
        <v>8</v>
      </c>
      <c r="F21" s="12">
        <v>12</v>
      </c>
      <c r="G21" s="452">
        <f t="shared" si="0"/>
        <v>20</v>
      </c>
      <c r="H21" s="12"/>
      <c r="I21" s="12"/>
      <c r="J21" s="12">
        <v>8</v>
      </c>
      <c r="K21" s="452">
        <f t="shared" si="1"/>
        <v>28</v>
      </c>
      <c r="L21" t="str">
        <f t="shared" si="2"/>
        <v>F</v>
      </c>
      <c r="M21" t="str">
        <f t="shared" si="3"/>
        <v>Failed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 t="s">
        <v>33</v>
      </c>
      <c r="U21" t="s">
        <v>34</v>
      </c>
      <c r="V21" t="s">
        <v>35</v>
      </c>
    </row>
    <row r="22" spans="1:22" x14ac:dyDescent="0.3">
      <c r="A22" s="12">
        <f t="shared" si="4"/>
        <v>11</v>
      </c>
      <c r="B22" s="45" t="s">
        <v>205</v>
      </c>
      <c r="C22" s="45" t="s">
        <v>120</v>
      </c>
      <c r="D22" s="12" t="s">
        <v>622</v>
      </c>
      <c r="E22" s="12"/>
      <c r="F22" s="12"/>
      <c r="G22" s="452"/>
      <c r="H22" s="12"/>
      <c r="I22" s="12"/>
      <c r="J22" s="12"/>
      <c r="K22" s="452"/>
      <c r="O22">
        <f>COUNTIF(L12:L65,"A")</f>
        <v>0</v>
      </c>
      <c r="P22">
        <f>COUNTIF(L12:L65,"B+")</f>
        <v>2</v>
      </c>
      <c r="Q22">
        <f>COUNTIF(L12:L65,"B")</f>
        <v>9</v>
      </c>
      <c r="R22">
        <f>COUNTIF(L12:L65,"C+")</f>
        <v>9</v>
      </c>
      <c r="S22">
        <f>COUNTIF(L12:L65,"C")</f>
        <v>13</v>
      </c>
      <c r="T22">
        <f>COUNTIF(L12:L65,"D+")</f>
        <v>6</v>
      </c>
      <c r="U22">
        <f>COUNTIF(L12:L65,"D")</f>
        <v>5</v>
      </c>
      <c r="V22">
        <f>COUNTIF(L12:L65,"F")</f>
        <v>1</v>
      </c>
    </row>
    <row r="23" spans="1:22" x14ac:dyDescent="0.3">
      <c r="A23" s="12">
        <f t="shared" si="4"/>
        <v>12</v>
      </c>
      <c r="B23" s="45" t="s">
        <v>168</v>
      </c>
      <c r="C23" s="45" t="s">
        <v>121</v>
      </c>
      <c r="D23" s="12" t="s">
        <v>626</v>
      </c>
      <c r="E23" s="12">
        <v>8</v>
      </c>
      <c r="F23" s="12">
        <v>19</v>
      </c>
      <c r="G23" s="452">
        <f t="shared" si="0"/>
        <v>27</v>
      </c>
      <c r="H23" s="12"/>
      <c r="I23" s="12"/>
      <c r="J23" s="12">
        <v>31</v>
      </c>
      <c r="K23" s="452">
        <f t="shared" si="1"/>
        <v>58</v>
      </c>
      <c r="L23" t="str">
        <f t="shared" si="2"/>
        <v>C+</v>
      </c>
      <c r="M23" t="str">
        <f t="shared" si="3"/>
        <v>Passed</v>
      </c>
    </row>
    <row r="24" spans="1:22" x14ac:dyDescent="0.3">
      <c r="A24" s="12">
        <f t="shared" si="4"/>
        <v>13</v>
      </c>
      <c r="B24" s="45" t="s">
        <v>170</v>
      </c>
      <c r="C24" s="45" t="s">
        <v>124</v>
      </c>
      <c r="D24" s="12" t="s">
        <v>631</v>
      </c>
      <c r="E24" s="12">
        <v>8</v>
      </c>
      <c r="F24" s="12">
        <v>15</v>
      </c>
      <c r="G24" s="452">
        <f t="shared" si="0"/>
        <v>23</v>
      </c>
      <c r="H24" s="12"/>
      <c r="I24" s="12"/>
      <c r="J24" s="12">
        <v>31</v>
      </c>
      <c r="K24" s="452">
        <f t="shared" si="1"/>
        <v>54</v>
      </c>
      <c r="L24" t="str">
        <f t="shared" si="2"/>
        <v>C</v>
      </c>
      <c r="M24" t="str">
        <f t="shared" si="3"/>
        <v>Passed</v>
      </c>
    </row>
    <row r="25" spans="1:22" x14ac:dyDescent="0.3">
      <c r="A25" s="12">
        <v>14</v>
      </c>
      <c r="B25" s="45" t="s">
        <v>172</v>
      </c>
      <c r="C25" s="45" t="s">
        <v>126</v>
      </c>
      <c r="D25" s="12" t="s">
        <v>671</v>
      </c>
      <c r="E25" s="12">
        <v>8</v>
      </c>
      <c r="F25" s="12">
        <v>15</v>
      </c>
      <c r="G25" s="452">
        <f t="shared" si="0"/>
        <v>23</v>
      </c>
      <c r="H25" s="12"/>
      <c r="I25" s="12"/>
      <c r="J25" s="12">
        <v>19</v>
      </c>
      <c r="K25" s="452">
        <f t="shared" si="1"/>
        <v>42</v>
      </c>
      <c r="L25" t="str">
        <f t="shared" si="2"/>
        <v>D</v>
      </c>
      <c r="M25" t="str">
        <f t="shared" si="3"/>
        <v>Failed</v>
      </c>
    </row>
    <row r="26" spans="1:22" x14ac:dyDescent="0.3">
      <c r="A26" s="12">
        <f t="shared" si="4"/>
        <v>15</v>
      </c>
      <c r="B26" s="45" t="s">
        <v>173</v>
      </c>
      <c r="C26" s="45" t="s">
        <v>127</v>
      </c>
      <c r="D26" s="12" t="s">
        <v>672</v>
      </c>
      <c r="E26" s="12">
        <v>8</v>
      </c>
      <c r="F26" s="12">
        <v>20</v>
      </c>
      <c r="G26" s="452">
        <f t="shared" si="0"/>
        <v>28</v>
      </c>
      <c r="H26" s="12"/>
      <c r="I26" s="12"/>
      <c r="J26" s="12">
        <v>21</v>
      </c>
      <c r="K26" s="452">
        <f t="shared" si="1"/>
        <v>49</v>
      </c>
      <c r="L26" t="str">
        <f t="shared" si="2"/>
        <v>D+</v>
      </c>
      <c r="M26" t="str">
        <f t="shared" si="3"/>
        <v>Failed</v>
      </c>
    </row>
    <row r="27" spans="1:22" x14ac:dyDescent="0.3">
      <c r="A27" s="12">
        <f t="shared" si="4"/>
        <v>16</v>
      </c>
      <c r="B27" s="45" t="s">
        <v>175</v>
      </c>
      <c r="C27" s="45" t="s">
        <v>131</v>
      </c>
      <c r="D27" s="12" t="s">
        <v>643</v>
      </c>
      <c r="E27" s="12">
        <v>8</v>
      </c>
      <c r="F27" s="12">
        <v>18</v>
      </c>
      <c r="G27" s="452">
        <f t="shared" si="0"/>
        <v>26</v>
      </c>
      <c r="H27" s="12"/>
      <c r="I27" s="12"/>
      <c r="J27" s="12">
        <v>14</v>
      </c>
      <c r="K27" s="452">
        <f t="shared" si="1"/>
        <v>40</v>
      </c>
      <c r="L27" t="str">
        <f t="shared" si="2"/>
        <v>D</v>
      </c>
      <c r="M27" t="str">
        <f t="shared" si="3"/>
        <v>Failed</v>
      </c>
    </row>
    <row r="28" spans="1:22" x14ac:dyDescent="0.3">
      <c r="A28" s="12">
        <f t="shared" si="4"/>
        <v>17</v>
      </c>
      <c r="B28" s="277" t="s">
        <v>178</v>
      </c>
      <c r="C28" s="45" t="s">
        <v>133</v>
      </c>
      <c r="D28" s="12" t="s">
        <v>639</v>
      </c>
      <c r="E28" s="12">
        <v>8</v>
      </c>
      <c r="F28" s="12">
        <v>21</v>
      </c>
      <c r="G28" s="452">
        <f t="shared" si="0"/>
        <v>29</v>
      </c>
      <c r="H28" s="12"/>
      <c r="I28" s="12"/>
      <c r="J28" s="12">
        <v>32</v>
      </c>
      <c r="K28" s="452">
        <f t="shared" si="1"/>
        <v>61</v>
      </c>
      <c r="L28" t="str">
        <f t="shared" si="2"/>
        <v>B</v>
      </c>
      <c r="M28" t="str">
        <f t="shared" si="3"/>
        <v>Passed</v>
      </c>
    </row>
    <row r="29" spans="1:22" x14ac:dyDescent="0.3">
      <c r="A29" s="12">
        <f t="shared" si="4"/>
        <v>18</v>
      </c>
      <c r="B29" s="452" t="s">
        <v>534</v>
      </c>
      <c r="C29" s="436" t="s">
        <v>363</v>
      </c>
      <c r="D29" s="452" t="s">
        <v>625</v>
      </c>
      <c r="E29" s="452"/>
      <c r="F29" s="452"/>
      <c r="G29" s="452"/>
      <c r="H29" s="452"/>
      <c r="I29" s="452"/>
      <c r="J29" s="452"/>
      <c r="K29" s="452"/>
      <c r="L29" s="14"/>
      <c r="M29" s="14"/>
    </row>
    <row r="30" spans="1:22" x14ac:dyDescent="0.3">
      <c r="A30" s="12">
        <f t="shared" si="4"/>
        <v>19</v>
      </c>
      <c r="B30" s="437" t="s">
        <v>144</v>
      </c>
      <c r="C30" s="438" t="s">
        <v>137</v>
      </c>
      <c r="D30" s="452" t="s">
        <v>650</v>
      </c>
      <c r="E30" s="452"/>
      <c r="F30" s="452"/>
      <c r="G30" s="452"/>
      <c r="H30" s="452"/>
      <c r="I30" s="452"/>
      <c r="J30" s="452"/>
      <c r="K30" s="452"/>
      <c r="L30" s="14"/>
      <c r="M30" s="14"/>
    </row>
    <row r="31" spans="1:22" x14ac:dyDescent="0.3">
      <c r="A31" s="12">
        <f t="shared" si="4"/>
        <v>20</v>
      </c>
      <c r="B31" s="390" t="s">
        <v>204</v>
      </c>
      <c r="C31" s="390" t="s">
        <v>138</v>
      </c>
      <c r="D31" s="12" t="s">
        <v>660</v>
      </c>
      <c r="E31" s="12">
        <v>8</v>
      </c>
      <c r="F31" s="12">
        <v>30</v>
      </c>
      <c r="G31" s="452">
        <f t="shared" si="0"/>
        <v>38</v>
      </c>
      <c r="H31" s="12"/>
      <c r="I31" s="12"/>
      <c r="J31" s="12">
        <v>27</v>
      </c>
      <c r="K31" s="452">
        <f t="shared" si="1"/>
        <v>65</v>
      </c>
      <c r="L31" t="str">
        <f t="shared" si="2"/>
        <v>B</v>
      </c>
      <c r="M31" t="str">
        <f t="shared" si="3"/>
        <v>Passed</v>
      </c>
    </row>
    <row r="32" spans="1:22" x14ac:dyDescent="0.3">
      <c r="A32" s="12">
        <f t="shared" si="4"/>
        <v>21</v>
      </c>
      <c r="B32" s="305" t="s">
        <v>181</v>
      </c>
      <c r="C32" s="45" t="s">
        <v>139</v>
      </c>
      <c r="D32" s="12" t="s">
        <v>632</v>
      </c>
      <c r="E32" s="12">
        <v>8</v>
      </c>
      <c r="F32" s="12">
        <v>18</v>
      </c>
      <c r="G32" s="452">
        <f t="shared" si="0"/>
        <v>26</v>
      </c>
      <c r="H32" s="12"/>
      <c r="I32" s="12"/>
      <c r="J32" s="12">
        <v>27</v>
      </c>
      <c r="K32" s="452">
        <f t="shared" si="1"/>
        <v>53</v>
      </c>
      <c r="L32" t="str">
        <f t="shared" si="2"/>
        <v>C</v>
      </c>
      <c r="M32" t="str">
        <f t="shared" si="3"/>
        <v>Passed</v>
      </c>
    </row>
    <row r="33" spans="1:13" x14ac:dyDescent="0.3">
      <c r="A33" s="12">
        <f t="shared" si="4"/>
        <v>22</v>
      </c>
      <c r="B33" s="391" t="s">
        <v>201</v>
      </c>
      <c r="C33" s="45" t="s">
        <v>141</v>
      </c>
      <c r="D33" s="12" t="s">
        <v>637</v>
      </c>
      <c r="E33" s="12">
        <v>8</v>
      </c>
      <c r="F33" s="12">
        <v>19</v>
      </c>
      <c r="G33" s="452">
        <f t="shared" si="0"/>
        <v>27</v>
      </c>
      <c r="H33" s="12"/>
      <c r="I33" s="12"/>
      <c r="J33" s="12">
        <v>33</v>
      </c>
      <c r="K33" s="452">
        <f t="shared" si="1"/>
        <v>60</v>
      </c>
      <c r="L33" t="str">
        <f t="shared" si="2"/>
        <v>B</v>
      </c>
      <c r="M33" t="str">
        <f t="shared" si="3"/>
        <v>Passed</v>
      </c>
    </row>
    <row r="34" spans="1:13" x14ac:dyDescent="0.3">
      <c r="A34" s="12">
        <f t="shared" si="4"/>
        <v>23</v>
      </c>
      <c r="B34" s="45" t="s">
        <v>176</v>
      </c>
      <c r="C34" s="45" t="s">
        <v>481</v>
      </c>
      <c r="D34" s="12" t="s">
        <v>654</v>
      </c>
      <c r="E34" s="12">
        <v>8</v>
      </c>
      <c r="F34" s="12">
        <v>18</v>
      </c>
      <c r="G34" s="452">
        <f t="shared" si="0"/>
        <v>26</v>
      </c>
      <c r="H34" s="12"/>
      <c r="I34" s="12"/>
      <c r="J34" s="12">
        <v>26</v>
      </c>
      <c r="K34" s="452">
        <f t="shared" si="1"/>
        <v>52</v>
      </c>
      <c r="L34" t="str">
        <f t="shared" si="2"/>
        <v>C</v>
      </c>
      <c r="M34" t="str">
        <f t="shared" si="3"/>
        <v>Passed</v>
      </c>
    </row>
    <row r="35" spans="1:13" x14ac:dyDescent="0.3">
      <c r="A35" s="12">
        <f t="shared" si="4"/>
        <v>24</v>
      </c>
      <c r="B35" s="12" t="s">
        <v>148</v>
      </c>
      <c r="C35" s="12" t="s">
        <v>96</v>
      </c>
      <c r="D35" s="12" t="s">
        <v>645</v>
      </c>
      <c r="E35" s="12">
        <v>8</v>
      </c>
      <c r="F35" s="12">
        <v>16</v>
      </c>
      <c r="G35" s="452">
        <f t="shared" si="0"/>
        <v>24</v>
      </c>
      <c r="H35" s="12"/>
      <c r="I35" s="12"/>
      <c r="J35" s="12">
        <v>16</v>
      </c>
      <c r="K35" s="452">
        <f t="shared" si="1"/>
        <v>40</v>
      </c>
      <c r="L35" t="str">
        <f t="shared" si="2"/>
        <v>D</v>
      </c>
      <c r="M35" t="str">
        <f t="shared" si="3"/>
        <v>Failed</v>
      </c>
    </row>
    <row r="36" spans="1:13" x14ac:dyDescent="0.3">
      <c r="A36" s="12">
        <f t="shared" si="4"/>
        <v>25</v>
      </c>
      <c r="B36" s="12" t="s">
        <v>153</v>
      </c>
      <c r="C36" s="12" t="s">
        <v>101</v>
      </c>
      <c r="D36" s="12" t="s">
        <v>623</v>
      </c>
      <c r="E36" s="12">
        <v>8</v>
      </c>
      <c r="F36" s="12">
        <v>20</v>
      </c>
      <c r="G36" s="452">
        <f t="shared" si="0"/>
        <v>28</v>
      </c>
      <c r="H36" s="12"/>
      <c r="I36" s="12"/>
      <c r="J36" s="12">
        <v>34</v>
      </c>
      <c r="K36" s="452">
        <f t="shared" si="1"/>
        <v>62</v>
      </c>
      <c r="L36" t="str">
        <f t="shared" si="2"/>
        <v>B</v>
      </c>
      <c r="M36" t="str">
        <f t="shared" si="3"/>
        <v>Passed</v>
      </c>
    </row>
    <row r="37" spans="1:13" x14ac:dyDescent="0.3">
      <c r="A37" s="12">
        <f t="shared" si="4"/>
        <v>26</v>
      </c>
      <c r="B37" s="12" t="s">
        <v>154</v>
      </c>
      <c r="C37" s="12" t="s">
        <v>102</v>
      </c>
      <c r="D37" s="12" t="s">
        <v>633</v>
      </c>
      <c r="E37" s="12">
        <v>8</v>
      </c>
      <c r="F37" s="12">
        <v>22</v>
      </c>
      <c r="G37" s="452">
        <f t="shared" si="0"/>
        <v>30</v>
      </c>
      <c r="H37" s="12"/>
      <c r="I37" s="12"/>
      <c r="J37" s="12">
        <v>28</v>
      </c>
      <c r="K37" s="452">
        <f t="shared" si="1"/>
        <v>58</v>
      </c>
      <c r="L37" t="str">
        <f t="shared" si="2"/>
        <v>C+</v>
      </c>
      <c r="M37" t="str">
        <f t="shared" si="3"/>
        <v>Passed</v>
      </c>
    </row>
    <row r="38" spans="1:13" x14ac:dyDescent="0.3">
      <c r="A38" s="12">
        <f t="shared" si="4"/>
        <v>27</v>
      </c>
      <c r="B38" s="12" t="s">
        <v>162</v>
      </c>
      <c r="C38" s="12" t="s">
        <v>112</v>
      </c>
      <c r="D38" s="12" t="s">
        <v>636</v>
      </c>
      <c r="E38" s="12">
        <v>8</v>
      </c>
      <c r="F38" s="12">
        <v>26</v>
      </c>
      <c r="G38" s="452">
        <f t="shared" si="0"/>
        <v>34</v>
      </c>
      <c r="H38" s="12"/>
      <c r="I38" s="12"/>
      <c r="J38" s="12">
        <v>14</v>
      </c>
      <c r="K38" s="452">
        <f t="shared" si="1"/>
        <v>48</v>
      </c>
      <c r="L38" t="str">
        <f t="shared" si="2"/>
        <v>D+</v>
      </c>
      <c r="M38" t="str">
        <f t="shared" si="3"/>
        <v>Failed</v>
      </c>
    </row>
    <row r="39" spans="1:13" x14ac:dyDescent="0.3">
      <c r="A39" s="12">
        <f t="shared" si="4"/>
        <v>28</v>
      </c>
      <c r="B39" s="12" t="s">
        <v>164</v>
      </c>
      <c r="C39" s="12" t="s">
        <v>114</v>
      </c>
      <c r="D39" s="12" t="s">
        <v>652</v>
      </c>
      <c r="E39" s="12">
        <v>8</v>
      </c>
      <c r="F39" s="12">
        <v>18</v>
      </c>
      <c r="G39" s="452">
        <f t="shared" si="0"/>
        <v>26</v>
      </c>
      <c r="H39" s="12"/>
      <c r="I39" s="12"/>
      <c r="J39" s="12">
        <v>24</v>
      </c>
      <c r="K39" s="452">
        <f t="shared" si="1"/>
        <v>50</v>
      </c>
      <c r="L39" t="str">
        <f t="shared" si="2"/>
        <v>C</v>
      </c>
      <c r="M39" t="str">
        <f t="shared" si="3"/>
        <v>Passed</v>
      </c>
    </row>
    <row r="40" spans="1:13" x14ac:dyDescent="0.3">
      <c r="A40" s="12">
        <f t="shared" si="4"/>
        <v>29</v>
      </c>
      <c r="B40" s="60" t="s">
        <v>165</v>
      </c>
      <c r="C40" s="12" t="s">
        <v>116</v>
      </c>
      <c r="D40" s="12" t="s">
        <v>641</v>
      </c>
      <c r="E40" s="12">
        <v>8</v>
      </c>
      <c r="F40" s="12">
        <v>21</v>
      </c>
      <c r="G40" s="452">
        <f t="shared" si="0"/>
        <v>29</v>
      </c>
      <c r="H40" s="12"/>
      <c r="I40" s="12"/>
      <c r="J40" s="12">
        <v>35</v>
      </c>
      <c r="K40" s="452">
        <f t="shared" si="1"/>
        <v>64</v>
      </c>
      <c r="L40" t="str">
        <f t="shared" si="2"/>
        <v>B</v>
      </c>
      <c r="M40" t="str">
        <f t="shared" si="3"/>
        <v>Passed</v>
      </c>
    </row>
    <row r="41" spans="1:13" x14ac:dyDescent="0.3">
      <c r="A41" s="12">
        <f t="shared" si="4"/>
        <v>30</v>
      </c>
      <c r="B41" s="12" t="s">
        <v>206</v>
      </c>
      <c r="C41" s="12" t="s">
        <v>123</v>
      </c>
      <c r="D41" s="12" t="s">
        <v>653</v>
      </c>
      <c r="E41" s="12">
        <v>8</v>
      </c>
      <c r="F41" s="12">
        <v>21</v>
      </c>
      <c r="G41" s="452">
        <f t="shared" si="0"/>
        <v>29</v>
      </c>
      <c r="H41" s="12"/>
      <c r="I41" s="12"/>
      <c r="J41" s="12">
        <v>30</v>
      </c>
      <c r="K41" s="452">
        <f t="shared" si="1"/>
        <v>59</v>
      </c>
      <c r="L41" t="str">
        <f t="shared" si="2"/>
        <v>C+</v>
      </c>
      <c r="M41" t="str">
        <f t="shared" si="3"/>
        <v>Passed</v>
      </c>
    </row>
    <row r="42" spans="1:13" x14ac:dyDescent="0.3">
      <c r="A42" s="12">
        <f t="shared" si="4"/>
        <v>31</v>
      </c>
      <c r="B42" s="12" t="s">
        <v>202</v>
      </c>
      <c r="C42" s="12" t="s">
        <v>135</v>
      </c>
      <c r="D42" s="12" t="s">
        <v>622</v>
      </c>
      <c r="E42" s="12"/>
      <c r="F42" s="12"/>
      <c r="G42" s="452"/>
      <c r="H42" s="12"/>
      <c r="I42" s="12"/>
      <c r="J42" s="12"/>
      <c r="K42" s="452"/>
    </row>
    <row r="43" spans="1:13" x14ac:dyDescent="0.3">
      <c r="A43" s="452">
        <f t="shared" si="4"/>
        <v>32</v>
      </c>
      <c r="B43" s="452" t="s">
        <v>1249</v>
      </c>
      <c r="C43" s="452" t="s">
        <v>422</v>
      </c>
      <c r="D43" s="452" t="s">
        <v>624</v>
      </c>
      <c r="E43" s="452"/>
      <c r="F43" s="452"/>
      <c r="G43" s="452"/>
      <c r="H43" s="452"/>
      <c r="I43" s="452"/>
      <c r="J43" s="452"/>
      <c r="K43" s="452"/>
      <c r="L43" s="14"/>
      <c r="M43" s="14"/>
    </row>
    <row r="44" spans="1:13" x14ac:dyDescent="0.3">
      <c r="A44" s="12">
        <f t="shared" si="4"/>
        <v>33</v>
      </c>
      <c r="B44" s="45" t="s">
        <v>150</v>
      </c>
      <c r="C44" s="45" t="s">
        <v>98</v>
      </c>
      <c r="D44" s="12" t="s">
        <v>651</v>
      </c>
      <c r="E44" s="12">
        <v>8</v>
      </c>
      <c r="F44" s="12">
        <v>20</v>
      </c>
      <c r="G44" s="452">
        <f t="shared" si="0"/>
        <v>28</v>
      </c>
      <c r="H44" s="12"/>
      <c r="I44" s="12"/>
      <c r="J44" s="12">
        <v>26</v>
      </c>
      <c r="K44" s="452">
        <f t="shared" si="1"/>
        <v>54</v>
      </c>
      <c r="L44" t="str">
        <f t="shared" si="2"/>
        <v>C</v>
      </c>
      <c r="M44" t="str">
        <f t="shared" si="3"/>
        <v>Passed</v>
      </c>
    </row>
    <row r="45" spans="1:13" x14ac:dyDescent="0.3">
      <c r="A45" s="12">
        <f t="shared" si="4"/>
        <v>34</v>
      </c>
      <c r="B45" s="45" t="s">
        <v>151</v>
      </c>
      <c r="C45" s="45" t="s">
        <v>99</v>
      </c>
      <c r="D45" s="12" t="s">
        <v>656</v>
      </c>
      <c r="E45" s="12">
        <v>8</v>
      </c>
      <c r="F45" s="12">
        <v>15</v>
      </c>
      <c r="G45" s="452">
        <f t="shared" si="0"/>
        <v>23</v>
      </c>
      <c r="H45" s="12"/>
      <c r="I45" s="12"/>
      <c r="J45" s="12">
        <v>23</v>
      </c>
      <c r="K45" s="452">
        <f t="shared" si="1"/>
        <v>46</v>
      </c>
      <c r="L45" t="str">
        <f t="shared" si="2"/>
        <v>D+</v>
      </c>
      <c r="M45" t="str">
        <f t="shared" si="3"/>
        <v>Failed</v>
      </c>
    </row>
    <row r="46" spans="1:13" x14ac:dyDescent="0.3">
      <c r="A46" s="12">
        <f t="shared" si="4"/>
        <v>35</v>
      </c>
      <c r="B46" s="45" t="s">
        <v>157</v>
      </c>
      <c r="C46" s="45" t="s">
        <v>106</v>
      </c>
      <c r="D46" s="12" t="s">
        <v>629</v>
      </c>
      <c r="E46" s="12">
        <v>8</v>
      </c>
      <c r="F46" s="12">
        <v>25</v>
      </c>
      <c r="G46" s="452">
        <f t="shared" si="0"/>
        <v>33</v>
      </c>
      <c r="H46" s="12"/>
      <c r="I46" s="12"/>
      <c r="J46" s="12">
        <v>35</v>
      </c>
      <c r="K46" s="452">
        <f t="shared" si="1"/>
        <v>68</v>
      </c>
      <c r="L46" t="str">
        <f t="shared" si="2"/>
        <v>B</v>
      </c>
      <c r="M46" t="str">
        <f t="shared" si="3"/>
        <v>Passed</v>
      </c>
    </row>
    <row r="47" spans="1:13" x14ac:dyDescent="0.3">
      <c r="A47" s="12">
        <f t="shared" si="4"/>
        <v>36</v>
      </c>
      <c r="B47" s="45" t="s">
        <v>158</v>
      </c>
      <c r="C47" s="45" t="s">
        <v>107</v>
      </c>
      <c r="D47" s="12" t="s">
        <v>663</v>
      </c>
      <c r="E47" s="12">
        <v>8</v>
      </c>
      <c r="F47" s="12">
        <v>20</v>
      </c>
      <c r="G47" s="452">
        <f t="shared" si="0"/>
        <v>28</v>
      </c>
      <c r="H47" s="12"/>
      <c r="I47" s="12"/>
      <c r="J47" s="12">
        <v>22</v>
      </c>
      <c r="K47" s="452">
        <f t="shared" si="1"/>
        <v>50</v>
      </c>
      <c r="L47" t="str">
        <f t="shared" si="2"/>
        <v>C</v>
      </c>
      <c r="M47" t="str">
        <f t="shared" si="3"/>
        <v>Passed</v>
      </c>
    </row>
    <row r="48" spans="1:13" x14ac:dyDescent="0.3">
      <c r="A48" s="12">
        <f t="shared" si="4"/>
        <v>37</v>
      </c>
      <c r="B48" s="45" t="s">
        <v>159</v>
      </c>
      <c r="C48" s="45" t="s">
        <v>108</v>
      </c>
      <c r="D48" s="12" t="s">
        <v>651</v>
      </c>
      <c r="E48" s="12">
        <v>8</v>
      </c>
      <c r="F48" s="12">
        <v>22</v>
      </c>
      <c r="G48" s="452">
        <f t="shared" si="0"/>
        <v>30</v>
      </c>
      <c r="H48" s="12"/>
      <c r="I48" s="12"/>
      <c r="J48" s="12">
        <v>26</v>
      </c>
      <c r="K48" s="452">
        <f t="shared" si="1"/>
        <v>56</v>
      </c>
      <c r="L48" t="str">
        <f t="shared" si="2"/>
        <v>C+</v>
      </c>
      <c r="M48" t="str">
        <f t="shared" si="3"/>
        <v>Passed</v>
      </c>
    </row>
    <row r="49" spans="1:13" x14ac:dyDescent="0.3">
      <c r="A49" s="12">
        <f t="shared" si="4"/>
        <v>38</v>
      </c>
      <c r="B49" s="45" t="s">
        <v>167</v>
      </c>
      <c r="C49" s="45" t="s">
        <v>118</v>
      </c>
      <c r="D49" s="12" t="s">
        <v>642</v>
      </c>
      <c r="E49" s="12">
        <v>8</v>
      </c>
      <c r="F49" s="12">
        <v>19</v>
      </c>
      <c r="G49" s="452">
        <f t="shared" si="0"/>
        <v>27</v>
      </c>
      <c r="H49" s="12"/>
      <c r="I49" s="12"/>
      <c r="J49" s="12">
        <v>26</v>
      </c>
      <c r="K49" s="452">
        <f t="shared" si="1"/>
        <v>53</v>
      </c>
      <c r="L49" t="str">
        <f t="shared" si="2"/>
        <v>C</v>
      </c>
      <c r="M49" t="str">
        <f t="shared" si="3"/>
        <v>Passed</v>
      </c>
    </row>
    <row r="50" spans="1:13" x14ac:dyDescent="0.3">
      <c r="A50" s="12">
        <f t="shared" si="4"/>
        <v>39</v>
      </c>
      <c r="B50" s="45" t="s">
        <v>171</v>
      </c>
      <c r="C50" s="45" t="s">
        <v>125</v>
      </c>
      <c r="D50" s="12" t="s">
        <v>668</v>
      </c>
      <c r="E50" s="12">
        <v>8</v>
      </c>
      <c r="F50" s="12">
        <v>20</v>
      </c>
      <c r="G50" s="452">
        <f t="shared" si="0"/>
        <v>28</v>
      </c>
      <c r="H50" s="12"/>
      <c r="I50" s="12"/>
      <c r="J50" s="12">
        <v>17</v>
      </c>
      <c r="K50" s="452">
        <f t="shared" si="1"/>
        <v>45</v>
      </c>
      <c r="L50" t="str">
        <f t="shared" si="2"/>
        <v>D+</v>
      </c>
      <c r="M50" t="str">
        <f t="shared" si="3"/>
        <v>Failed</v>
      </c>
    </row>
    <row r="51" spans="1:13" x14ac:dyDescent="0.3">
      <c r="A51" s="12">
        <f t="shared" si="4"/>
        <v>40</v>
      </c>
      <c r="B51" s="45" t="s">
        <v>174</v>
      </c>
      <c r="C51" s="45" t="s">
        <v>128</v>
      </c>
      <c r="D51" s="12" t="s">
        <v>649</v>
      </c>
      <c r="E51" s="12">
        <v>8</v>
      </c>
      <c r="F51" s="12">
        <v>15</v>
      </c>
      <c r="G51" s="452">
        <f t="shared" si="0"/>
        <v>23</v>
      </c>
      <c r="H51" s="12"/>
      <c r="I51" s="12"/>
      <c r="J51" s="12">
        <v>27</v>
      </c>
      <c r="K51" s="452">
        <f t="shared" si="1"/>
        <v>50</v>
      </c>
      <c r="L51" t="str">
        <f t="shared" si="2"/>
        <v>C</v>
      </c>
      <c r="M51" t="str">
        <f t="shared" si="3"/>
        <v>Passed</v>
      </c>
    </row>
    <row r="52" spans="1:13" x14ac:dyDescent="0.3">
      <c r="A52" s="12">
        <f t="shared" si="4"/>
        <v>41</v>
      </c>
      <c r="B52" s="45" t="s">
        <v>220</v>
      </c>
      <c r="C52" s="45" t="s">
        <v>130</v>
      </c>
      <c r="D52" s="12" t="s">
        <v>627</v>
      </c>
      <c r="E52" s="12">
        <v>8</v>
      </c>
      <c r="F52" s="12">
        <v>20</v>
      </c>
      <c r="G52" s="452">
        <f t="shared" si="0"/>
        <v>28</v>
      </c>
      <c r="H52" s="12"/>
      <c r="I52" s="12"/>
      <c r="J52" s="12">
        <v>32</v>
      </c>
      <c r="K52" s="452">
        <f t="shared" si="1"/>
        <v>60</v>
      </c>
      <c r="L52" t="str">
        <f t="shared" si="2"/>
        <v>B</v>
      </c>
      <c r="M52" t="str">
        <f t="shared" si="3"/>
        <v>Passed</v>
      </c>
    </row>
    <row r="53" spans="1:13" x14ac:dyDescent="0.3">
      <c r="A53" s="12">
        <f t="shared" si="4"/>
        <v>42</v>
      </c>
      <c r="B53" s="45" t="s">
        <v>659</v>
      </c>
      <c r="C53" s="45" t="s">
        <v>117</v>
      </c>
      <c r="D53" s="12" t="s">
        <v>658</v>
      </c>
      <c r="E53" s="12">
        <v>8</v>
      </c>
      <c r="F53" s="12">
        <v>30</v>
      </c>
      <c r="G53" s="452">
        <f t="shared" si="0"/>
        <v>38</v>
      </c>
      <c r="H53" s="12"/>
      <c r="I53" s="12"/>
      <c r="J53" s="12">
        <v>41</v>
      </c>
      <c r="K53" s="452">
        <f t="shared" si="1"/>
        <v>79</v>
      </c>
      <c r="L53" t="str">
        <f t="shared" si="2"/>
        <v>B+</v>
      </c>
      <c r="M53" t="str">
        <f t="shared" si="3"/>
        <v>Passed</v>
      </c>
    </row>
    <row r="54" spans="1:13" x14ac:dyDescent="0.3">
      <c r="A54" s="12">
        <f t="shared" si="4"/>
        <v>43</v>
      </c>
      <c r="B54" s="45" t="s">
        <v>146</v>
      </c>
      <c r="C54" s="45" t="s">
        <v>94</v>
      </c>
      <c r="D54" s="12" t="s">
        <v>666</v>
      </c>
      <c r="E54" s="12">
        <v>8</v>
      </c>
      <c r="F54" s="12">
        <v>23</v>
      </c>
      <c r="G54" s="452">
        <f t="shared" si="0"/>
        <v>31</v>
      </c>
      <c r="H54" s="12"/>
      <c r="I54" s="12"/>
      <c r="J54" s="12">
        <v>30</v>
      </c>
      <c r="K54" s="452">
        <f t="shared" si="1"/>
        <v>61</v>
      </c>
      <c r="L54" t="str">
        <f t="shared" si="2"/>
        <v>B</v>
      </c>
      <c r="M54" t="str">
        <f t="shared" si="3"/>
        <v>Passed</v>
      </c>
    </row>
    <row r="55" spans="1:13" x14ac:dyDescent="0.3">
      <c r="A55" s="12">
        <f t="shared" si="4"/>
        <v>44</v>
      </c>
      <c r="B55" s="277" t="s">
        <v>147</v>
      </c>
      <c r="C55" s="45" t="s">
        <v>95</v>
      </c>
      <c r="D55" s="12" t="s">
        <v>662</v>
      </c>
      <c r="E55" s="12">
        <v>8</v>
      </c>
      <c r="F55" s="12">
        <v>19</v>
      </c>
      <c r="G55" s="452">
        <f t="shared" si="0"/>
        <v>27</v>
      </c>
      <c r="H55" s="12"/>
      <c r="I55" s="12"/>
      <c r="J55" s="12">
        <v>17</v>
      </c>
      <c r="K55" s="452">
        <f t="shared" si="1"/>
        <v>44</v>
      </c>
      <c r="L55" t="str">
        <f t="shared" si="2"/>
        <v>D</v>
      </c>
      <c r="M55" t="str">
        <f t="shared" si="3"/>
        <v>Failed</v>
      </c>
    </row>
    <row r="56" spans="1:13" x14ac:dyDescent="0.3">
      <c r="A56" s="12">
        <f t="shared" si="4"/>
        <v>45</v>
      </c>
      <c r="B56" s="45" t="s">
        <v>155</v>
      </c>
      <c r="C56" s="45" t="s">
        <v>103</v>
      </c>
      <c r="D56" s="12" t="s">
        <v>667</v>
      </c>
      <c r="E56" s="12">
        <v>8</v>
      </c>
      <c r="F56" s="12">
        <v>20</v>
      </c>
      <c r="G56" s="452">
        <f t="shared" si="0"/>
        <v>28</v>
      </c>
      <c r="H56" s="12"/>
      <c r="I56" s="12"/>
      <c r="J56" s="12">
        <v>16</v>
      </c>
      <c r="K56" s="452">
        <f t="shared" si="1"/>
        <v>44</v>
      </c>
      <c r="L56" t="str">
        <f t="shared" si="2"/>
        <v>D</v>
      </c>
      <c r="M56" t="str">
        <f t="shared" si="3"/>
        <v>Failed</v>
      </c>
    </row>
    <row r="57" spans="1:13" x14ac:dyDescent="0.3">
      <c r="A57" s="452">
        <f t="shared" si="4"/>
        <v>46</v>
      </c>
      <c r="B57" s="452" t="s">
        <v>182</v>
      </c>
      <c r="C57" s="452" t="s">
        <v>105</v>
      </c>
      <c r="D57" s="452" t="s">
        <v>622</v>
      </c>
      <c r="E57" s="452">
        <v>8</v>
      </c>
      <c r="F57" s="452">
        <v>15</v>
      </c>
      <c r="G57" s="452">
        <f t="shared" si="0"/>
        <v>23</v>
      </c>
      <c r="H57" s="452"/>
      <c r="I57" s="452"/>
      <c r="J57" s="452" t="s">
        <v>1938</v>
      </c>
      <c r="K57" s="452"/>
    </row>
    <row r="58" spans="1:13" x14ac:dyDescent="0.3">
      <c r="A58" s="452">
        <f t="shared" si="4"/>
        <v>47</v>
      </c>
      <c r="B58" s="452" t="s">
        <v>161</v>
      </c>
      <c r="C58" s="452" t="s">
        <v>111</v>
      </c>
      <c r="D58" s="452" t="s">
        <v>622</v>
      </c>
      <c r="E58" s="452">
        <v>8</v>
      </c>
      <c r="F58" s="452">
        <v>14</v>
      </c>
      <c r="G58" s="452">
        <f t="shared" si="0"/>
        <v>22</v>
      </c>
      <c r="H58" s="452"/>
      <c r="I58" s="452"/>
      <c r="J58" s="452" t="s">
        <v>1938</v>
      </c>
      <c r="K58" s="452"/>
    </row>
    <row r="59" spans="1:13" x14ac:dyDescent="0.3">
      <c r="A59" s="452">
        <f t="shared" si="4"/>
        <v>48</v>
      </c>
      <c r="B59" s="452" t="s">
        <v>169</v>
      </c>
      <c r="C59" s="452" t="s">
        <v>122</v>
      </c>
      <c r="D59" s="452" t="s">
        <v>622</v>
      </c>
      <c r="E59" s="452">
        <v>8</v>
      </c>
      <c r="F59" s="452">
        <v>16</v>
      </c>
      <c r="G59" s="452">
        <f t="shared" si="0"/>
        <v>24</v>
      </c>
      <c r="H59" s="452"/>
      <c r="I59" s="452"/>
      <c r="J59" s="452" t="s">
        <v>1938</v>
      </c>
      <c r="K59" s="452"/>
    </row>
    <row r="60" spans="1:13" x14ac:dyDescent="0.3">
      <c r="A60" s="12">
        <f t="shared" si="4"/>
        <v>49</v>
      </c>
      <c r="B60" s="45" t="s">
        <v>648</v>
      </c>
      <c r="C60" s="45" t="s">
        <v>129</v>
      </c>
      <c r="D60" s="12" t="s">
        <v>647</v>
      </c>
      <c r="E60" s="12">
        <v>8</v>
      </c>
      <c r="F60" s="12">
        <v>18</v>
      </c>
      <c r="G60" s="452">
        <f t="shared" si="0"/>
        <v>26</v>
      </c>
      <c r="H60" s="12"/>
      <c r="I60" s="12"/>
      <c r="J60" s="12">
        <v>33</v>
      </c>
      <c r="K60" s="452">
        <f t="shared" si="1"/>
        <v>59</v>
      </c>
      <c r="L60" t="str">
        <f t="shared" si="2"/>
        <v>C+</v>
      </c>
      <c r="M60" t="str">
        <f t="shared" si="3"/>
        <v>Passed</v>
      </c>
    </row>
    <row r="61" spans="1:13" x14ac:dyDescent="0.3">
      <c r="A61" s="12">
        <f t="shared" si="4"/>
        <v>50</v>
      </c>
      <c r="B61" s="45" t="s">
        <v>177</v>
      </c>
      <c r="C61" s="45" t="s">
        <v>132</v>
      </c>
      <c r="D61" s="12" t="s">
        <v>646</v>
      </c>
      <c r="E61" s="12">
        <v>8</v>
      </c>
      <c r="F61" s="12">
        <v>15</v>
      </c>
      <c r="G61" s="452">
        <f t="shared" si="0"/>
        <v>23</v>
      </c>
      <c r="H61" s="12"/>
      <c r="I61" s="12"/>
      <c r="J61" s="12">
        <v>25</v>
      </c>
      <c r="K61" s="452">
        <f t="shared" si="1"/>
        <v>48</v>
      </c>
      <c r="L61" t="str">
        <f t="shared" si="2"/>
        <v>D+</v>
      </c>
      <c r="M61" t="str">
        <f t="shared" si="3"/>
        <v>Failed</v>
      </c>
    </row>
    <row r="62" spans="1:13" x14ac:dyDescent="0.3">
      <c r="A62" s="12">
        <f t="shared" si="4"/>
        <v>51</v>
      </c>
      <c r="B62" s="45" t="s">
        <v>179</v>
      </c>
      <c r="C62" s="45" t="s">
        <v>665</v>
      </c>
      <c r="D62" s="12" t="s">
        <v>664</v>
      </c>
      <c r="E62" s="12">
        <v>8</v>
      </c>
      <c r="F62" s="12">
        <v>19</v>
      </c>
      <c r="G62" s="452">
        <f t="shared" si="0"/>
        <v>27</v>
      </c>
      <c r="H62" s="12"/>
      <c r="I62" s="12"/>
      <c r="J62" s="12">
        <v>24</v>
      </c>
      <c r="K62" s="452">
        <f t="shared" si="1"/>
        <v>51</v>
      </c>
      <c r="L62" t="str">
        <f t="shared" si="2"/>
        <v>C</v>
      </c>
      <c r="M62" t="str">
        <f t="shared" si="3"/>
        <v>Passed</v>
      </c>
    </row>
    <row r="63" spans="1:13" x14ac:dyDescent="0.3">
      <c r="A63" s="12">
        <f t="shared" si="4"/>
        <v>52</v>
      </c>
      <c r="B63" s="45" t="s">
        <v>180</v>
      </c>
      <c r="C63" s="45" t="s">
        <v>136</v>
      </c>
      <c r="D63" s="12" t="s">
        <v>670</v>
      </c>
      <c r="E63" s="12">
        <v>8</v>
      </c>
      <c r="F63" s="12">
        <v>15</v>
      </c>
      <c r="G63" s="452">
        <f t="shared" si="0"/>
        <v>23</v>
      </c>
      <c r="H63" s="12"/>
      <c r="I63" s="12"/>
      <c r="J63" s="12">
        <v>30</v>
      </c>
      <c r="K63" s="452">
        <f t="shared" si="1"/>
        <v>53</v>
      </c>
      <c r="L63" t="str">
        <f t="shared" si="2"/>
        <v>C</v>
      </c>
      <c r="M63" t="str">
        <f t="shared" si="3"/>
        <v>Passed</v>
      </c>
    </row>
    <row r="64" spans="1:13" x14ac:dyDescent="0.3">
      <c r="A64" s="12">
        <f t="shared" si="4"/>
        <v>53</v>
      </c>
      <c r="B64" s="45" t="s">
        <v>183</v>
      </c>
      <c r="C64" s="45" t="s">
        <v>140</v>
      </c>
      <c r="D64" s="12" t="s">
        <v>630</v>
      </c>
      <c r="E64" s="12">
        <v>8</v>
      </c>
      <c r="F64" s="12">
        <v>23</v>
      </c>
      <c r="G64" s="452">
        <f t="shared" si="0"/>
        <v>31</v>
      </c>
      <c r="H64" s="12"/>
      <c r="I64" s="12"/>
      <c r="J64" s="12">
        <v>26</v>
      </c>
      <c r="K64" s="452">
        <f t="shared" si="1"/>
        <v>57</v>
      </c>
      <c r="L64" t="str">
        <f t="shared" si="2"/>
        <v>C+</v>
      </c>
      <c r="M64" t="str">
        <f t="shared" si="3"/>
        <v>Passed</v>
      </c>
    </row>
    <row r="65" spans="1:20" x14ac:dyDescent="0.3">
      <c r="A65" s="12">
        <f t="shared" si="4"/>
        <v>54</v>
      </c>
      <c r="B65" s="45" t="s">
        <v>184</v>
      </c>
      <c r="C65" s="45" t="s">
        <v>142</v>
      </c>
      <c r="D65" s="12" t="s">
        <v>628</v>
      </c>
      <c r="E65" s="12">
        <v>8</v>
      </c>
      <c r="F65" s="12">
        <v>15</v>
      </c>
      <c r="G65" s="452">
        <f t="shared" si="0"/>
        <v>23</v>
      </c>
      <c r="H65" s="12"/>
      <c r="I65" s="12"/>
      <c r="J65" s="12">
        <v>31</v>
      </c>
      <c r="K65" s="452">
        <f t="shared" si="1"/>
        <v>54</v>
      </c>
      <c r="L65" t="str">
        <f t="shared" si="2"/>
        <v>C</v>
      </c>
      <c r="M65" t="str">
        <f t="shared" si="3"/>
        <v>Passed</v>
      </c>
    </row>
    <row r="66" spans="1:20" x14ac:dyDescent="0.3">
      <c r="A66" s="313"/>
      <c r="B66" s="56"/>
      <c r="F66" t="s">
        <v>219</v>
      </c>
    </row>
    <row r="67" spans="1:20" s="56" customFormat="1" x14ac:dyDescent="0.3">
      <c r="A67" s="312"/>
    </row>
    <row r="68" spans="1:20" x14ac:dyDescent="0.3">
      <c r="A68" s="312"/>
    </row>
    <row r="69" spans="1:20" x14ac:dyDescent="0.3">
      <c r="A69" s="453" t="s">
        <v>0</v>
      </c>
      <c r="B69" s="451"/>
      <c r="C69" s="451"/>
      <c r="D69" s="451"/>
      <c r="E69" s="451"/>
      <c r="F69" s="451"/>
      <c r="G69" s="451"/>
      <c r="H69" s="451"/>
      <c r="I69" s="451"/>
      <c r="J69" s="451"/>
      <c r="K69" s="451"/>
      <c r="L69" s="451"/>
      <c r="T69" t="s">
        <v>219</v>
      </c>
    </row>
    <row r="70" spans="1:20" x14ac:dyDescent="0.3">
      <c r="A70" s="14" t="s">
        <v>66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spans="1:20" x14ac:dyDescent="0.3">
      <c r="A71" s="460" t="s">
        <v>362</v>
      </c>
      <c r="B71" s="461"/>
      <c r="C71" s="461"/>
      <c r="D71" s="2"/>
      <c r="E71" s="2"/>
      <c r="F71" s="2"/>
      <c r="G71" s="2"/>
      <c r="H71" s="2"/>
      <c r="I71" s="2"/>
      <c r="J71" s="2"/>
      <c r="K71" s="2"/>
      <c r="L71" s="1"/>
      <c r="M71" s="16"/>
      <c r="N71" s="16"/>
      <c r="O71" s="13"/>
    </row>
    <row r="72" spans="1:20" x14ac:dyDescent="0.3">
      <c r="A72" s="450" t="s">
        <v>1</v>
      </c>
      <c r="B72" s="462" t="s">
        <v>541</v>
      </c>
      <c r="C72" s="462"/>
      <c r="D72" s="450"/>
      <c r="E72" s="450"/>
      <c r="F72" s="450"/>
      <c r="G72" s="450"/>
      <c r="H72" s="450"/>
      <c r="I72" s="450"/>
      <c r="J72" s="450"/>
      <c r="K72" s="450"/>
      <c r="L72" s="451"/>
    </row>
    <row r="73" spans="1:20" x14ac:dyDescent="0.3">
      <c r="A73" s="450" t="s">
        <v>3</v>
      </c>
      <c r="B73" s="462" t="s">
        <v>70</v>
      </c>
      <c r="C73" s="462"/>
      <c r="D73" s="450"/>
      <c r="E73" s="450"/>
      <c r="F73" s="450"/>
      <c r="G73" s="450"/>
      <c r="H73" s="450"/>
      <c r="I73" s="450"/>
      <c r="J73" s="450"/>
      <c r="K73" s="450"/>
      <c r="L73" s="451"/>
    </row>
    <row r="74" spans="1:20" x14ac:dyDescent="0.3">
      <c r="A74" s="450" t="s">
        <v>4</v>
      </c>
      <c r="B74" s="462" t="s">
        <v>71</v>
      </c>
      <c r="C74" s="462"/>
      <c r="D74" s="450"/>
      <c r="E74" s="450"/>
      <c r="F74" s="450"/>
      <c r="G74" s="450"/>
      <c r="H74" s="450"/>
      <c r="I74" s="450"/>
      <c r="J74" s="450"/>
      <c r="K74" s="450"/>
      <c r="L74" s="451"/>
    </row>
    <row r="75" spans="1:20" x14ac:dyDescent="0.3">
      <c r="A75" s="450" t="s">
        <v>5</v>
      </c>
      <c r="B75" s="463">
        <v>2</v>
      </c>
      <c r="C75" s="463"/>
      <c r="D75" s="450"/>
      <c r="E75" s="450"/>
      <c r="F75" s="450"/>
      <c r="G75" s="450"/>
      <c r="H75" s="450"/>
      <c r="I75" s="450"/>
      <c r="J75" s="450"/>
      <c r="K75" s="450"/>
      <c r="L75" s="451"/>
    </row>
    <row r="76" spans="1:20" x14ac:dyDescent="0.3">
      <c r="A76" s="450" t="s">
        <v>6</v>
      </c>
      <c r="B76" s="462" t="s">
        <v>37</v>
      </c>
      <c r="C76" s="462"/>
      <c r="D76" s="450"/>
      <c r="E76" s="450"/>
      <c r="F76" s="450"/>
      <c r="G76" s="450"/>
      <c r="H76" s="450"/>
      <c r="I76" s="450"/>
      <c r="J76" s="450"/>
      <c r="K76" s="450"/>
      <c r="L76" s="451"/>
    </row>
    <row r="77" spans="1:20" x14ac:dyDescent="0.3">
      <c r="A77" s="450" t="s">
        <v>68</v>
      </c>
      <c r="B77" s="462" t="s">
        <v>540</v>
      </c>
      <c r="C77" s="462"/>
      <c r="D77" s="450"/>
      <c r="E77" s="450"/>
      <c r="F77" s="450"/>
      <c r="G77" s="450"/>
      <c r="H77" s="450"/>
      <c r="I77" s="450"/>
      <c r="J77" s="450"/>
      <c r="K77" s="450"/>
      <c r="L77" s="451"/>
    </row>
    <row r="78" spans="1:20" x14ac:dyDescent="0.3">
      <c r="A78" s="44" t="s">
        <v>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t="s">
        <v>17</v>
      </c>
      <c r="M78" t="s">
        <v>18</v>
      </c>
      <c r="N78" t="s">
        <v>19</v>
      </c>
    </row>
    <row r="79" spans="1:20" ht="60" x14ac:dyDescent="0.3">
      <c r="A79" s="452" t="s">
        <v>69</v>
      </c>
      <c r="B79" s="452" t="s">
        <v>9</v>
      </c>
      <c r="C79" s="452" t="s">
        <v>10</v>
      </c>
      <c r="D79" s="43" t="s">
        <v>11</v>
      </c>
      <c r="E79" s="43" t="s">
        <v>12</v>
      </c>
      <c r="F79" s="43" t="s">
        <v>13</v>
      </c>
      <c r="G79" s="43" t="s">
        <v>14</v>
      </c>
      <c r="H79" s="43" t="s">
        <v>208</v>
      </c>
      <c r="I79" s="43" t="s">
        <v>209</v>
      </c>
      <c r="J79" s="43" t="s">
        <v>15</v>
      </c>
      <c r="K79" s="43" t="s">
        <v>16</v>
      </c>
      <c r="N79" t="s">
        <v>20</v>
      </c>
      <c r="O79">
        <f>COUNT(G81:G134)</f>
        <v>50</v>
      </c>
    </row>
    <row r="80" spans="1:20" x14ac:dyDescent="0.3">
      <c r="A80" s="12"/>
      <c r="B80" s="452"/>
      <c r="C80" s="452"/>
      <c r="D80" s="452"/>
      <c r="E80" s="452"/>
      <c r="F80" s="452"/>
      <c r="G80" s="452"/>
      <c r="H80" s="452"/>
      <c r="I80" s="452"/>
      <c r="J80" s="452"/>
      <c r="K80" s="452"/>
      <c r="N80" t="s">
        <v>21</v>
      </c>
      <c r="O80">
        <f>COUNT(J81:J134)</f>
        <v>48</v>
      </c>
    </row>
    <row r="81" spans="1:22" ht="15.6" x14ac:dyDescent="0.3">
      <c r="A81" s="12">
        <f>ROW(A1)</f>
        <v>1</v>
      </c>
      <c r="B81" s="4" t="s">
        <v>203</v>
      </c>
      <c r="C81" s="4" t="s">
        <v>92</v>
      </c>
      <c r="D81" s="12" t="s">
        <v>693</v>
      </c>
      <c r="E81" s="12">
        <v>10</v>
      </c>
      <c r="F81" s="12">
        <v>21</v>
      </c>
      <c r="G81" s="452">
        <f t="shared" ref="G81:G134" si="5">SUM(E81:F81)</f>
        <v>31</v>
      </c>
      <c r="H81" s="12"/>
      <c r="I81" s="12"/>
      <c r="J81" s="12">
        <v>26</v>
      </c>
      <c r="K81" s="452">
        <f t="shared" ref="K81:K134" si="6">SUM(G81:J81)</f>
        <v>57</v>
      </c>
      <c r="L81" t="str">
        <f t="shared" ref="L81:L134" si="7">IF(K81&gt;=80,"A",IF(K81&gt;=70,"B+",IF(K81&gt;=60,"B",IF(K81&gt;=55,"C+",IF(K81&gt;=50,"C",IF(K81&gt;=45,"D+",IF(K81&gt;=40,"D","F")))))))</f>
        <v>C+</v>
      </c>
      <c r="M81" t="str">
        <f t="shared" ref="M81:M134" si="8">IF(K81&gt;=50,"Passed","Failed")</f>
        <v>Passed</v>
      </c>
      <c r="N81" t="s">
        <v>22</v>
      </c>
      <c r="O81">
        <f>O79-O80</f>
        <v>2</v>
      </c>
    </row>
    <row r="82" spans="1:22" ht="15.6" x14ac:dyDescent="0.3">
      <c r="A82" s="12">
        <f t="shared" ref="A82:A134" si="9">ROW(A2)</f>
        <v>2</v>
      </c>
      <c r="B82" s="4" t="s">
        <v>145</v>
      </c>
      <c r="C82" s="4" t="s">
        <v>93</v>
      </c>
      <c r="D82" s="12" t="s">
        <v>723</v>
      </c>
      <c r="E82" s="12">
        <v>10</v>
      </c>
      <c r="F82" s="12">
        <v>23</v>
      </c>
      <c r="G82" s="452">
        <f t="shared" si="5"/>
        <v>33</v>
      </c>
      <c r="H82" s="12"/>
      <c r="I82" s="12"/>
      <c r="J82" s="12">
        <v>30</v>
      </c>
      <c r="K82" s="452">
        <f t="shared" si="6"/>
        <v>63</v>
      </c>
      <c r="L82" t="str">
        <f t="shared" si="7"/>
        <v>B</v>
      </c>
      <c r="M82" t="str">
        <f t="shared" si="8"/>
        <v>Passed</v>
      </c>
      <c r="N82" t="s">
        <v>23</v>
      </c>
      <c r="O82">
        <f>COUNTIF(M81:M134,"Passed")</f>
        <v>46</v>
      </c>
    </row>
    <row r="83" spans="1:22" ht="15.6" x14ac:dyDescent="0.3">
      <c r="A83" s="12">
        <f t="shared" si="9"/>
        <v>3</v>
      </c>
      <c r="B83" s="4" t="s">
        <v>149</v>
      </c>
      <c r="C83" s="4" t="s">
        <v>97</v>
      </c>
      <c r="D83" s="12" t="s">
        <v>686</v>
      </c>
      <c r="E83" s="12">
        <v>10</v>
      </c>
      <c r="F83" s="12">
        <v>19</v>
      </c>
      <c r="G83" s="452">
        <f t="shared" si="5"/>
        <v>29</v>
      </c>
      <c r="H83" s="12"/>
      <c r="I83" s="12"/>
      <c r="J83" s="12">
        <v>53</v>
      </c>
      <c r="K83" s="452">
        <f t="shared" si="6"/>
        <v>82</v>
      </c>
      <c r="L83" t="str">
        <f t="shared" si="7"/>
        <v>A</v>
      </c>
      <c r="M83" t="str">
        <f t="shared" si="8"/>
        <v>Passed</v>
      </c>
      <c r="N83" t="s">
        <v>24</v>
      </c>
      <c r="O83">
        <f>O82/O80%</f>
        <v>95.833333333333343</v>
      </c>
    </row>
    <row r="84" spans="1:22" ht="15.6" x14ac:dyDescent="0.3">
      <c r="A84" s="12">
        <f t="shared" si="9"/>
        <v>4</v>
      </c>
      <c r="B84" s="4" t="s">
        <v>152</v>
      </c>
      <c r="C84" s="4" t="s">
        <v>100</v>
      </c>
      <c r="D84" s="12" t="s">
        <v>698</v>
      </c>
      <c r="E84" s="12">
        <v>7.5</v>
      </c>
      <c r="F84" s="12">
        <v>24</v>
      </c>
      <c r="G84" s="452">
        <f t="shared" si="5"/>
        <v>31.5</v>
      </c>
      <c r="H84" s="12"/>
      <c r="I84" s="12"/>
      <c r="J84" s="12">
        <v>36</v>
      </c>
      <c r="K84" s="410">
        <f t="shared" si="6"/>
        <v>67.5</v>
      </c>
      <c r="L84" t="str">
        <f t="shared" si="7"/>
        <v>B</v>
      </c>
      <c r="M84" t="str">
        <f t="shared" si="8"/>
        <v>Passed</v>
      </c>
      <c r="N84" t="s">
        <v>25</v>
      </c>
      <c r="O84">
        <f>COUNTIF(M81:M134,"failed")</f>
        <v>2</v>
      </c>
    </row>
    <row r="85" spans="1:22" ht="15.6" x14ac:dyDescent="0.3">
      <c r="A85" s="12">
        <f t="shared" si="9"/>
        <v>5</v>
      </c>
      <c r="B85" s="4" t="s">
        <v>156</v>
      </c>
      <c r="C85" s="4" t="s">
        <v>104</v>
      </c>
      <c r="D85" s="12" t="s">
        <v>706</v>
      </c>
      <c r="E85" s="12">
        <v>10</v>
      </c>
      <c r="F85" s="12">
        <v>24</v>
      </c>
      <c r="G85" s="452">
        <f t="shared" si="5"/>
        <v>34</v>
      </c>
      <c r="H85" s="12"/>
      <c r="I85" s="12"/>
      <c r="J85" s="12">
        <v>30</v>
      </c>
      <c r="K85" s="452">
        <f t="shared" si="6"/>
        <v>64</v>
      </c>
      <c r="L85" t="str">
        <f t="shared" si="7"/>
        <v>B</v>
      </c>
      <c r="M85" t="str">
        <f t="shared" si="8"/>
        <v>Passed</v>
      </c>
      <c r="N85" t="s">
        <v>26</v>
      </c>
      <c r="O85">
        <f>O84/O80%</f>
        <v>4.166666666666667</v>
      </c>
    </row>
    <row r="86" spans="1:22" ht="15.6" x14ac:dyDescent="0.3">
      <c r="A86" s="12">
        <f t="shared" si="9"/>
        <v>6</v>
      </c>
      <c r="B86" s="4" t="s">
        <v>160</v>
      </c>
      <c r="C86" s="4" t="s">
        <v>109</v>
      </c>
      <c r="D86" s="12" t="s">
        <v>694</v>
      </c>
      <c r="E86" s="12">
        <v>10</v>
      </c>
      <c r="F86" s="12">
        <v>22</v>
      </c>
      <c r="G86" s="452">
        <f t="shared" si="5"/>
        <v>32</v>
      </c>
      <c r="H86" s="12"/>
      <c r="I86" s="12"/>
      <c r="J86" s="12">
        <v>51</v>
      </c>
      <c r="K86" s="452">
        <f t="shared" si="6"/>
        <v>83</v>
      </c>
      <c r="L86" t="str">
        <f t="shared" si="7"/>
        <v>A</v>
      </c>
      <c r="M86" t="str">
        <f t="shared" si="8"/>
        <v>Passed</v>
      </c>
      <c r="N86" t="s">
        <v>27</v>
      </c>
      <c r="O86" s="179">
        <f>AVERAGE(K81:K134)</f>
        <v>68.041666666666671</v>
      </c>
    </row>
    <row r="87" spans="1:22" ht="15.6" x14ac:dyDescent="0.3">
      <c r="A87" s="12">
        <f t="shared" si="9"/>
        <v>7</v>
      </c>
      <c r="B87" s="4" t="s">
        <v>207</v>
      </c>
      <c r="C87" s="4" t="s">
        <v>110</v>
      </c>
      <c r="D87" s="12" t="s">
        <v>680</v>
      </c>
      <c r="E87" s="12"/>
      <c r="F87" s="12"/>
      <c r="G87" s="452"/>
      <c r="H87" s="12"/>
      <c r="I87" s="12"/>
      <c r="J87" s="12"/>
      <c r="K87" s="452"/>
    </row>
    <row r="88" spans="1:22" ht="15.6" x14ac:dyDescent="0.3">
      <c r="A88" s="12">
        <f t="shared" si="9"/>
        <v>8</v>
      </c>
      <c r="B88" s="4" t="s">
        <v>163</v>
      </c>
      <c r="C88" s="4" t="s">
        <v>113</v>
      </c>
      <c r="D88" s="12" t="s">
        <v>714</v>
      </c>
      <c r="E88" s="12">
        <v>10</v>
      </c>
      <c r="F88" s="12">
        <v>23</v>
      </c>
      <c r="G88" s="452">
        <f t="shared" si="5"/>
        <v>33</v>
      </c>
      <c r="H88" s="12"/>
      <c r="I88" s="12"/>
      <c r="J88" s="12">
        <v>23</v>
      </c>
      <c r="K88" s="452">
        <f t="shared" si="6"/>
        <v>56</v>
      </c>
      <c r="L88" t="str">
        <f>IF(K88&gt;=80,"A",IF(K88&gt;=70,"B+",IF(K88&gt;=60,"B",IF(K88&gt;=55,"C+",IF(K88&gt;=50,"C",IF(K88&gt;=45,"D+",IF(K88&gt;=40,"D","F")))))))</f>
        <v>C+</v>
      </c>
      <c r="M88" t="str">
        <f>IF(K88&gt;=50,"Passed","Failed")</f>
        <v>Passed</v>
      </c>
    </row>
    <row r="89" spans="1:22" ht="15.6" x14ac:dyDescent="0.3">
      <c r="A89" s="12">
        <f t="shared" si="9"/>
        <v>9</v>
      </c>
      <c r="B89" s="4" t="s">
        <v>480</v>
      </c>
      <c r="C89" s="4" t="s">
        <v>115</v>
      </c>
      <c r="D89" s="12" t="s">
        <v>720</v>
      </c>
      <c r="E89" s="12">
        <v>9</v>
      </c>
      <c r="F89" s="12">
        <v>21</v>
      </c>
      <c r="G89" s="452">
        <f t="shared" si="5"/>
        <v>30</v>
      </c>
      <c r="H89" s="12"/>
      <c r="I89" s="12"/>
      <c r="J89" s="12">
        <v>50</v>
      </c>
      <c r="K89" s="452">
        <f t="shared" si="6"/>
        <v>80</v>
      </c>
      <c r="L89" t="str">
        <f>IF(K89&gt;=80,"A",IF(K89&gt;=70,"B+",IF(K89&gt;=60,"B",IF(K89&gt;=55,"C+",IF(K89&gt;=50,"C",IF(K89&gt;=45,"D+",IF(K89&gt;=40,"D","F")))))))</f>
        <v>A</v>
      </c>
      <c r="M89" t="str">
        <f>IF(K89&gt;=50,"Passed","Failed")</f>
        <v>Passed</v>
      </c>
    </row>
    <row r="90" spans="1:22" ht="15.6" x14ac:dyDescent="0.3">
      <c r="A90" s="12">
        <f t="shared" si="9"/>
        <v>10</v>
      </c>
      <c r="B90" s="4" t="s">
        <v>200</v>
      </c>
      <c r="C90" s="4" t="s">
        <v>119</v>
      </c>
      <c r="D90" s="12" t="s">
        <v>681</v>
      </c>
      <c r="E90" s="12">
        <v>8</v>
      </c>
      <c r="F90" s="12">
        <v>17</v>
      </c>
      <c r="G90" s="452">
        <f t="shared" si="5"/>
        <v>25</v>
      </c>
      <c r="H90" s="12"/>
      <c r="I90" s="12"/>
      <c r="J90" s="12">
        <v>26</v>
      </c>
      <c r="K90" s="452">
        <f t="shared" si="6"/>
        <v>51</v>
      </c>
      <c r="L90" t="str">
        <f t="shared" si="7"/>
        <v>C</v>
      </c>
      <c r="M90" t="str">
        <f t="shared" si="8"/>
        <v>Passed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 t="s">
        <v>33</v>
      </c>
      <c r="U90" t="s">
        <v>34</v>
      </c>
      <c r="V90" t="s">
        <v>35</v>
      </c>
    </row>
    <row r="91" spans="1:22" ht="15.6" x14ac:dyDescent="0.3">
      <c r="A91" s="12">
        <f t="shared" si="9"/>
        <v>11</v>
      </c>
      <c r="B91" s="4" t="s">
        <v>205</v>
      </c>
      <c r="C91" s="4" t="s">
        <v>120</v>
      </c>
      <c r="D91" s="12" t="s">
        <v>680</v>
      </c>
      <c r="E91" s="12"/>
      <c r="F91" s="12"/>
      <c r="G91" s="452"/>
      <c r="H91" s="12"/>
      <c r="I91" s="12"/>
      <c r="J91" s="12"/>
      <c r="K91" s="452"/>
      <c r="O91">
        <f>COUNTIF(L81:L134,"A")</f>
        <v>7</v>
      </c>
      <c r="P91">
        <f>COUNTIF(L81:L134,"B+")</f>
        <v>13</v>
      </c>
      <c r="Q91">
        <f>COUNTIF(L81:L134,"B")</f>
        <v>19</v>
      </c>
      <c r="R91">
        <f>COUNTIF(L81:L134,"C+")</f>
        <v>5</v>
      </c>
      <c r="S91">
        <f>COUNTIF(L81:L134,"C")</f>
        <v>2</v>
      </c>
      <c r="T91">
        <f>COUNTIF(L81:L134,"D+")</f>
        <v>1</v>
      </c>
      <c r="U91">
        <f>COUNTIF(L81:L134,"D")</f>
        <v>1</v>
      </c>
      <c r="V91">
        <f>COUNTIF(L81:L134,"F")</f>
        <v>0</v>
      </c>
    </row>
    <row r="92" spans="1:22" ht="15.6" x14ac:dyDescent="0.3">
      <c r="A92" s="12">
        <f t="shared" si="9"/>
        <v>12</v>
      </c>
      <c r="B92" s="4" t="s">
        <v>168</v>
      </c>
      <c r="C92" s="4" t="s">
        <v>121</v>
      </c>
      <c r="D92" s="12" t="s">
        <v>688</v>
      </c>
      <c r="E92" s="12">
        <v>8</v>
      </c>
      <c r="F92" s="12">
        <v>21</v>
      </c>
      <c r="G92" s="452">
        <f t="shared" si="5"/>
        <v>29</v>
      </c>
      <c r="H92" s="12"/>
      <c r="I92" s="12"/>
      <c r="J92" s="12">
        <v>35</v>
      </c>
      <c r="K92" s="452">
        <f t="shared" si="6"/>
        <v>64</v>
      </c>
      <c r="L92" t="str">
        <f t="shared" si="7"/>
        <v>B</v>
      </c>
      <c r="M92" t="str">
        <f t="shared" si="8"/>
        <v>Passed</v>
      </c>
    </row>
    <row r="93" spans="1:22" ht="15.6" x14ac:dyDescent="0.3">
      <c r="A93" s="12">
        <f t="shared" si="9"/>
        <v>13</v>
      </c>
      <c r="B93" s="4" t="s">
        <v>170</v>
      </c>
      <c r="C93" s="4" t="s">
        <v>124</v>
      </c>
      <c r="D93" s="12" t="s">
        <v>685</v>
      </c>
      <c r="E93" s="12">
        <v>9</v>
      </c>
      <c r="F93" s="12">
        <v>21</v>
      </c>
      <c r="G93" s="452">
        <f t="shared" si="5"/>
        <v>30</v>
      </c>
      <c r="H93" s="12"/>
      <c r="I93" s="12"/>
      <c r="J93" s="12">
        <v>45</v>
      </c>
      <c r="K93" s="452">
        <f t="shared" si="6"/>
        <v>75</v>
      </c>
      <c r="L93" t="str">
        <f t="shared" si="7"/>
        <v>B+</v>
      </c>
      <c r="M93" t="str">
        <f t="shared" si="8"/>
        <v>Passed</v>
      </c>
    </row>
    <row r="94" spans="1:22" ht="15.6" x14ac:dyDescent="0.3">
      <c r="A94" s="12">
        <f t="shared" si="9"/>
        <v>14</v>
      </c>
      <c r="B94" s="4" t="s">
        <v>172</v>
      </c>
      <c r="C94" s="4" t="s">
        <v>126</v>
      </c>
      <c r="D94" s="12" t="s">
        <v>710</v>
      </c>
      <c r="E94" s="12">
        <v>10</v>
      </c>
      <c r="F94" s="12">
        <v>9</v>
      </c>
      <c r="G94" s="452">
        <f t="shared" si="5"/>
        <v>19</v>
      </c>
      <c r="H94" s="12"/>
      <c r="I94" s="12"/>
      <c r="J94" s="12">
        <v>28</v>
      </c>
      <c r="K94" s="452">
        <f t="shared" si="6"/>
        <v>47</v>
      </c>
      <c r="L94" t="str">
        <f t="shared" si="7"/>
        <v>D+</v>
      </c>
      <c r="M94" t="str">
        <f t="shared" si="8"/>
        <v>Failed</v>
      </c>
    </row>
    <row r="95" spans="1:22" ht="15.6" x14ac:dyDescent="0.3">
      <c r="A95" s="12">
        <f t="shared" si="9"/>
        <v>15</v>
      </c>
      <c r="B95" s="4" t="s">
        <v>173</v>
      </c>
      <c r="C95" s="4" t="s">
        <v>127</v>
      </c>
      <c r="D95" s="12" t="s">
        <v>721</v>
      </c>
      <c r="E95" s="12">
        <v>9</v>
      </c>
      <c r="F95" s="12">
        <v>24</v>
      </c>
      <c r="G95" s="452">
        <f t="shared" si="5"/>
        <v>33</v>
      </c>
      <c r="H95" s="12"/>
      <c r="I95" s="12"/>
      <c r="J95" s="12">
        <v>43</v>
      </c>
      <c r="K95" s="452">
        <f t="shared" si="6"/>
        <v>76</v>
      </c>
      <c r="L95" t="str">
        <f t="shared" si="7"/>
        <v>B+</v>
      </c>
      <c r="M95" t="str">
        <f t="shared" si="8"/>
        <v>Passed</v>
      </c>
    </row>
    <row r="96" spans="1:22" ht="15.6" x14ac:dyDescent="0.3">
      <c r="A96" s="12">
        <f t="shared" si="9"/>
        <v>16</v>
      </c>
      <c r="B96" s="4" t="s">
        <v>175</v>
      </c>
      <c r="C96" s="4" t="s">
        <v>131</v>
      </c>
      <c r="D96" s="12" t="s">
        <v>696</v>
      </c>
      <c r="E96" s="12">
        <v>10</v>
      </c>
      <c r="F96" s="12">
        <v>22</v>
      </c>
      <c r="G96" s="452">
        <f t="shared" si="5"/>
        <v>32</v>
      </c>
      <c r="H96" s="12"/>
      <c r="I96" s="12"/>
      <c r="J96" s="12">
        <v>32</v>
      </c>
      <c r="K96" s="452">
        <f t="shared" si="6"/>
        <v>64</v>
      </c>
      <c r="L96" t="str">
        <f t="shared" si="7"/>
        <v>B</v>
      </c>
      <c r="M96" t="str">
        <f t="shared" si="8"/>
        <v>Passed</v>
      </c>
    </row>
    <row r="97" spans="1:13" ht="15.6" x14ac:dyDescent="0.3">
      <c r="A97" s="12">
        <f t="shared" si="9"/>
        <v>17</v>
      </c>
      <c r="B97" s="393" t="s">
        <v>178</v>
      </c>
      <c r="C97" s="4" t="s">
        <v>133</v>
      </c>
      <c r="D97" s="12" t="s">
        <v>687</v>
      </c>
      <c r="E97" s="12">
        <v>10</v>
      </c>
      <c r="F97" s="12">
        <v>24</v>
      </c>
      <c r="G97" s="452">
        <f t="shared" si="5"/>
        <v>34</v>
      </c>
      <c r="H97" s="12"/>
      <c r="I97" s="12"/>
      <c r="J97" s="12">
        <v>38</v>
      </c>
      <c r="K97" s="452">
        <f t="shared" si="6"/>
        <v>72</v>
      </c>
      <c r="L97" t="str">
        <f t="shared" si="7"/>
        <v>B+</v>
      </c>
      <c r="M97" t="str">
        <f t="shared" si="8"/>
        <v>Passed</v>
      </c>
    </row>
    <row r="98" spans="1:13" ht="15.6" x14ac:dyDescent="0.3">
      <c r="A98" s="12">
        <f t="shared" si="9"/>
        <v>18</v>
      </c>
      <c r="B98" s="4" t="s">
        <v>534</v>
      </c>
      <c r="C98" s="307" t="s">
        <v>363</v>
      </c>
      <c r="D98" s="12" t="s">
        <v>726</v>
      </c>
      <c r="E98" s="12">
        <v>7.5</v>
      </c>
      <c r="F98" s="12">
        <v>24</v>
      </c>
      <c r="G98" s="452">
        <f t="shared" si="5"/>
        <v>31.5</v>
      </c>
      <c r="H98" s="12"/>
      <c r="I98" s="12"/>
      <c r="J98" s="12">
        <v>29</v>
      </c>
      <c r="K98" s="410">
        <f t="shared" si="6"/>
        <v>60.5</v>
      </c>
      <c r="L98" t="str">
        <f t="shared" si="7"/>
        <v>B</v>
      </c>
      <c r="M98" t="str">
        <f t="shared" si="8"/>
        <v>Passed</v>
      </c>
    </row>
    <row r="99" spans="1:13" ht="15.6" x14ac:dyDescent="0.3">
      <c r="A99" s="12">
        <f t="shared" si="9"/>
        <v>19</v>
      </c>
      <c r="B99" s="394" t="s">
        <v>144</v>
      </c>
      <c r="C99" s="395" t="s">
        <v>137</v>
      </c>
      <c r="D99" s="12" t="s">
        <v>727</v>
      </c>
      <c r="E99" s="12">
        <v>7.5</v>
      </c>
      <c r="F99" s="12">
        <v>22</v>
      </c>
      <c r="G99" s="452">
        <f t="shared" si="5"/>
        <v>29.5</v>
      </c>
      <c r="H99" s="12"/>
      <c r="I99" s="12"/>
      <c r="J99" s="12">
        <v>34</v>
      </c>
      <c r="K99" s="410">
        <f t="shared" si="6"/>
        <v>63.5</v>
      </c>
      <c r="L99" t="str">
        <f t="shared" si="7"/>
        <v>B</v>
      </c>
      <c r="M99" t="str">
        <f t="shared" si="8"/>
        <v>Passed</v>
      </c>
    </row>
    <row r="100" spans="1:13" ht="15.6" x14ac:dyDescent="0.3">
      <c r="A100" s="12">
        <f t="shared" si="9"/>
        <v>20</v>
      </c>
      <c r="B100" s="396" t="s">
        <v>204</v>
      </c>
      <c r="C100" s="396" t="s">
        <v>138</v>
      </c>
      <c r="D100" s="12" t="s">
        <v>684</v>
      </c>
      <c r="E100" s="12">
        <v>10</v>
      </c>
      <c r="F100" s="12">
        <v>20</v>
      </c>
      <c r="G100" s="452">
        <f t="shared" si="5"/>
        <v>30</v>
      </c>
      <c r="H100" s="12"/>
      <c r="I100" s="12"/>
      <c r="J100" s="12">
        <v>33</v>
      </c>
      <c r="K100" s="452">
        <f t="shared" si="6"/>
        <v>63</v>
      </c>
      <c r="L100" t="str">
        <f t="shared" si="7"/>
        <v>B</v>
      </c>
      <c r="M100" t="str">
        <f t="shared" si="8"/>
        <v>Passed</v>
      </c>
    </row>
    <row r="101" spans="1:13" ht="15.6" x14ac:dyDescent="0.3">
      <c r="A101" s="12">
        <f t="shared" si="9"/>
        <v>21</v>
      </c>
      <c r="B101" s="397" t="s">
        <v>181</v>
      </c>
      <c r="C101" s="4" t="s">
        <v>139</v>
      </c>
      <c r="D101" s="12" t="s">
        <v>682</v>
      </c>
      <c r="E101" s="12">
        <v>10</v>
      </c>
      <c r="F101" s="12">
        <v>21</v>
      </c>
      <c r="G101" s="452">
        <f t="shared" si="5"/>
        <v>31</v>
      </c>
      <c r="H101" s="12"/>
      <c r="I101" s="12"/>
      <c r="J101" s="12">
        <v>35</v>
      </c>
      <c r="K101" s="452">
        <f t="shared" si="6"/>
        <v>66</v>
      </c>
      <c r="L101" t="str">
        <f t="shared" si="7"/>
        <v>B</v>
      </c>
      <c r="M101" t="str">
        <f t="shared" si="8"/>
        <v>Passed</v>
      </c>
    </row>
    <row r="102" spans="1:13" ht="15.6" x14ac:dyDescent="0.3">
      <c r="A102" s="12">
        <f t="shared" si="9"/>
        <v>22</v>
      </c>
      <c r="B102" s="398" t="s">
        <v>201</v>
      </c>
      <c r="C102" s="4" t="s">
        <v>141</v>
      </c>
      <c r="D102" s="12" t="s">
        <v>708</v>
      </c>
      <c r="E102" s="12">
        <v>8</v>
      </c>
      <c r="F102" s="12">
        <v>23</v>
      </c>
      <c r="G102" s="452">
        <f t="shared" si="5"/>
        <v>31</v>
      </c>
      <c r="H102" s="12"/>
      <c r="I102" s="12"/>
      <c r="J102" s="12">
        <v>43</v>
      </c>
      <c r="K102" s="452">
        <f t="shared" si="6"/>
        <v>74</v>
      </c>
      <c r="L102" t="str">
        <f t="shared" si="7"/>
        <v>B+</v>
      </c>
      <c r="M102" t="str">
        <f t="shared" si="8"/>
        <v>Passed</v>
      </c>
    </row>
    <row r="103" spans="1:13" ht="15.6" x14ac:dyDescent="0.3">
      <c r="A103" s="12">
        <f t="shared" si="9"/>
        <v>23</v>
      </c>
      <c r="B103" s="4" t="s">
        <v>176</v>
      </c>
      <c r="C103" s="4" t="s">
        <v>481</v>
      </c>
      <c r="D103" s="12" t="s">
        <v>700</v>
      </c>
      <c r="E103" s="12">
        <v>10</v>
      </c>
      <c r="F103" s="12">
        <v>20</v>
      </c>
      <c r="G103" s="452">
        <f t="shared" si="5"/>
        <v>30</v>
      </c>
      <c r="H103" s="12"/>
      <c r="I103" s="12"/>
      <c r="J103" s="12">
        <v>29</v>
      </c>
      <c r="K103" s="452">
        <f t="shared" si="6"/>
        <v>59</v>
      </c>
      <c r="L103" t="str">
        <f t="shared" si="7"/>
        <v>C+</v>
      </c>
      <c r="M103" t="str">
        <f t="shared" si="8"/>
        <v>Passed</v>
      </c>
    </row>
    <row r="104" spans="1:13" x14ac:dyDescent="0.3">
      <c r="A104" s="12">
        <f t="shared" si="9"/>
        <v>24</v>
      </c>
      <c r="B104" s="12" t="s">
        <v>148</v>
      </c>
      <c r="C104" s="12" t="s">
        <v>96</v>
      </c>
      <c r="D104" s="12" t="s">
        <v>689</v>
      </c>
      <c r="E104" s="12">
        <v>10</v>
      </c>
      <c r="F104" s="12">
        <v>16</v>
      </c>
      <c r="G104" s="452">
        <f t="shared" si="5"/>
        <v>26</v>
      </c>
      <c r="H104" s="12"/>
      <c r="I104" s="12"/>
      <c r="J104" s="12">
        <v>18</v>
      </c>
      <c r="K104" s="452">
        <f t="shared" si="6"/>
        <v>44</v>
      </c>
      <c r="L104" t="str">
        <f t="shared" si="7"/>
        <v>D</v>
      </c>
      <c r="M104" t="str">
        <f t="shared" si="8"/>
        <v>Failed</v>
      </c>
    </row>
    <row r="105" spans="1:13" x14ac:dyDescent="0.3">
      <c r="A105" s="12">
        <f t="shared" si="9"/>
        <v>25</v>
      </c>
      <c r="B105" s="12" t="s">
        <v>153</v>
      </c>
      <c r="C105" s="12" t="s">
        <v>101</v>
      </c>
      <c r="D105" s="12" t="s">
        <v>724</v>
      </c>
      <c r="E105" s="12">
        <v>7.5</v>
      </c>
      <c r="F105" s="12">
        <v>24</v>
      </c>
      <c r="G105" s="452">
        <f t="shared" si="5"/>
        <v>31.5</v>
      </c>
      <c r="H105" s="12"/>
      <c r="I105" s="12"/>
      <c r="J105" s="12">
        <v>37</v>
      </c>
      <c r="K105" s="410">
        <f t="shared" si="6"/>
        <v>68.5</v>
      </c>
      <c r="L105" t="str">
        <f t="shared" si="7"/>
        <v>B</v>
      </c>
      <c r="M105" t="str">
        <f t="shared" si="8"/>
        <v>Passed</v>
      </c>
    </row>
    <row r="106" spans="1:13" x14ac:dyDescent="0.3">
      <c r="A106" s="12">
        <f t="shared" si="9"/>
        <v>26</v>
      </c>
      <c r="B106" s="12" t="s">
        <v>154</v>
      </c>
      <c r="C106" s="12" t="s">
        <v>102</v>
      </c>
      <c r="D106" s="12" t="s">
        <v>690</v>
      </c>
      <c r="E106" s="12">
        <v>7.5</v>
      </c>
      <c r="F106" s="12">
        <v>20</v>
      </c>
      <c r="G106" s="452">
        <f t="shared" si="5"/>
        <v>27.5</v>
      </c>
      <c r="H106" s="12"/>
      <c r="I106" s="12"/>
      <c r="J106" s="12">
        <v>36</v>
      </c>
      <c r="K106" s="410">
        <f t="shared" si="6"/>
        <v>63.5</v>
      </c>
      <c r="L106" t="str">
        <f t="shared" si="7"/>
        <v>B</v>
      </c>
      <c r="M106" t="str">
        <f t="shared" si="8"/>
        <v>Passed</v>
      </c>
    </row>
    <row r="107" spans="1:13" x14ac:dyDescent="0.3">
      <c r="A107" s="12">
        <f t="shared" si="9"/>
        <v>27</v>
      </c>
      <c r="B107" s="12" t="s">
        <v>162</v>
      </c>
      <c r="C107" s="12" t="s">
        <v>112</v>
      </c>
      <c r="D107" s="12" t="s">
        <v>705</v>
      </c>
      <c r="E107" s="12">
        <v>8</v>
      </c>
      <c r="F107" s="12">
        <v>23</v>
      </c>
      <c r="G107" s="452">
        <f t="shared" si="5"/>
        <v>31</v>
      </c>
      <c r="H107" s="12"/>
      <c r="I107" s="12"/>
      <c r="J107" s="12">
        <v>39</v>
      </c>
      <c r="K107" s="452">
        <f t="shared" si="6"/>
        <v>70</v>
      </c>
      <c r="L107" t="str">
        <f t="shared" si="7"/>
        <v>B+</v>
      </c>
      <c r="M107" t="str">
        <f t="shared" si="8"/>
        <v>Passed</v>
      </c>
    </row>
    <row r="108" spans="1:13" x14ac:dyDescent="0.3">
      <c r="A108" s="12">
        <f t="shared" si="9"/>
        <v>28</v>
      </c>
      <c r="B108" s="12" t="s">
        <v>164</v>
      </c>
      <c r="C108" s="12" t="s">
        <v>114</v>
      </c>
      <c r="D108" s="12" t="s">
        <v>716</v>
      </c>
      <c r="E108" s="12">
        <v>10</v>
      </c>
      <c r="F108" s="12">
        <v>19</v>
      </c>
      <c r="G108" s="452">
        <f t="shared" si="5"/>
        <v>29</v>
      </c>
      <c r="H108" s="12"/>
      <c r="I108" s="12"/>
      <c r="J108" s="12">
        <v>31</v>
      </c>
      <c r="K108" s="452">
        <f t="shared" si="6"/>
        <v>60</v>
      </c>
      <c r="L108" t="str">
        <f t="shared" si="7"/>
        <v>B</v>
      </c>
      <c r="M108" t="str">
        <f t="shared" si="8"/>
        <v>Passed</v>
      </c>
    </row>
    <row r="109" spans="1:13" x14ac:dyDescent="0.3">
      <c r="A109" s="12">
        <f t="shared" si="9"/>
        <v>29</v>
      </c>
      <c r="B109" s="60" t="s">
        <v>165</v>
      </c>
      <c r="C109" s="12" t="s">
        <v>116</v>
      </c>
      <c r="D109" s="12" t="s">
        <v>695</v>
      </c>
      <c r="E109" s="12">
        <v>10</v>
      </c>
      <c r="F109" s="12">
        <v>26</v>
      </c>
      <c r="G109" s="452">
        <f t="shared" si="5"/>
        <v>36</v>
      </c>
      <c r="H109" s="12"/>
      <c r="I109" s="12"/>
      <c r="J109" s="12">
        <v>46</v>
      </c>
      <c r="K109" s="452">
        <f t="shared" si="6"/>
        <v>82</v>
      </c>
      <c r="L109" t="str">
        <f t="shared" si="7"/>
        <v>A</v>
      </c>
      <c r="M109" t="str">
        <f t="shared" si="8"/>
        <v>Passed</v>
      </c>
    </row>
    <row r="110" spans="1:13" x14ac:dyDescent="0.3">
      <c r="A110" s="12">
        <f t="shared" si="9"/>
        <v>30</v>
      </c>
      <c r="B110" s="12" t="s">
        <v>206</v>
      </c>
      <c r="C110" s="12" t="s">
        <v>123</v>
      </c>
      <c r="D110" s="12" t="s">
        <v>715</v>
      </c>
      <c r="E110" s="12">
        <v>10</v>
      </c>
      <c r="F110" s="12">
        <v>21</v>
      </c>
      <c r="G110" s="452">
        <f t="shared" si="5"/>
        <v>31</v>
      </c>
      <c r="H110" s="12"/>
      <c r="I110" s="12"/>
      <c r="J110" s="12">
        <v>36</v>
      </c>
      <c r="K110" s="452">
        <f t="shared" si="6"/>
        <v>67</v>
      </c>
      <c r="L110" t="str">
        <f t="shared" si="7"/>
        <v>B</v>
      </c>
      <c r="M110" t="str">
        <f t="shared" si="8"/>
        <v>Passed</v>
      </c>
    </row>
    <row r="111" spans="1:13" x14ac:dyDescent="0.3">
      <c r="A111" s="452">
        <f t="shared" si="9"/>
        <v>31</v>
      </c>
      <c r="B111" s="452" t="s">
        <v>202</v>
      </c>
      <c r="C111" s="452" t="s">
        <v>135</v>
      </c>
      <c r="D111" s="452" t="s">
        <v>680</v>
      </c>
      <c r="E111" s="452">
        <v>8</v>
      </c>
      <c r="F111" s="452">
        <v>23</v>
      </c>
      <c r="G111" s="452">
        <f t="shared" si="5"/>
        <v>31</v>
      </c>
      <c r="H111" s="452"/>
      <c r="I111" s="452"/>
      <c r="J111" s="452" t="s">
        <v>1938</v>
      </c>
      <c r="K111" s="452"/>
    </row>
    <row r="112" spans="1:13" x14ac:dyDescent="0.3">
      <c r="A112" s="12">
        <f t="shared" si="9"/>
        <v>32</v>
      </c>
      <c r="B112" s="12" t="s">
        <v>1249</v>
      </c>
      <c r="C112" s="12" t="s">
        <v>422</v>
      </c>
      <c r="D112" s="12" t="s">
        <v>725</v>
      </c>
      <c r="E112" s="12">
        <v>2</v>
      </c>
      <c r="F112" s="12">
        <v>10</v>
      </c>
      <c r="G112" s="452">
        <f t="shared" si="5"/>
        <v>12</v>
      </c>
      <c r="H112" s="12"/>
      <c r="I112" s="12"/>
      <c r="J112" s="12">
        <v>39</v>
      </c>
      <c r="K112" s="452">
        <f t="shared" si="6"/>
        <v>51</v>
      </c>
      <c r="L112" t="str">
        <f t="shared" si="7"/>
        <v>C</v>
      </c>
      <c r="M112" t="str">
        <f t="shared" si="8"/>
        <v>Passed</v>
      </c>
    </row>
    <row r="113" spans="1:13" ht="15.6" x14ac:dyDescent="0.3">
      <c r="A113" s="12">
        <f t="shared" si="9"/>
        <v>33</v>
      </c>
      <c r="B113" s="4" t="s">
        <v>150</v>
      </c>
      <c r="C113" s="4" t="s">
        <v>98</v>
      </c>
      <c r="D113" s="12" t="s">
        <v>683</v>
      </c>
      <c r="E113" s="12">
        <v>9</v>
      </c>
      <c r="F113" s="12">
        <v>20</v>
      </c>
      <c r="G113" s="452">
        <f t="shared" si="5"/>
        <v>29</v>
      </c>
      <c r="H113" s="12"/>
      <c r="I113" s="12"/>
      <c r="J113" s="12">
        <v>34</v>
      </c>
      <c r="K113" s="452">
        <f t="shared" si="6"/>
        <v>63</v>
      </c>
      <c r="L113" t="str">
        <f t="shared" si="7"/>
        <v>B</v>
      </c>
      <c r="M113" t="str">
        <f t="shared" si="8"/>
        <v>Passed</v>
      </c>
    </row>
    <row r="114" spans="1:13" ht="15.6" x14ac:dyDescent="0.3">
      <c r="A114" s="12">
        <f t="shared" si="9"/>
        <v>34</v>
      </c>
      <c r="B114" s="4" t="s">
        <v>151</v>
      </c>
      <c r="C114" s="4" t="s">
        <v>99</v>
      </c>
      <c r="D114" s="12" t="s">
        <v>701</v>
      </c>
      <c r="E114" s="12">
        <v>7.5</v>
      </c>
      <c r="F114" s="12">
        <v>23</v>
      </c>
      <c r="G114" s="452">
        <f t="shared" si="5"/>
        <v>30.5</v>
      </c>
      <c r="H114" s="12"/>
      <c r="I114" s="12"/>
      <c r="J114" s="12">
        <v>45</v>
      </c>
      <c r="K114" s="410">
        <f t="shared" si="6"/>
        <v>75.5</v>
      </c>
      <c r="L114" t="str">
        <f t="shared" si="7"/>
        <v>B+</v>
      </c>
      <c r="M114" t="str">
        <f t="shared" si="8"/>
        <v>Passed</v>
      </c>
    </row>
    <row r="115" spans="1:13" ht="15.6" x14ac:dyDescent="0.3">
      <c r="A115" s="12">
        <f t="shared" si="9"/>
        <v>35</v>
      </c>
      <c r="B115" s="4" t="s">
        <v>157</v>
      </c>
      <c r="C115" s="4" t="s">
        <v>106</v>
      </c>
      <c r="D115" s="12" t="s">
        <v>697</v>
      </c>
      <c r="E115" s="12">
        <v>10</v>
      </c>
      <c r="F115" s="12">
        <v>23</v>
      </c>
      <c r="G115" s="452">
        <f t="shared" si="5"/>
        <v>33</v>
      </c>
      <c r="H115" s="12"/>
      <c r="I115" s="12"/>
      <c r="J115" s="12">
        <v>33</v>
      </c>
      <c r="K115" s="452">
        <f t="shared" si="6"/>
        <v>66</v>
      </c>
      <c r="L115" t="str">
        <f t="shared" si="7"/>
        <v>B</v>
      </c>
      <c r="M115" t="str">
        <f t="shared" si="8"/>
        <v>Passed</v>
      </c>
    </row>
    <row r="116" spans="1:13" ht="15.6" x14ac:dyDescent="0.3">
      <c r="A116" s="12">
        <f t="shared" si="9"/>
        <v>36</v>
      </c>
      <c r="B116" s="4" t="s">
        <v>158</v>
      </c>
      <c r="C116" s="4" t="s">
        <v>107</v>
      </c>
      <c r="D116" s="12" t="s">
        <v>703</v>
      </c>
      <c r="E116" s="12">
        <v>10</v>
      </c>
      <c r="F116" s="12">
        <v>24</v>
      </c>
      <c r="G116" s="452">
        <f t="shared" si="5"/>
        <v>34</v>
      </c>
      <c r="H116" s="12"/>
      <c r="I116" s="12"/>
      <c r="J116" s="12">
        <v>50</v>
      </c>
      <c r="K116" s="452">
        <f t="shared" si="6"/>
        <v>84</v>
      </c>
      <c r="L116" t="str">
        <f t="shared" si="7"/>
        <v>A</v>
      </c>
      <c r="M116" t="str">
        <f t="shared" si="8"/>
        <v>Passed</v>
      </c>
    </row>
    <row r="117" spans="1:13" ht="15.6" x14ac:dyDescent="0.3">
      <c r="A117" s="12">
        <f t="shared" si="9"/>
        <v>37</v>
      </c>
      <c r="B117" s="4" t="s">
        <v>159</v>
      </c>
      <c r="C117" s="4" t="s">
        <v>108</v>
      </c>
      <c r="D117" s="12" t="s">
        <v>702</v>
      </c>
      <c r="E117" s="12">
        <v>10</v>
      </c>
      <c r="F117" s="12">
        <v>23</v>
      </c>
      <c r="G117" s="452">
        <f t="shared" si="5"/>
        <v>33</v>
      </c>
      <c r="H117" s="12"/>
      <c r="I117" s="12"/>
      <c r="J117" s="12">
        <v>36</v>
      </c>
      <c r="K117" s="452">
        <f t="shared" si="6"/>
        <v>69</v>
      </c>
      <c r="L117" t="str">
        <f t="shared" si="7"/>
        <v>B</v>
      </c>
      <c r="M117" t="str">
        <f t="shared" si="8"/>
        <v>Passed</v>
      </c>
    </row>
    <row r="118" spans="1:13" ht="15.6" x14ac:dyDescent="0.3">
      <c r="A118" s="12">
        <f t="shared" si="9"/>
        <v>38</v>
      </c>
      <c r="B118" s="4" t="s">
        <v>167</v>
      </c>
      <c r="C118" s="4" t="s">
        <v>118</v>
      </c>
      <c r="D118" s="12" t="s">
        <v>728</v>
      </c>
      <c r="E118" s="12">
        <v>8</v>
      </c>
      <c r="F118" s="12">
        <v>25</v>
      </c>
      <c r="G118" s="452">
        <f t="shared" si="5"/>
        <v>33</v>
      </c>
      <c r="H118" s="12"/>
      <c r="I118" s="12"/>
      <c r="J118" s="12">
        <v>45</v>
      </c>
      <c r="K118" s="452">
        <f t="shared" si="6"/>
        <v>78</v>
      </c>
      <c r="L118" t="str">
        <f t="shared" si="7"/>
        <v>B+</v>
      </c>
      <c r="M118" t="str">
        <f t="shared" si="8"/>
        <v>Passed</v>
      </c>
    </row>
    <row r="119" spans="1:13" ht="15.6" x14ac:dyDescent="0.3">
      <c r="A119" s="12">
        <f t="shared" si="9"/>
        <v>39</v>
      </c>
      <c r="B119" s="4" t="s">
        <v>171</v>
      </c>
      <c r="C119" s="4" t="s">
        <v>125</v>
      </c>
      <c r="D119" s="12" t="s">
        <v>692</v>
      </c>
      <c r="E119" s="12">
        <v>8</v>
      </c>
      <c r="F119" s="12">
        <v>22</v>
      </c>
      <c r="G119" s="452">
        <f t="shared" si="5"/>
        <v>30</v>
      </c>
      <c r="H119" s="12"/>
      <c r="I119" s="12"/>
      <c r="J119" s="12">
        <v>26</v>
      </c>
      <c r="K119" s="452">
        <f t="shared" si="6"/>
        <v>56</v>
      </c>
      <c r="L119" t="str">
        <f t="shared" si="7"/>
        <v>C+</v>
      </c>
      <c r="M119" t="str">
        <f t="shared" si="8"/>
        <v>Passed</v>
      </c>
    </row>
    <row r="120" spans="1:13" ht="15.6" x14ac:dyDescent="0.3">
      <c r="A120" s="12">
        <f t="shared" si="9"/>
        <v>40</v>
      </c>
      <c r="B120" s="4" t="s">
        <v>174</v>
      </c>
      <c r="C120" s="4" t="s">
        <v>128</v>
      </c>
      <c r="D120" s="12" t="s">
        <v>717</v>
      </c>
      <c r="E120" s="12">
        <v>10</v>
      </c>
      <c r="F120" s="12">
        <v>21</v>
      </c>
      <c r="G120" s="452">
        <f t="shared" si="5"/>
        <v>31</v>
      </c>
      <c r="H120" s="12"/>
      <c r="I120" s="12"/>
      <c r="J120" s="12">
        <v>33</v>
      </c>
      <c r="K120" s="452">
        <f t="shared" si="6"/>
        <v>64</v>
      </c>
      <c r="L120" t="str">
        <f t="shared" si="7"/>
        <v>B</v>
      </c>
      <c r="M120" t="str">
        <f t="shared" si="8"/>
        <v>Passed</v>
      </c>
    </row>
    <row r="121" spans="1:13" ht="15.6" x14ac:dyDescent="0.3">
      <c r="A121" s="12">
        <f t="shared" si="9"/>
        <v>41</v>
      </c>
      <c r="B121" s="4" t="s">
        <v>220</v>
      </c>
      <c r="C121" s="4" t="s">
        <v>130</v>
      </c>
      <c r="D121" s="12" t="s">
        <v>718</v>
      </c>
      <c r="E121" s="12">
        <v>8</v>
      </c>
      <c r="F121" s="12">
        <v>23</v>
      </c>
      <c r="G121" s="452">
        <f t="shared" si="5"/>
        <v>31</v>
      </c>
      <c r="H121" s="12"/>
      <c r="I121" s="12"/>
      <c r="J121" s="12">
        <v>41</v>
      </c>
      <c r="K121" s="452">
        <f t="shared" si="6"/>
        <v>72</v>
      </c>
      <c r="L121" t="str">
        <f t="shared" si="7"/>
        <v>B+</v>
      </c>
      <c r="M121" t="str">
        <f t="shared" si="8"/>
        <v>Passed</v>
      </c>
    </row>
    <row r="122" spans="1:13" ht="15.6" x14ac:dyDescent="0.3">
      <c r="A122" s="12">
        <f t="shared" si="9"/>
        <v>42</v>
      </c>
      <c r="B122" s="4" t="s">
        <v>659</v>
      </c>
      <c r="C122" s="4" t="s">
        <v>117</v>
      </c>
      <c r="D122" s="12" t="s">
        <v>713</v>
      </c>
      <c r="E122" s="12">
        <v>10</v>
      </c>
      <c r="F122" s="12">
        <v>25</v>
      </c>
      <c r="G122" s="452">
        <f t="shared" si="5"/>
        <v>35</v>
      </c>
      <c r="H122" s="12"/>
      <c r="I122" s="12"/>
      <c r="J122" s="12">
        <v>53</v>
      </c>
      <c r="K122" s="452">
        <f t="shared" si="6"/>
        <v>88</v>
      </c>
      <c r="L122" t="str">
        <f t="shared" si="7"/>
        <v>A</v>
      </c>
      <c r="M122" t="str">
        <f t="shared" si="8"/>
        <v>Passed</v>
      </c>
    </row>
    <row r="123" spans="1:13" ht="15.6" x14ac:dyDescent="0.3">
      <c r="A123" s="12">
        <f t="shared" si="9"/>
        <v>43</v>
      </c>
      <c r="B123" s="4" t="s">
        <v>146</v>
      </c>
      <c r="C123" s="4" t="s">
        <v>94</v>
      </c>
      <c r="D123" s="12" t="s">
        <v>711</v>
      </c>
      <c r="E123" s="12">
        <v>10</v>
      </c>
      <c r="F123" s="12">
        <v>22</v>
      </c>
      <c r="G123" s="452">
        <f t="shared" si="5"/>
        <v>32</v>
      </c>
      <c r="H123" s="12"/>
      <c r="I123" s="12"/>
      <c r="J123" s="12">
        <v>46</v>
      </c>
      <c r="K123" s="452">
        <f t="shared" si="6"/>
        <v>78</v>
      </c>
      <c r="L123" t="str">
        <f t="shared" si="7"/>
        <v>B+</v>
      </c>
      <c r="M123" t="str">
        <f t="shared" si="8"/>
        <v>Passed</v>
      </c>
    </row>
    <row r="124" spans="1:13" ht="15.6" x14ac:dyDescent="0.3">
      <c r="A124" s="12">
        <f t="shared" si="9"/>
        <v>44</v>
      </c>
      <c r="B124" s="393" t="s">
        <v>147</v>
      </c>
      <c r="C124" s="4" t="s">
        <v>95</v>
      </c>
      <c r="D124" s="12" t="s">
        <v>707</v>
      </c>
      <c r="E124" s="12">
        <v>10</v>
      </c>
      <c r="F124" s="12">
        <v>23</v>
      </c>
      <c r="G124" s="452">
        <f t="shared" si="5"/>
        <v>33</v>
      </c>
      <c r="H124" s="12"/>
      <c r="I124" s="12"/>
      <c r="J124" s="12">
        <v>44</v>
      </c>
      <c r="K124" s="452">
        <f t="shared" si="6"/>
        <v>77</v>
      </c>
      <c r="L124" t="str">
        <f t="shared" si="7"/>
        <v>B+</v>
      </c>
      <c r="M124" t="str">
        <f t="shared" si="8"/>
        <v>Passed</v>
      </c>
    </row>
    <row r="125" spans="1:13" ht="15.6" x14ac:dyDescent="0.3">
      <c r="A125" s="12">
        <f t="shared" si="9"/>
        <v>45</v>
      </c>
      <c r="B125" s="4" t="s">
        <v>155</v>
      </c>
      <c r="C125" s="4" t="s">
        <v>103</v>
      </c>
      <c r="D125" s="12" t="s">
        <v>704</v>
      </c>
      <c r="E125" s="12">
        <v>8</v>
      </c>
      <c r="F125" s="12">
        <v>22</v>
      </c>
      <c r="G125" s="452">
        <f t="shared" si="5"/>
        <v>30</v>
      </c>
      <c r="H125" s="12"/>
      <c r="I125" s="12"/>
      <c r="J125" s="12">
        <v>46</v>
      </c>
      <c r="K125" s="452">
        <f t="shared" si="6"/>
        <v>76</v>
      </c>
      <c r="L125" t="str">
        <f t="shared" si="7"/>
        <v>B+</v>
      </c>
      <c r="M125" t="str">
        <f t="shared" si="8"/>
        <v>Passed</v>
      </c>
    </row>
    <row r="126" spans="1:13" ht="15.6" x14ac:dyDescent="0.3">
      <c r="A126" s="452">
        <f t="shared" si="9"/>
        <v>46</v>
      </c>
      <c r="B126" s="427" t="s">
        <v>182</v>
      </c>
      <c r="C126" s="427" t="s">
        <v>105</v>
      </c>
      <c r="D126" s="452" t="s">
        <v>680</v>
      </c>
      <c r="E126" s="452">
        <v>5</v>
      </c>
      <c r="F126" s="452">
        <v>12</v>
      </c>
      <c r="G126" s="452">
        <f t="shared" si="5"/>
        <v>17</v>
      </c>
      <c r="H126" s="452"/>
      <c r="I126" s="452"/>
      <c r="J126" s="452" t="s">
        <v>1938</v>
      </c>
      <c r="K126" s="452"/>
      <c r="L126" s="14"/>
      <c r="M126" s="14"/>
    </row>
    <row r="127" spans="1:13" ht="15.6" x14ac:dyDescent="0.3">
      <c r="A127" s="12">
        <f t="shared" si="9"/>
        <v>47</v>
      </c>
      <c r="B127" s="4" t="s">
        <v>161</v>
      </c>
      <c r="C127" s="4" t="s">
        <v>111</v>
      </c>
      <c r="D127" s="12" t="s">
        <v>680</v>
      </c>
      <c r="E127" s="12"/>
      <c r="F127" s="12"/>
      <c r="G127" s="452"/>
      <c r="H127" s="12"/>
      <c r="I127" s="12"/>
      <c r="J127" s="12"/>
      <c r="K127" s="452"/>
    </row>
    <row r="128" spans="1:13" ht="15.6" x14ac:dyDescent="0.3">
      <c r="A128" s="12">
        <f t="shared" si="9"/>
        <v>48</v>
      </c>
      <c r="B128" s="4" t="s">
        <v>169</v>
      </c>
      <c r="C128" s="4" t="s">
        <v>122</v>
      </c>
      <c r="D128" s="12" t="s">
        <v>680</v>
      </c>
      <c r="E128" s="12"/>
      <c r="F128" s="12"/>
      <c r="G128" s="452"/>
      <c r="H128" s="12"/>
      <c r="I128" s="12"/>
      <c r="J128" s="12"/>
      <c r="K128" s="452"/>
    </row>
    <row r="129" spans="1:15" ht="15.6" x14ac:dyDescent="0.3">
      <c r="A129" s="12">
        <f t="shared" si="9"/>
        <v>49</v>
      </c>
      <c r="B129" s="4" t="s">
        <v>648</v>
      </c>
      <c r="C129" s="4" t="s">
        <v>129</v>
      </c>
      <c r="D129" s="12" t="s">
        <v>712</v>
      </c>
      <c r="E129" s="12">
        <v>10</v>
      </c>
      <c r="F129" s="12">
        <v>24</v>
      </c>
      <c r="G129" s="452">
        <f t="shared" si="5"/>
        <v>34</v>
      </c>
      <c r="H129" s="12"/>
      <c r="I129" s="12"/>
      <c r="J129" s="12">
        <v>50</v>
      </c>
      <c r="K129" s="452">
        <f t="shared" si="6"/>
        <v>84</v>
      </c>
      <c r="L129" t="str">
        <f t="shared" si="7"/>
        <v>A</v>
      </c>
      <c r="M129" t="str">
        <f t="shared" si="8"/>
        <v>Passed</v>
      </c>
    </row>
    <row r="130" spans="1:15" ht="15.6" x14ac:dyDescent="0.3">
      <c r="A130" s="12">
        <f t="shared" si="9"/>
        <v>50</v>
      </c>
      <c r="B130" s="4" t="s">
        <v>177</v>
      </c>
      <c r="C130" s="4" t="s">
        <v>132</v>
      </c>
      <c r="D130" s="12" t="s">
        <v>691</v>
      </c>
      <c r="E130" s="12">
        <v>10</v>
      </c>
      <c r="F130" s="12">
        <v>24</v>
      </c>
      <c r="G130" s="452">
        <f t="shared" si="5"/>
        <v>34</v>
      </c>
      <c r="H130" s="12"/>
      <c r="I130" s="12"/>
      <c r="J130" s="12">
        <v>33</v>
      </c>
      <c r="K130" s="452">
        <f t="shared" si="6"/>
        <v>67</v>
      </c>
      <c r="L130" t="str">
        <f t="shared" si="7"/>
        <v>B</v>
      </c>
      <c r="M130" t="str">
        <f t="shared" si="8"/>
        <v>Passed</v>
      </c>
    </row>
    <row r="131" spans="1:15" ht="15.6" x14ac:dyDescent="0.3">
      <c r="A131" s="12">
        <f t="shared" si="9"/>
        <v>51</v>
      </c>
      <c r="B131" s="4" t="s">
        <v>179</v>
      </c>
      <c r="C131" s="4" t="s">
        <v>665</v>
      </c>
      <c r="D131" s="12" t="s">
        <v>719</v>
      </c>
      <c r="E131" s="12">
        <v>10</v>
      </c>
      <c r="F131" s="12">
        <v>25</v>
      </c>
      <c r="G131" s="452">
        <f t="shared" si="5"/>
        <v>35</v>
      </c>
      <c r="H131" s="12"/>
      <c r="I131" s="12"/>
      <c r="J131" s="12">
        <v>34</v>
      </c>
      <c r="K131" s="452">
        <f t="shared" si="6"/>
        <v>69</v>
      </c>
      <c r="L131" t="str">
        <f t="shared" si="7"/>
        <v>B</v>
      </c>
      <c r="M131" t="str">
        <f t="shared" si="8"/>
        <v>Passed</v>
      </c>
    </row>
    <row r="132" spans="1:15" ht="15.6" x14ac:dyDescent="0.3">
      <c r="A132" s="12">
        <f t="shared" si="9"/>
        <v>52</v>
      </c>
      <c r="B132" s="4" t="s">
        <v>180</v>
      </c>
      <c r="C132" s="4" t="s">
        <v>136</v>
      </c>
      <c r="D132" s="12" t="s">
        <v>722</v>
      </c>
      <c r="E132" s="12">
        <v>10</v>
      </c>
      <c r="F132" s="12">
        <v>9</v>
      </c>
      <c r="G132" s="452">
        <f t="shared" si="5"/>
        <v>19</v>
      </c>
      <c r="H132" s="12"/>
      <c r="I132" s="12"/>
      <c r="J132" s="12">
        <v>39</v>
      </c>
      <c r="K132" s="452">
        <f t="shared" si="6"/>
        <v>58</v>
      </c>
      <c r="L132" t="str">
        <f t="shared" si="7"/>
        <v>C+</v>
      </c>
      <c r="M132" t="str">
        <f t="shared" si="8"/>
        <v>Passed</v>
      </c>
    </row>
    <row r="133" spans="1:15" ht="15.6" x14ac:dyDescent="0.3">
      <c r="A133" s="12">
        <f t="shared" si="9"/>
        <v>53</v>
      </c>
      <c r="B133" s="4" t="s">
        <v>183</v>
      </c>
      <c r="C133" s="4" t="s">
        <v>140</v>
      </c>
      <c r="D133" s="12" t="s">
        <v>699</v>
      </c>
      <c r="E133" s="12">
        <v>9</v>
      </c>
      <c r="F133" s="12">
        <v>23</v>
      </c>
      <c r="G133" s="452">
        <f t="shared" si="5"/>
        <v>32</v>
      </c>
      <c r="H133" s="12"/>
      <c r="I133" s="12"/>
      <c r="J133" s="12">
        <v>42</v>
      </c>
      <c r="K133" s="452">
        <f t="shared" si="6"/>
        <v>74</v>
      </c>
      <c r="L133" t="str">
        <f t="shared" si="7"/>
        <v>B+</v>
      </c>
      <c r="M133" t="str">
        <f t="shared" si="8"/>
        <v>Passed</v>
      </c>
    </row>
    <row r="134" spans="1:15" ht="15.6" x14ac:dyDescent="0.3">
      <c r="A134" s="12">
        <f t="shared" si="9"/>
        <v>54</v>
      </c>
      <c r="B134" s="4" t="s">
        <v>184</v>
      </c>
      <c r="C134" s="4" t="s">
        <v>142</v>
      </c>
      <c r="D134" s="12" t="s">
        <v>709</v>
      </c>
      <c r="E134" s="12">
        <v>9</v>
      </c>
      <c r="F134" s="12">
        <v>24</v>
      </c>
      <c r="G134" s="452">
        <f t="shared" si="5"/>
        <v>33</v>
      </c>
      <c r="H134" s="12"/>
      <c r="I134" s="12"/>
      <c r="J134" s="12">
        <v>41</v>
      </c>
      <c r="K134" s="452">
        <f t="shared" si="6"/>
        <v>74</v>
      </c>
      <c r="L134" t="str">
        <f t="shared" si="7"/>
        <v>B+</v>
      </c>
      <c r="M134" t="str">
        <f t="shared" si="8"/>
        <v>Passed</v>
      </c>
    </row>
    <row r="135" spans="1:15" x14ac:dyDescent="0.3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</row>
    <row r="136" spans="1:15" x14ac:dyDescent="0.3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</row>
    <row r="138" spans="1:15" x14ac:dyDescent="0.3">
      <c r="A138" s="450" t="s">
        <v>0</v>
      </c>
      <c r="B138" s="451"/>
      <c r="C138" s="451"/>
      <c r="D138" s="451"/>
      <c r="E138" s="451"/>
      <c r="F138" s="451"/>
      <c r="G138" s="451"/>
      <c r="H138" s="451"/>
      <c r="I138" s="451"/>
      <c r="J138" s="451"/>
      <c r="K138" s="451"/>
      <c r="L138" s="451"/>
    </row>
    <row r="139" spans="1:15" x14ac:dyDescent="0.3">
      <c r="A139" s="14" t="s">
        <v>66</v>
      </c>
      <c r="B139" s="14"/>
      <c r="C139" s="14"/>
      <c r="D139" s="14"/>
    </row>
    <row r="140" spans="1:15" x14ac:dyDescent="0.3">
      <c r="A140" s="460" t="s">
        <v>362</v>
      </c>
      <c r="B140" s="461"/>
      <c r="C140" s="461"/>
      <c r="D140" s="2"/>
      <c r="E140" s="2"/>
      <c r="F140" s="2"/>
      <c r="G140" s="2"/>
      <c r="H140" s="2"/>
      <c r="I140" s="2"/>
      <c r="J140" s="2"/>
      <c r="K140" s="2"/>
      <c r="L140" s="1"/>
      <c r="M140" s="16"/>
      <c r="N140" s="16"/>
      <c r="O140" s="13"/>
    </row>
    <row r="141" spans="1:15" x14ac:dyDescent="0.3">
      <c r="A141" s="450" t="s">
        <v>1</v>
      </c>
      <c r="B141" s="462"/>
      <c r="C141" s="462"/>
      <c r="D141" s="450"/>
      <c r="E141" s="451"/>
      <c r="F141" s="451"/>
      <c r="G141" s="451"/>
      <c r="H141" s="451"/>
      <c r="I141" s="451"/>
      <c r="J141" s="451"/>
      <c r="K141" s="451"/>
      <c r="L141" s="451"/>
    </row>
    <row r="142" spans="1:15" x14ac:dyDescent="0.3">
      <c r="A142" s="450" t="s">
        <v>3</v>
      </c>
      <c r="B142" s="462" t="s">
        <v>72</v>
      </c>
      <c r="C142" s="462"/>
      <c r="D142" s="450"/>
      <c r="E142" s="451"/>
      <c r="F142" s="451"/>
      <c r="G142" s="451"/>
      <c r="H142" s="451"/>
      <c r="I142" s="451"/>
      <c r="J142" s="451"/>
      <c r="K142" s="451"/>
      <c r="L142" s="451"/>
    </row>
    <row r="143" spans="1:15" x14ac:dyDescent="0.3">
      <c r="A143" s="450" t="s">
        <v>4</v>
      </c>
      <c r="B143" s="462" t="s">
        <v>1948</v>
      </c>
      <c r="C143" s="462"/>
      <c r="D143" s="450"/>
      <c r="E143" s="451"/>
      <c r="F143" s="451"/>
      <c r="G143" s="451"/>
      <c r="H143" s="451"/>
      <c r="I143" s="451"/>
      <c r="J143" s="451"/>
      <c r="K143" s="451"/>
      <c r="L143" s="451"/>
    </row>
    <row r="144" spans="1:15" x14ac:dyDescent="0.3">
      <c r="A144" s="450" t="s">
        <v>5</v>
      </c>
      <c r="B144" s="463">
        <v>2</v>
      </c>
      <c r="C144" s="463"/>
      <c r="D144" s="450"/>
      <c r="E144" s="451"/>
      <c r="F144" s="451"/>
      <c r="G144" s="451"/>
      <c r="H144" s="451"/>
      <c r="I144" s="451"/>
      <c r="J144" s="451"/>
      <c r="K144" s="451"/>
      <c r="L144" s="451"/>
    </row>
    <row r="145" spans="1:22" x14ac:dyDescent="0.3">
      <c r="A145" s="450" t="s">
        <v>6</v>
      </c>
      <c r="B145" s="462" t="s">
        <v>1935</v>
      </c>
      <c r="C145" s="462"/>
      <c r="D145" s="450"/>
      <c r="E145" s="451"/>
      <c r="F145" s="451"/>
      <c r="G145" s="451"/>
      <c r="H145" s="451"/>
      <c r="I145" s="451"/>
      <c r="J145" s="451"/>
      <c r="K145" s="451"/>
      <c r="L145" s="451"/>
    </row>
    <row r="146" spans="1:22" x14ac:dyDescent="0.3">
      <c r="A146" s="450" t="s">
        <v>68</v>
      </c>
      <c r="B146" s="450"/>
      <c r="C146" s="451"/>
      <c r="D146" s="450"/>
      <c r="E146" s="451"/>
      <c r="F146" s="451"/>
      <c r="G146" s="451"/>
      <c r="H146" s="451"/>
      <c r="I146" s="451"/>
      <c r="J146" s="451"/>
      <c r="K146" s="451"/>
      <c r="L146" s="451"/>
    </row>
    <row r="147" spans="1:22" x14ac:dyDescent="0.3">
      <c r="A147" s="44"/>
      <c r="B147" s="14"/>
      <c r="C147" s="14"/>
      <c r="D147" s="14"/>
      <c r="L147" t="s">
        <v>17</v>
      </c>
      <c r="M147" t="s">
        <v>18</v>
      </c>
      <c r="N147" t="s">
        <v>19</v>
      </c>
    </row>
    <row r="148" spans="1:22" ht="60" x14ac:dyDescent="0.3">
      <c r="A148" s="61" t="s">
        <v>8</v>
      </c>
      <c r="B148" s="452" t="s">
        <v>9</v>
      </c>
      <c r="C148" s="452" t="s">
        <v>10</v>
      </c>
      <c r="D148" s="43" t="s">
        <v>11</v>
      </c>
      <c r="E148" s="43" t="s">
        <v>12</v>
      </c>
      <c r="F148" s="43" t="s">
        <v>13</v>
      </c>
      <c r="G148" s="43" t="s">
        <v>14</v>
      </c>
      <c r="H148" s="43" t="s">
        <v>208</v>
      </c>
      <c r="I148" s="43" t="s">
        <v>209</v>
      </c>
      <c r="J148" s="43" t="s">
        <v>15</v>
      </c>
      <c r="K148" s="43" t="s">
        <v>16</v>
      </c>
      <c r="N148" t="s">
        <v>20</v>
      </c>
      <c r="O148">
        <f>COUNT(G150:G203)</f>
        <v>51</v>
      </c>
    </row>
    <row r="149" spans="1:22" x14ac:dyDescent="0.3">
      <c r="A149" s="45"/>
      <c r="B149" s="45"/>
      <c r="C149" s="452"/>
      <c r="D149" s="452"/>
      <c r="E149" s="452"/>
      <c r="F149" s="452"/>
      <c r="G149" s="452"/>
      <c r="H149" s="452"/>
      <c r="I149" s="452"/>
      <c r="J149" s="12"/>
      <c r="K149" s="12"/>
      <c r="N149" t="s">
        <v>21</v>
      </c>
      <c r="O149">
        <f>COUNT(J150:J203)</f>
        <v>49</v>
      </c>
    </row>
    <row r="150" spans="1:22" x14ac:dyDescent="0.3">
      <c r="A150" s="45">
        <f>ROW(A1)</f>
        <v>1</v>
      </c>
      <c r="B150" s="45" t="s">
        <v>203</v>
      </c>
      <c r="C150" s="45" t="s">
        <v>92</v>
      </c>
      <c r="D150" s="12" t="s">
        <v>1836</v>
      </c>
      <c r="E150" s="45">
        <v>10</v>
      </c>
      <c r="F150" s="45">
        <v>24</v>
      </c>
      <c r="G150" s="45">
        <f>SUM(E150:F150)</f>
        <v>34</v>
      </c>
      <c r="H150" s="45"/>
      <c r="I150" s="45"/>
      <c r="J150" s="45">
        <v>35</v>
      </c>
      <c r="K150" s="45">
        <f>SUM(G150:J150)</f>
        <v>69</v>
      </c>
      <c r="L150" t="str">
        <f t="shared" ref="L150:L203" si="10">IF(K150&gt;=80,"A",IF(K150&gt;=70,"B+",IF(K150&gt;=60,"B",IF(K150&gt;=55,"C+",IF(K150&gt;=50,"C",IF(K150&gt;=45,"D+",IF(K150&gt;=40,"D","F")))))))</f>
        <v>B</v>
      </c>
      <c r="M150" t="str">
        <f t="shared" ref="M150:M203" si="11">IF(K150&gt;=50,"Passed","Failed")</f>
        <v>Passed</v>
      </c>
      <c r="N150" t="s">
        <v>22</v>
      </c>
      <c r="O150">
        <f>O148-O149</f>
        <v>2</v>
      </c>
    </row>
    <row r="151" spans="1:22" x14ac:dyDescent="0.3">
      <c r="A151" s="45">
        <f t="shared" ref="A151:A203" si="12">ROW(A2)</f>
        <v>2</v>
      </c>
      <c r="B151" s="45" t="s">
        <v>145</v>
      </c>
      <c r="C151" s="45" t="s">
        <v>93</v>
      </c>
      <c r="D151" s="12" t="s">
        <v>1823</v>
      </c>
      <c r="E151" s="45">
        <v>9</v>
      </c>
      <c r="F151" s="45">
        <v>24</v>
      </c>
      <c r="G151" s="45">
        <f t="shared" ref="G151:G203" si="13">SUM(E151:F151)</f>
        <v>33</v>
      </c>
      <c r="H151" s="45"/>
      <c r="I151" s="45"/>
      <c r="J151" s="45">
        <v>35</v>
      </c>
      <c r="K151" s="45">
        <f t="shared" ref="K151:K203" si="14">SUM(G151:J151)</f>
        <v>68</v>
      </c>
      <c r="L151" t="str">
        <f t="shared" si="10"/>
        <v>B</v>
      </c>
      <c r="M151" t="str">
        <f t="shared" si="11"/>
        <v>Passed</v>
      </c>
      <c r="N151" t="s">
        <v>23</v>
      </c>
      <c r="O151">
        <f>COUNTIF(M150:M203,"Passed")</f>
        <v>48</v>
      </c>
    </row>
    <row r="152" spans="1:22" x14ac:dyDescent="0.3">
      <c r="A152" s="45">
        <f t="shared" si="12"/>
        <v>3</v>
      </c>
      <c r="B152" s="45" t="s">
        <v>149</v>
      </c>
      <c r="C152" s="45" t="s">
        <v>97</v>
      </c>
      <c r="D152" s="12" t="s">
        <v>1867</v>
      </c>
      <c r="E152" s="45">
        <v>9</v>
      </c>
      <c r="F152" s="45">
        <v>26</v>
      </c>
      <c r="G152" s="45">
        <f t="shared" si="13"/>
        <v>35</v>
      </c>
      <c r="H152" s="45"/>
      <c r="I152" s="45"/>
      <c r="J152" s="45">
        <v>55</v>
      </c>
      <c r="K152" s="45">
        <f t="shared" si="14"/>
        <v>90</v>
      </c>
      <c r="L152" t="str">
        <f t="shared" si="10"/>
        <v>A</v>
      </c>
      <c r="M152" t="str">
        <f t="shared" si="11"/>
        <v>Passed</v>
      </c>
      <c r="N152" t="s">
        <v>24</v>
      </c>
      <c r="O152" s="179">
        <f>O151/O149%</f>
        <v>97.959183673469383</v>
      </c>
    </row>
    <row r="153" spans="1:22" x14ac:dyDescent="0.3">
      <c r="A153" s="45">
        <f t="shared" si="12"/>
        <v>4</v>
      </c>
      <c r="B153" s="45" t="s">
        <v>152</v>
      </c>
      <c r="C153" s="45" t="s">
        <v>100</v>
      </c>
      <c r="D153" s="12" t="s">
        <v>1852</v>
      </c>
      <c r="E153" s="45">
        <v>8</v>
      </c>
      <c r="F153" s="345">
        <v>16.5</v>
      </c>
      <c r="G153" s="45">
        <f t="shared" si="13"/>
        <v>24.5</v>
      </c>
      <c r="H153" s="45"/>
      <c r="I153" s="45"/>
      <c r="J153" s="45">
        <v>35</v>
      </c>
      <c r="K153" s="409">
        <f t="shared" si="14"/>
        <v>59.5</v>
      </c>
      <c r="L153" t="str">
        <f t="shared" si="10"/>
        <v>C+</v>
      </c>
      <c r="M153" t="str">
        <f t="shared" si="11"/>
        <v>Passed</v>
      </c>
      <c r="N153" t="s">
        <v>25</v>
      </c>
      <c r="O153">
        <f>COUNTIF(M150:M203,"failed")</f>
        <v>1</v>
      </c>
    </row>
    <row r="154" spans="1:22" x14ac:dyDescent="0.3">
      <c r="A154" s="45">
        <f t="shared" si="12"/>
        <v>5</v>
      </c>
      <c r="B154" s="45" t="s">
        <v>156</v>
      </c>
      <c r="C154" s="45" t="s">
        <v>104</v>
      </c>
      <c r="D154" s="12" t="s">
        <v>1840</v>
      </c>
      <c r="E154" s="45">
        <v>9</v>
      </c>
      <c r="F154" s="45">
        <v>24</v>
      </c>
      <c r="G154" s="45">
        <f t="shared" si="13"/>
        <v>33</v>
      </c>
      <c r="H154" s="45"/>
      <c r="I154" s="45"/>
      <c r="J154" s="45">
        <v>35</v>
      </c>
      <c r="K154" s="45">
        <f t="shared" si="14"/>
        <v>68</v>
      </c>
      <c r="L154" t="str">
        <f t="shared" si="10"/>
        <v>B</v>
      </c>
      <c r="M154" t="str">
        <f t="shared" si="11"/>
        <v>Passed</v>
      </c>
      <c r="N154" t="s">
        <v>26</v>
      </c>
      <c r="O154" s="179">
        <f>O153/O149%</f>
        <v>2.0408163265306123</v>
      </c>
    </row>
    <row r="155" spans="1:22" x14ac:dyDescent="0.3">
      <c r="A155" s="45">
        <f t="shared" si="12"/>
        <v>6</v>
      </c>
      <c r="B155" s="45" t="s">
        <v>160</v>
      </c>
      <c r="C155" s="45" t="s">
        <v>109</v>
      </c>
      <c r="D155" s="12" t="s">
        <v>1865</v>
      </c>
      <c r="E155" s="45">
        <v>9</v>
      </c>
      <c r="F155" s="45">
        <v>26</v>
      </c>
      <c r="G155" s="45">
        <f t="shared" si="13"/>
        <v>35</v>
      </c>
      <c r="H155" s="45"/>
      <c r="I155" s="45"/>
      <c r="J155" s="45">
        <v>55</v>
      </c>
      <c r="K155" s="45">
        <f t="shared" si="14"/>
        <v>90</v>
      </c>
      <c r="L155" t="str">
        <f t="shared" si="10"/>
        <v>A</v>
      </c>
      <c r="M155" t="str">
        <f t="shared" si="11"/>
        <v>Passed</v>
      </c>
      <c r="N155" t="s">
        <v>27</v>
      </c>
      <c r="O155" s="179">
        <f>AVERAGE(K150:K203)</f>
        <v>66.897959183673464</v>
      </c>
    </row>
    <row r="156" spans="1:22" x14ac:dyDescent="0.3">
      <c r="A156" s="45">
        <f t="shared" si="12"/>
        <v>7</v>
      </c>
      <c r="B156" s="45" t="s">
        <v>207</v>
      </c>
      <c r="C156" s="45" t="s">
        <v>110</v>
      </c>
      <c r="D156" s="12" t="s">
        <v>1920</v>
      </c>
      <c r="E156" s="45"/>
      <c r="F156" s="45"/>
      <c r="G156" s="45"/>
      <c r="H156" s="45"/>
      <c r="I156" s="45"/>
      <c r="J156" s="45"/>
      <c r="K156" s="45"/>
    </row>
    <row r="157" spans="1:22" x14ac:dyDescent="0.3">
      <c r="A157" s="45">
        <f t="shared" si="12"/>
        <v>8</v>
      </c>
      <c r="B157" s="45" t="s">
        <v>163</v>
      </c>
      <c r="C157" s="45" t="s">
        <v>113</v>
      </c>
      <c r="D157" s="12" t="s">
        <v>1824</v>
      </c>
      <c r="E157" s="45">
        <v>10</v>
      </c>
      <c r="F157" s="45">
        <v>21</v>
      </c>
      <c r="G157" s="45">
        <f t="shared" si="13"/>
        <v>31</v>
      </c>
      <c r="H157" s="45"/>
      <c r="I157" s="45"/>
      <c r="J157" s="45">
        <v>45</v>
      </c>
      <c r="K157" s="45">
        <f t="shared" si="14"/>
        <v>76</v>
      </c>
      <c r="L157" t="str">
        <f t="shared" si="10"/>
        <v>B+</v>
      </c>
      <c r="M157" t="str">
        <f t="shared" si="11"/>
        <v>Passed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 t="s">
        <v>33</v>
      </c>
      <c r="U157" t="s">
        <v>34</v>
      </c>
      <c r="V157" t="s">
        <v>35</v>
      </c>
    </row>
    <row r="158" spans="1:22" x14ac:dyDescent="0.3">
      <c r="A158" s="45">
        <f t="shared" si="12"/>
        <v>9</v>
      </c>
      <c r="B158" s="45" t="s">
        <v>480</v>
      </c>
      <c r="C158" s="45" t="s">
        <v>115</v>
      </c>
      <c r="D158" s="12" t="s">
        <v>1830</v>
      </c>
      <c r="E158" s="12">
        <v>10</v>
      </c>
      <c r="F158" s="12">
        <v>18</v>
      </c>
      <c r="G158" s="45">
        <f t="shared" si="13"/>
        <v>28</v>
      </c>
      <c r="H158" s="12"/>
      <c r="I158" s="12"/>
      <c r="J158" s="12">
        <v>45</v>
      </c>
      <c r="K158" s="45">
        <f t="shared" si="14"/>
        <v>73</v>
      </c>
      <c r="L158" t="str">
        <f t="shared" si="10"/>
        <v>B+</v>
      </c>
      <c r="M158" t="str">
        <f t="shared" si="11"/>
        <v>Passed</v>
      </c>
      <c r="N158" t="s">
        <v>17</v>
      </c>
      <c r="O158">
        <f>COUNTIF(L150:L203,"A")</f>
        <v>2</v>
      </c>
      <c r="P158">
        <f>COUNTIF(L150:L203,"B+")</f>
        <v>13</v>
      </c>
      <c r="Q158">
        <f>COUNTIF(L150:L203,"B")</f>
        <v>25</v>
      </c>
      <c r="R158">
        <f>COUNTIF(L150:L203,"C+")</f>
        <v>8</v>
      </c>
      <c r="S158">
        <f>COUNTIF(L150:L203,"C")</f>
        <v>0</v>
      </c>
      <c r="T158">
        <f>COUNTIF(L150:L203,"D+")</f>
        <v>1</v>
      </c>
      <c r="U158">
        <f>COUNTIF(L150:L203,"D")</f>
        <v>0</v>
      </c>
      <c r="V158">
        <f>COUNTIF(L150:L203,"F")</f>
        <v>0</v>
      </c>
    </row>
    <row r="159" spans="1:22" x14ac:dyDescent="0.3">
      <c r="A159" s="45">
        <f t="shared" si="12"/>
        <v>10</v>
      </c>
      <c r="B159" s="45" t="s">
        <v>200</v>
      </c>
      <c r="C159" s="45" t="s">
        <v>119</v>
      </c>
      <c r="D159" s="12" t="s">
        <v>1843</v>
      </c>
      <c r="E159" s="12">
        <v>10</v>
      </c>
      <c r="F159" s="12">
        <v>15</v>
      </c>
      <c r="G159" s="45">
        <f t="shared" si="13"/>
        <v>25</v>
      </c>
      <c r="H159" s="12"/>
      <c r="I159" s="12"/>
      <c r="J159" s="12">
        <v>40</v>
      </c>
      <c r="K159" s="45">
        <f t="shared" si="14"/>
        <v>65</v>
      </c>
      <c r="L159" t="str">
        <f t="shared" si="10"/>
        <v>B</v>
      </c>
      <c r="M159" t="str">
        <f t="shared" si="11"/>
        <v>Passed</v>
      </c>
    </row>
    <row r="160" spans="1:22" x14ac:dyDescent="0.3">
      <c r="A160" s="45">
        <f t="shared" si="12"/>
        <v>11</v>
      </c>
      <c r="B160" s="45" t="s">
        <v>205</v>
      </c>
      <c r="C160" s="45" t="s">
        <v>120</v>
      </c>
      <c r="D160" s="12" t="s">
        <v>1920</v>
      </c>
      <c r="E160" s="12"/>
      <c r="F160" s="12"/>
      <c r="G160" s="45"/>
      <c r="H160" s="12"/>
      <c r="I160" s="12"/>
      <c r="J160" s="12"/>
      <c r="K160" s="45"/>
    </row>
    <row r="161" spans="1:13" x14ac:dyDescent="0.3">
      <c r="A161" s="45">
        <f t="shared" si="12"/>
        <v>12</v>
      </c>
      <c r="B161" s="45" t="s">
        <v>168</v>
      </c>
      <c r="C161" s="45" t="s">
        <v>121</v>
      </c>
      <c r="D161" s="12" t="s">
        <v>1832</v>
      </c>
      <c r="E161" s="12">
        <v>8</v>
      </c>
      <c r="F161" s="12">
        <v>21</v>
      </c>
      <c r="G161" s="45">
        <f t="shared" si="13"/>
        <v>29</v>
      </c>
      <c r="H161" s="12"/>
      <c r="I161" s="12"/>
      <c r="J161" s="12">
        <v>30</v>
      </c>
      <c r="K161" s="45">
        <f t="shared" si="14"/>
        <v>59</v>
      </c>
      <c r="L161" t="str">
        <f t="shared" si="10"/>
        <v>C+</v>
      </c>
      <c r="M161" t="str">
        <f t="shared" si="11"/>
        <v>Passed</v>
      </c>
    </row>
    <row r="162" spans="1:13" x14ac:dyDescent="0.3">
      <c r="A162" s="45">
        <f t="shared" si="12"/>
        <v>13</v>
      </c>
      <c r="B162" s="45" t="s">
        <v>170</v>
      </c>
      <c r="C162" s="45" t="s">
        <v>124</v>
      </c>
      <c r="D162" s="12" t="s">
        <v>1859</v>
      </c>
      <c r="E162" s="12">
        <v>9</v>
      </c>
      <c r="F162" s="12">
        <v>24</v>
      </c>
      <c r="G162" s="45">
        <f t="shared" si="13"/>
        <v>33</v>
      </c>
      <c r="H162" s="12"/>
      <c r="I162" s="12"/>
      <c r="J162" s="12">
        <v>30</v>
      </c>
      <c r="K162" s="45">
        <f t="shared" si="14"/>
        <v>63</v>
      </c>
      <c r="L162" t="str">
        <f t="shared" si="10"/>
        <v>B</v>
      </c>
      <c r="M162" t="str">
        <f t="shared" si="11"/>
        <v>Passed</v>
      </c>
    </row>
    <row r="163" spans="1:13" x14ac:dyDescent="0.3">
      <c r="A163" s="45">
        <f t="shared" si="12"/>
        <v>14</v>
      </c>
      <c r="B163" s="45" t="s">
        <v>172</v>
      </c>
      <c r="C163" s="45" t="s">
        <v>126</v>
      </c>
      <c r="D163" s="12" t="s">
        <v>1825</v>
      </c>
      <c r="E163" s="12">
        <v>9</v>
      </c>
      <c r="F163" s="12">
        <v>21</v>
      </c>
      <c r="G163" s="45">
        <f t="shared" si="13"/>
        <v>30</v>
      </c>
      <c r="H163" s="12"/>
      <c r="I163" s="12"/>
      <c r="J163" s="12">
        <v>30</v>
      </c>
      <c r="K163" s="45">
        <f t="shared" si="14"/>
        <v>60</v>
      </c>
      <c r="L163" t="str">
        <f t="shared" si="10"/>
        <v>B</v>
      </c>
      <c r="M163" t="str">
        <f t="shared" si="11"/>
        <v>Passed</v>
      </c>
    </row>
    <row r="164" spans="1:13" x14ac:dyDescent="0.3">
      <c r="A164" s="45">
        <f t="shared" si="12"/>
        <v>15</v>
      </c>
      <c r="B164" s="45" t="s">
        <v>173</v>
      </c>
      <c r="C164" s="45" t="s">
        <v>127</v>
      </c>
      <c r="D164" s="12" t="s">
        <v>1833</v>
      </c>
      <c r="E164" s="12">
        <v>9</v>
      </c>
      <c r="F164" s="12">
        <v>27</v>
      </c>
      <c r="G164" s="45">
        <f t="shared" si="13"/>
        <v>36</v>
      </c>
      <c r="H164" s="12"/>
      <c r="I164" s="12"/>
      <c r="J164" s="12">
        <v>40</v>
      </c>
      <c r="K164" s="45">
        <f t="shared" si="14"/>
        <v>76</v>
      </c>
      <c r="L164" t="str">
        <f t="shared" si="10"/>
        <v>B+</v>
      </c>
      <c r="M164" t="str">
        <f t="shared" si="11"/>
        <v>Passed</v>
      </c>
    </row>
    <row r="165" spans="1:13" x14ac:dyDescent="0.3">
      <c r="A165" s="45">
        <f t="shared" si="12"/>
        <v>16</v>
      </c>
      <c r="B165" s="45" t="s">
        <v>175</v>
      </c>
      <c r="C165" s="45" t="s">
        <v>131</v>
      </c>
      <c r="D165" s="12" t="s">
        <v>1869</v>
      </c>
      <c r="E165" s="12">
        <v>9</v>
      </c>
      <c r="F165" s="12">
        <v>27</v>
      </c>
      <c r="G165" s="45">
        <f t="shared" si="13"/>
        <v>36</v>
      </c>
      <c r="H165" s="12"/>
      <c r="I165" s="12"/>
      <c r="J165" s="12">
        <v>40</v>
      </c>
      <c r="K165" s="45">
        <f t="shared" si="14"/>
        <v>76</v>
      </c>
      <c r="L165" t="str">
        <f t="shared" si="10"/>
        <v>B+</v>
      </c>
      <c r="M165" t="str">
        <f t="shared" si="11"/>
        <v>Passed</v>
      </c>
    </row>
    <row r="166" spans="1:13" x14ac:dyDescent="0.3">
      <c r="A166" s="45">
        <f t="shared" si="12"/>
        <v>17</v>
      </c>
      <c r="B166" s="277" t="s">
        <v>178</v>
      </c>
      <c r="C166" s="45" t="s">
        <v>133</v>
      </c>
      <c r="D166" s="12" t="s">
        <v>1838</v>
      </c>
      <c r="E166" s="12">
        <v>9</v>
      </c>
      <c r="F166" s="12">
        <v>24</v>
      </c>
      <c r="G166" s="45">
        <f t="shared" si="13"/>
        <v>33</v>
      </c>
      <c r="H166" s="12"/>
      <c r="I166" s="12"/>
      <c r="J166" s="12">
        <v>35</v>
      </c>
      <c r="K166" s="45">
        <f t="shared" si="14"/>
        <v>68</v>
      </c>
      <c r="L166" t="str">
        <f t="shared" si="10"/>
        <v>B</v>
      </c>
      <c r="M166" t="str">
        <f t="shared" si="11"/>
        <v>Passed</v>
      </c>
    </row>
    <row r="167" spans="1:13" x14ac:dyDescent="0.3">
      <c r="A167" s="45">
        <f t="shared" si="12"/>
        <v>18</v>
      </c>
      <c r="B167" s="45" t="s">
        <v>534</v>
      </c>
      <c r="C167" s="303" t="s">
        <v>363</v>
      </c>
      <c r="D167" s="12" t="s">
        <v>1831</v>
      </c>
      <c r="E167" s="12">
        <v>7.5</v>
      </c>
      <c r="F167" s="12">
        <v>12</v>
      </c>
      <c r="G167" s="345">
        <f t="shared" si="13"/>
        <v>19.5</v>
      </c>
      <c r="H167" s="12"/>
      <c r="I167" s="12"/>
      <c r="J167" s="12">
        <v>30</v>
      </c>
      <c r="K167" s="409">
        <f t="shared" si="14"/>
        <v>49.5</v>
      </c>
      <c r="L167" t="str">
        <f t="shared" si="10"/>
        <v>D+</v>
      </c>
      <c r="M167" t="str">
        <f t="shared" si="11"/>
        <v>Failed</v>
      </c>
    </row>
    <row r="168" spans="1:13" x14ac:dyDescent="0.3">
      <c r="A168" s="45">
        <f t="shared" si="12"/>
        <v>19</v>
      </c>
      <c r="B168" s="389" t="s">
        <v>144</v>
      </c>
      <c r="C168" s="304" t="s">
        <v>137</v>
      </c>
      <c r="D168" s="12" t="s">
        <v>1858</v>
      </c>
      <c r="E168" s="12">
        <v>9</v>
      </c>
      <c r="F168" s="12">
        <v>24</v>
      </c>
      <c r="G168" s="45">
        <f t="shared" si="13"/>
        <v>33</v>
      </c>
      <c r="H168" s="12"/>
      <c r="I168" s="12"/>
      <c r="J168" s="12">
        <v>30</v>
      </c>
      <c r="K168" s="45">
        <f t="shared" si="14"/>
        <v>63</v>
      </c>
      <c r="L168" t="str">
        <f t="shared" si="10"/>
        <v>B</v>
      </c>
      <c r="M168" t="str">
        <f t="shared" si="11"/>
        <v>Passed</v>
      </c>
    </row>
    <row r="169" spans="1:13" x14ac:dyDescent="0.3">
      <c r="A169" s="45">
        <f t="shared" si="12"/>
        <v>20</v>
      </c>
      <c r="B169" s="390" t="s">
        <v>204</v>
      </c>
      <c r="C169" s="390" t="s">
        <v>138</v>
      </c>
      <c r="D169" s="12" t="s">
        <v>1835</v>
      </c>
      <c r="E169" s="12">
        <v>10</v>
      </c>
      <c r="F169" s="12">
        <v>21</v>
      </c>
      <c r="G169" s="45">
        <f t="shared" si="13"/>
        <v>31</v>
      </c>
      <c r="H169" s="12"/>
      <c r="I169" s="12"/>
      <c r="J169" s="12">
        <v>40</v>
      </c>
      <c r="K169" s="45">
        <f t="shared" si="14"/>
        <v>71</v>
      </c>
      <c r="L169" t="str">
        <f t="shared" si="10"/>
        <v>B+</v>
      </c>
      <c r="M169" t="str">
        <f t="shared" si="11"/>
        <v>Passed</v>
      </c>
    </row>
    <row r="170" spans="1:13" x14ac:dyDescent="0.3">
      <c r="A170" s="45">
        <f t="shared" si="12"/>
        <v>21</v>
      </c>
      <c r="B170" s="305" t="s">
        <v>181</v>
      </c>
      <c r="C170" s="45" t="s">
        <v>139</v>
      </c>
      <c r="D170" s="12" t="s">
        <v>1862</v>
      </c>
      <c r="E170" s="12">
        <v>10</v>
      </c>
      <c r="F170" s="12">
        <v>20</v>
      </c>
      <c r="G170" s="45">
        <f t="shared" si="13"/>
        <v>30</v>
      </c>
      <c r="H170" s="12"/>
      <c r="I170" s="12"/>
      <c r="J170" s="12">
        <v>30</v>
      </c>
      <c r="K170" s="45">
        <f t="shared" si="14"/>
        <v>60</v>
      </c>
      <c r="L170" t="str">
        <f t="shared" si="10"/>
        <v>B</v>
      </c>
      <c r="M170" t="str">
        <f t="shared" si="11"/>
        <v>Passed</v>
      </c>
    </row>
    <row r="171" spans="1:13" x14ac:dyDescent="0.3">
      <c r="A171" s="45">
        <f t="shared" si="12"/>
        <v>22</v>
      </c>
      <c r="B171" s="391" t="s">
        <v>201</v>
      </c>
      <c r="C171" s="45" t="s">
        <v>141</v>
      </c>
      <c r="D171" s="12" t="s">
        <v>1860</v>
      </c>
      <c r="E171" s="12">
        <v>8</v>
      </c>
      <c r="F171" s="12">
        <v>21</v>
      </c>
      <c r="G171" s="45">
        <f t="shared" si="13"/>
        <v>29</v>
      </c>
      <c r="H171" s="12"/>
      <c r="I171" s="12"/>
      <c r="J171" s="12">
        <v>30</v>
      </c>
      <c r="K171" s="45">
        <f t="shared" si="14"/>
        <v>59</v>
      </c>
      <c r="L171" t="str">
        <f t="shared" si="10"/>
        <v>C+</v>
      </c>
      <c r="M171" t="str">
        <f t="shared" si="11"/>
        <v>Passed</v>
      </c>
    </row>
    <row r="172" spans="1:13" x14ac:dyDescent="0.3">
      <c r="A172" s="45">
        <f t="shared" si="12"/>
        <v>23</v>
      </c>
      <c r="B172" s="45" t="s">
        <v>176</v>
      </c>
      <c r="C172" s="45" t="s">
        <v>481</v>
      </c>
      <c r="D172" s="12" t="s">
        <v>1822</v>
      </c>
      <c r="E172" s="12">
        <v>9</v>
      </c>
      <c r="F172" s="12">
        <v>24</v>
      </c>
      <c r="G172" s="45">
        <f t="shared" si="13"/>
        <v>33</v>
      </c>
      <c r="H172" s="12"/>
      <c r="I172" s="12"/>
      <c r="J172" s="12">
        <v>42</v>
      </c>
      <c r="K172" s="45">
        <f t="shared" si="14"/>
        <v>75</v>
      </c>
      <c r="L172" t="str">
        <f t="shared" si="10"/>
        <v>B+</v>
      </c>
      <c r="M172" t="str">
        <f t="shared" si="11"/>
        <v>Passed</v>
      </c>
    </row>
    <row r="173" spans="1:13" x14ac:dyDescent="0.3">
      <c r="A173" s="45">
        <f t="shared" si="12"/>
        <v>24</v>
      </c>
      <c r="B173" s="12" t="s">
        <v>148</v>
      </c>
      <c r="C173" s="12" t="s">
        <v>96</v>
      </c>
      <c r="D173" s="12" t="s">
        <v>1856</v>
      </c>
      <c r="E173" s="12">
        <v>10</v>
      </c>
      <c r="F173" s="12">
        <v>21</v>
      </c>
      <c r="G173" s="45">
        <f t="shared" si="13"/>
        <v>31</v>
      </c>
      <c r="H173" s="12"/>
      <c r="I173" s="12"/>
      <c r="J173" s="12">
        <v>36</v>
      </c>
      <c r="K173" s="45">
        <f t="shared" si="14"/>
        <v>67</v>
      </c>
      <c r="L173" t="str">
        <f t="shared" si="10"/>
        <v>B</v>
      </c>
      <c r="M173" t="str">
        <f t="shared" si="11"/>
        <v>Passed</v>
      </c>
    </row>
    <row r="174" spans="1:13" x14ac:dyDescent="0.3">
      <c r="A174" s="45">
        <f t="shared" si="12"/>
        <v>25</v>
      </c>
      <c r="B174" s="12" t="s">
        <v>153</v>
      </c>
      <c r="C174" s="12" t="s">
        <v>101</v>
      </c>
      <c r="D174" s="12" t="s">
        <v>1864</v>
      </c>
      <c r="E174" s="12">
        <v>7.5</v>
      </c>
      <c r="F174" s="12">
        <v>15</v>
      </c>
      <c r="G174" s="45">
        <f t="shared" si="13"/>
        <v>22.5</v>
      </c>
      <c r="H174" s="12"/>
      <c r="I174" s="12"/>
      <c r="J174" s="12">
        <v>35</v>
      </c>
      <c r="K174" s="409">
        <f t="shared" si="14"/>
        <v>57.5</v>
      </c>
      <c r="L174" t="str">
        <f t="shared" si="10"/>
        <v>C+</v>
      </c>
      <c r="M174" t="str">
        <f t="shared" si="11"/>
        <v>Passed</v>
      </c>
    </row>
    <row r="175" spans="1:13" x14ac:dyDescent="0.3">
      <c r="A175" s="45">
        <f t="shared" si="12"/>
        <v>26</v>
      </c>
      <c r="B175" s="12" t="s">
        <v>154</v>
      </c>
      <c r="C175" s="12" t="s">
        <v>102</v>
      </c>
      <c r="D175" s="12" t="s">
        <v>1861</v>
      </c>
      <c r="E175" s="12">
        <v>8</v>
      </c>
      <c r="F175" s="12">
        <v>24</v>
      </c>
      <c r="G175" s="45">
        <f t="shared" si="13"/>
        <v>32</v>
      </c>
      <c r="H175" s="12"/>
      <c r="I175" s="12"/>
      <c r="J175" s="12">
        <v>30</v>
      </c>
      <c r="K175" s="45">
        <f t="shared" si="14"/>
        <v>62</v>
      </c>
      <c r="L175" t="str">
        <f t="shared" si="10"/>
        <v>B</v>
      </c>
      <c r="M175" t="str">
        <f t="shared" si="11"/>
        <v>Passed</v>
      </c>
    </row>
    <row r="176" spans="1:13" x14ac:dyDescent="0.3">
      <c r="A176" s="45">
        <f t="shared" si="12"/>
        <v>27</v>
      </c>
      <c r="B176" s="12" t="s">
        <v>162</v>
      </c>
      <c r="C176" s="12" t="s">
        <v>112</v>
      </c>
      <c r="D176" s="12" t="s">
        <v>1854</v>
      </c>
      <c r="E176" s="12">
        <v>7.5</v>
      </c>
      <c r="F176" s="12">
        <v>21</v>
      </c>
      <c r="G176" s="45">
        <f t="shared" si="13"/>
        <v>28.5</v>
      </c>
      <c r="H176" s="12"/>
      <c r="I176" s="12"/>
      <c r="J176" s="12">
        <v>40</v>
      </c>
      <c r="K176" s="409">
        <f t="shared" si="14"/>
        <v>68.5</v>
      </c>
      <c r="L176" t="str">
        <f t="shared" si="10"/>
        <v>B</v>
      </c>
      <c r="M176" t="str">
        <f t="shared" si="11"/>
        <v>Passed</v>
      </c>
    </row>
    <row r="177" spans="1:13" x14ac:dyDescent="0.3">
      <c r="A177" s="45">
        <f t="shared" si="12"/>
        <v>28</v>
      </c>
      <c r="B177" s="12" t="s">
        <v>164</v>
      </c>
      <c r="C177" s="12" t="s">
        <v>114</v>
      </c>
      <c r="D177" s="12" t="s">
        <v>1845</v>
      </c>
      <c r="E177" s="12">
        <v>9</v>
      </c>
      <c r="F177" s="12">
        <v>23</v>
      </c>
      <c r="G177" s="45">
        <f t="shared" si="13"/>
        <v>32</v>
      </c>
      <c r="H177" s="12"/>
      <c r="I177" s="12"/>
      <c r="J177" s="12">
        <v>35</v>
      </c>
      <c r="K177" s="45">
        <f t="shared" si="14"/>
        <v>67</v>
      </c>
      <c r="L177" t="str">
        <f t="shared" si="10"/>
        <v>B</v>
      </c>
      <c r="M177" t="str">
        <f t="shared" si="11"/>
        <v>Passed</v>
      </c>
    </row>
    <row r="178" spans="1:13" x14ac:dyDescent="0.3">
      <c r="A178" s="45">
        <f t="shared" si="12"/>
        <v>29</v>
      </c>
      <c r="B178" s="60" t="s">
        <v>165</v>
      </c>
      <c r="C178" s="12" t="s">
        <v>116</v>
      </c>
      <c r="D178" s="12" t="s">
        <v>1829</v>
      </c>
      <c r="E178" s="12">
        <v>10</v>
      </c>
      <c r="F178" s="12">
        <v>27</v>
      </c>
      <c r="G178" s="45">
        <f t="shared" si="13"/>
        <v>37</v>
      </c>
      <c r="H178" s="12"/>
      <c r="I178" s="12"/>
      <c r="J178" s="12">
        <v>40</v>
      </c>
      <c r="K178" s="45">
        <f t="shared" si="14"/>
        <v>77</v>
      </c>
      <c r="L178" t="str">
        <f t="shared" si="10"/>
        <v>B+</v>
      </c>
      <c r="M178" t="str">
        <f t="shared" si="11"/>
        <v>Passed</v>
      </c>
    </row>
    <row r="179" spans="1:13" x14ac:dyDescent="0.3">
      <c r="A179" s="45">
        <f t="shared" si="12"/>
        <v>30</v>
      </c>
      <c r="B179" s="12" t="s">
        <v>206</v>
      </c>
      <c r="C179" s="12" t="s">
        <v>123</v>
      </c>
      <c r="D179" s="12" t="s">
        <v>1850</v>
      </c>
      <c r="E179" s="12">
        <v>10</v>
      </c>
      <c r="F179" s="12">
        <v>21</v>
      </c>
      <c r="G179" s="45">
        <f t="shared" si="13"/>
        <v>31</v>
      </c>
      <c r="H179" s="12"/>
      <c r="I179" s="12"/>
      <c r="J179" s="12">
        <v>29</v>
      </c>
      <c r="K179" s="45">
        <f t="shared" si="14"/>
        <v>60</v>
      </c>
      <c r="L179" t="str">
        <f t="shared" si="10"/>
        <v>B</v>
      </c>
      <c r="M179" t="str">
        <f t="shared" si="11"/>
        <v>Passed</v>
      </c>
    </row>
    <row r="180" spans="1:13" x14ac:dyDescent="0.3">
      <c r="A180" s="45">
        <f t="shared" si="12"/>
        <v>31</v>
      </c>
      <c r="B180" s="12" t="s">
        <v>202</v>
      </c>
      <c r="C180" s="12" t="s">
        <v>135</v>
      </c>
      <c r="D180" s="12" t="s">
        <v>1846</v>
      </c>
      <c r="E180" s="12">
        <v>4</v>
      </c>
      <c r="F180" s="12">
        <v>21</v>
      </c>
      <c r="G180" s="45">
        <f t="shared" si="13"/>
        <v>25</v>
      </c>
      <c r="H180" s="12"/>
      <c r="I180" s="12"/>
      <c r="J180" s="12">
        <v>30</v>
      </c>
      <c r="K180" s="45">
        <f t="shared" si="14"/>
        <v>55</v>
      </c>
      <c r="L180" t="str">
        <f t="shared" si="10"/>
        <v>C+</v>
      </c>
      <c r="M180" t="str">
        <f t="shared" si="11"/>
        <v>Passed</v>
      </c>
    </row>
    <row r="181" spans="1:13" x14ac:dyDescent="0.3">
      <c r="A181" s="45">
        <f t="shared" si="12"/>
        <v>32</v>
      </c>
      <c r="B181" s="12" t="s">
        <v>1249</v>
      </c>
      <c r="C181" s="12" t="s">
        <v>422</v>
      </c>
      <c r="D181" s="12" t="s">
        <v>1834</v>
      </c>
      <c r="E181" s="12">
        <v>9</v>
      </c>
      <c r="F181" s="12">
        <v>24</v>
      </c>
      <c r="G181" s="45">
        <f t="shared" si="13"/>
        <v>33</v>
      </c>
      <c r="H181" s="12"/>
      <c r="I181" s="12"/>
      <c r="J181" s="12">
        <v>30</v>
      </c>
      <c r="K181" s="45">
        <f t="shared" si="14"/>
        <v>63</v>
      </c>
      <c r="L181" t="str">
        <f t="shared" si="10"/>
        <v>B</v>
      </c>
      <c r="M181" t="str">
        <f t="shared" si="11"/>
        <v>Passed</v>
      </c>
    </row>
    <row r="182" spans="1:13" x14ac:dyDescent="0.3">
      <c r="A182" s="45">
        <f t="shared" si="12"/>
        <v>33</v>
      </c>
      <c r="B182" s="45" t="s">
        <v>150</v>
      </c>
      <c r="C182" s="45" t="s">
        <v>98</v>
      </c>
      <c r="D182" s="12" t="s">
        <v>1848</v>
      </c>
      <c r="E182" s="12">
        <v>10</v>
      </c>
      <c r="F182" s="12">
        <v>24</v>
      </c>
      <c r="G182" s="45">
        <f t="shared" si="13"/>
        <v>34</v>
      </c>
      <c r="H182" s="12"/>
      <c r="I182" s="12"/>
      <c r="J182" s="12">
        <v>35</v>
      </c>
      <c r="K182" s="45">
        <f t="shared" si="14"/>
        <v>69</v>
      </c>
      <c r="L182" t="str">
        <f t="shared" si="10"/>
        <v>B</v>
      </c>
      <c r="M182" t="str">
        <f t="shared" si="11"/>
        <v>Passed</v>
      </c>
    </row>
    <row r="183" spans="1:13" x14ac:dyDescent="0.3">
      <c r="A183" s="45">
        <f t="shared" si="12"/>
        <v>34</v>
      </c>
      <c r="B183" s="45" t="s">
        <v>151</v>
      </c>
      <c r="C183" s="45" t="s">
        <v>99</v>
      </c>
      <c r="D183" s="12" t="s">
        <v>1844</v>
      </c>
      <c r="E183" s="12">
        <v>7.5</v>
      </c>
      <c r="F183" s="12">
        <v>23</v>
      </c>
      <c r="G183" s="45">
        <f t="shared" si="13"/>
        <v>30.5</v>
      </c>
      <c r="H183" s="12"/>
      <c r="I183" s="12"/>
      <c r="J183" s="12">
        <v>45</v>
      </c>
      <c r="K183" s="409">
        <f t="shared" si="14"/>
        <v>75.5</v>
      </c>
      <c r="L183" t="str">
        <f t="shared" si="10"/>
        <v>B+</v>
      </c>
      <c r="M183" t="str">
        <f t="shared" si="11"/>
        <v>Passed</v>
      </c>
    </row>
    <row r="184" spans="1:13" x14ac:dyDescent="0.3">
      <c r="A184" s="45">
        <f t="shared" si="12"/>
        <v>35</v>
      </c>
      <c r="B184" s="45" t="s">
        <v>157</v>
      </c>
      <c r="C184" s="45" t="s">
        <v>106</v>
      </c>
      <c r="D184" s="12" t="s">
        <v>1849</v>
      </c>
      <c r="E184" s="12">
        <v>10</v>
      </c>
      <c r="F184" s="12">
        <v>26</v>
      </c>
      <c r="G184" s="45">
        <f t="shared" si="13"/>
        <v>36</v>
      </c>
      <c r="H184" s="12"/>
      <c r="I184" s="12"/>
      <c r="J184" s="12">
        <v>35</v>
      </c>
      <c r="K184" s="45">
        <f t="shared" si="14"/>
        <v>71</v>
      </c>
      <c r="L184" t="str">
        <f t="shared" si="10"/>
        <v>B+</v>
      </c>
      <c r="M184" t="str">
        <f t="shared" si="11"/>
        <v>Passed</v>
      </c>
    </row>
    <row r="185" spans="1:13" x14ac:dyDescent="0.3">
      <c r="A185" s="45">
        <f t="shared" si="12"/>
        <v>36</v>
      </c>
      <c r="B185" s="45" t="s">
        <v>158</v>
      </c>
      <c r="C185" s="45" t="s">
        <v>107</v>
      </c>
      <c r="D185" s="12" t="s">
        <v>1853</v>
      </c>
      <c r="E185" s="12">
        <v>9</v>
      </c>
      <c r="F185" s="12">
        <v>21</v>
      </c>
      <c r="G185" s="45">
        <f t="shared" si="13"/>
        <v>30</v>
      </c>
      <c r="H185" s="12"/>
      <c r="I185" s="12"/>
      <c r="J185" s="12">
        <v>35</v>
      </c>
      <c r="K185" s="45">
        <f t="shared" si="14"/>
        <v>65</v>
      </c>
      <c r="L185" t="str">
        <f t="shared" si="10"/>
        <v>B</v>
      </c>
      <c r="M185" t="str">
        <f t="shared" si="11"/>
        <v>Passed</v>
      </c>
    </row>
    <row r="186" spans="1:13" x14ac:dyDescent="0.3">
      <c r="A186" s="45">
        <f t="shared" si="12"/>
        <v>37</v>
      </c>
      <c r="B186" s="45" t="s">
        <v>159</v>
      </c>
      <c r="C186" s="45" t="s">
        <v>108</v>
      </c>
      <c r="D186" s="12" t="s">
        <v>1857</v>
      </c>
      <c r="E186" s="12">
        <v>9</v>
      </c>
      <c r="F186" s="12">
        <v>23</v>
      </c>
      <c r="G186" s="45">
        <f t="shared" si="13"/>
        <v>32</v>
      </c>
      <c r="H186" s="12"/>
      <c r="I186" s="12"/>
      <c r="J186" s="12">
        <v>47</v>
      </c>
      <c r="K186" s="45">
        <f t="shared" si="14"/>
        <v>79</v>
      </c>
      <c r="L186" t="str">
        <f t="shared" si="10"/>
        <v>B+</v>
      </c>
      <c r="M186" t="str">
        <f t="shared" si="11"/>
        <v>Passed</v>
      </c>
    </row>
    <row r="187" spans="1:13" x14ac:dyDescent="0.3">
      <c r="A187" s="45">
        <f t="shared" si="12"/>
        <v>38</v>
      </c>
      <c r="B187" s="45" t="s">
        <v>167</v>
      </c>
      <c r="C187" s="45" t="s">
        <v>118</v>
      </c>
      <c r="D187" s="12" t="s">
        <v>1866</v>
      </c>
      <c r="E187" s="12">
        <v>9</v>
      </c>
      <c r="F187" s="12">
        <v>23</v>
      </c>
      <c r="G187" s="45">
        <f t="shared" si="13"/>
        <v>32</v>
      </c>
      <c r="H187" s="12"/>
      <c r="I187" s="12"/>
      <c r="J187" s="12">
        <v>30</v>
      </c>
      <c r="K187" s="45">
        <f t="shared" si="14"/>
        <v>62</v>
      </c>
      <c r="L187" t="str">
        <f t="shared" si="10"/>
        <v>B</v>
      </c>
      <c r="M187" t="str">
        <f t="shared" si="11"/>
        <v>Passed</v>
      </c>
    </row>
    <row r="188" spans="1:13" x14ac:dyDescent="0.3">
      <c r="A188" s="45">
        <f t="shared" si="12"/>
        <v>39</v>
      </c>
      <c r="B188" s="45" t="s">
        <v>171</v>
      </c>
      <c r="C188" s="45" t="s">
        <v>125</v>
      </c>
      <c r="D188" s="12" t="s">
        <v>1868</v>
      </c>
      <c r="E188" s="12">
        <v>9</v>
      </c>
      <c r="F188" s="12">
        <v>21</v>
      </c>
      <c r="G188" s="45">
        <f t="shared" si="13"/>
        <v>30</v>
      </c>
      <c r="H188" s="12"/>
      <c r="I188" s="12"/>
      <c r="J188" s="12">
        <v>30</v>
      </c>
      <c r="K188" s="45">
        <f t="shared" si="14"/>
        <v>60</v>
      </c>
      <c r="L188" t="str">
        <f t="shared" si="10"/>
        <v>B</v>
      </c>
      <c r="M188" t="str">
        <f t="shared" si="11"/>
        <v>Passed</v>
      </c>
    </row>
    <row r="189" spans="1:13" x14ac:dyDescent="0.3">
      <c r="A189" s="45">
        <f t="shared" si="12"/>
        <v>40</v>
      </c>
      <c r="B189" s="45" t="s">
        <v>174</v>
      </c>
      <c r="C189" s="45" t="s">
        <v>128</v>
      </c>
      <c r="D189" s="12" t="s">
        <v>1826</v>
      </c>
      <c r="E189" s="12">
        <v>8</v>
      </c>
      <c r="F189" s="12">
        <v>26</v>
      </c>
      <c r="G189" s="45">
        <f t="shared" si="13"/>
        <v>34</v>
      </c>
      <c r="H189" s="12"/>
      <c r="I189" s="12"/>
      <c r="J189" s="12">
        <v>30</v>
      </c>
      <c r="K189" s="45">
        <f t="shared" si="14"/>
        <v>64</v>
      </c>
      <c r="L189" t="str">
        <f t="shared" si="10"/>
        <v>B</v>
      </c>
      <c r="M189" t="str">
        <f t="shared" si="11"/>
        <v>Passed</v>
      </c>
    </row>
    <row r="190" spans="1:13" x14ac:dyDescent="0.3">
      <c r="A190" s="45">
        <f t="shared" si="12"/>
        <v>41</v>
      </c>
      <c r="B190" s="45" t="s">
        <v>220</v>
      </c>
      <c r="C190" s="45" t="s">
        <v>130</v>
      </c>
      <c r="D190" s="12" t="s">
        <v>1863</v>
      </c>
      <c r="E190" s="12">
        <v>9</v>
      </c>
      <c r="F190" s="12">
        <v>21</v>
      </c>
      <c r="G190" s="45">
        <f t="shared" si="13"/>
        <v>30</v>
      </c>
      <c r="H190" s="12"/>
      <c r="I190" s="12"/>
      <c r="J190" s="12">
        <v>40</v>
      </c>
      <c r="K190" s="45">
        <f t="shared" si="14"/>
        <v>70</v>
      </c>
      <c r="L190" t="str">
        <f t="shared" si="10"/>
        <v>B+</v>
      </c>
      <c r="M190" t="str">
        <f t="shared" si="11"/>
        <v>Passed</v>
      </c>
    </row>
    <row r="191" spans="1:13" x14ac:dyDescent="0.3">
      <c r="A191" s="45">
        <f t="shared" si="12"/>
        <v>42</v>
      </c>
      <c r="B191" s="45" t="s">
        <v>659</v>
      </c>
      <c r="C191" s="45" t="s">
        <v>117</v>
      </c>
      <c r="D191" s="12" t="s">
        <v>1855</v>
      </c>
      <c r="E191" s="12">
        <v>10</v>
      </c>
      <c r="F191" s="12">
        <v>27</v>
      </c>
      <c r="G191" s="45">
        <f t="shared" si="13"/>
        <v>37</v>
      </c>
      <c r="H191" s="12"/>
      <c r="I191" s="12"/>
      <c r="J191" s="12">
        <v>40</v>
      </c>
      <c r="K191" s="45">
        <f t="shared" si="14"/>
        <v>77</v>
      </c>
      <c r="L191" t="str">
        <f t="shared" si="10"/>
        <v>B+</v>
      </c>
      <c r="M191" t="str">
        <f t="shared" si="11"/>
        <v>Passed</v>
      </c>
    </row>
    <row r="192" spans="1:13" x14ac:dyDescent="0.3">
      <c r="A192" s="45">
        <f t="shared" si="12"/>
        <v>43</v>
      </c>
      <c r="B192" s="45" t="s">
        <v>146</v>
      </c>
      <c r="C192" s="45" t="s">
        <v>94</v>
      </c>
      <c r="D192" s="12" t="s">
        <v>1828</v>
      </c>
      <c r="E192" s="12">
        <v>9</v>
      </c>
      <c r="F192" s="12">
        <v>21</v>
      </c>
      <c r="G192" s="45">
        <f t="shared" si="13"/>
        <v>30</v>
      </c>
      <c r="H192" s="12"/>
      <c r="I192" s="12"/>
      <c r="J192" s="12">
        <v>25</v>
      </c>
      <c r="K192" s="45">
        <f t="shared" si="14"/>
        <v>55</v>
      </c>
      <c r="L192" t="str">
        <f t="shared" si="10"/>
        <v>C+</v>
      </c>
      <c r="M192" t="str">
        <f t="shared" si="11"/>
        <v>Passed</v>
      </c>
    </row>
    <row r="193" spans="1:13" x14ac:dyDescent="0.3">
      <c r="A193" s="45">
        <f t="shared" si="12"/>
        <v>44</v>
      </c>
      <c r="B193" s="277" t="s">
        <v>147</v>
      </c>
      <c r="C193" s="45" t="s">
        <v>95</v>
      </c>
      <c r="D193" s="12" t="s">
        <v>1821</v>
      </c>
      <c r="E193" s="12">
        <v>9</v>
      </c>
      <c r="F193" s="12">
        <v>21</v>
      </c>
      <c r="G193" s="45">
        <f t="shared" si="13"/>
        <v>30</v>
      </c>
      <c r="H193" s="12"/>
      <c r="I193" s="12"/>
      <c r="J193" s="12">
        <v>35</v>
      </c>
      <c r="K193" s="45">
        <f t="shared" si="14"/>
        <v>65</v>
      </c>
      <c r="L193" t="str">
        <f t="shared" si="10"/>
        <v>B</v>
      </c>
      <c r="M193" t="str">
        <f t="shared" si="11"/>
        <v>Passed</v>
      </c>
    </row>
    <row r="194" spans="1:13" x14ac:dyDescent="0.3">
      <c r="A194" s="45">
        <f t="shared" si="12"/>
        <v>45</v>
      </c>
      <c r="B194" s="45" t="s">
        <v>155</v>
      </c>
      <c r="C194" s="45" t="s">
        <v>103</v>
      </c>
      <c r="D194" s="12" t="s">
        <v>1839</v>
      </c>
      <c r="E194" s="12">
        <v>9</v>
      </c>
      <c r="F194" s="12">
        <v>20</v>
      </c>
      <c r="G194" s="45">
        <f t="shared" si="13"/>
        <v>29</v>
      </c>
      <c r="H194" s="12"/>
      <c r="I194" s="12"/>
      <c r="J194" s="12">
        <v>35</v>
      </c>
      <c r="K194" s="45">
        <f t="shared" si="14"/>
        <v>64</v>
      </c>
      <c r="L194" t="str">
        <f t="shared" si="10"/>
        <v>B</v>
      </c>
      <c r="M194" t="str">
        <f t="shared" si="11"/>
        <v>Passed</v>
      </c>
    </row>
    <row r="195" spans="1:13" x14ac:dyDescent="0.3">
      <c r="A195" s="45">
        <f t="shared" si="12"/>
        <v>46</v>
      </c>
      <c r="B195" s="452" t="s">
        <v>182</v>
      </c>
      <c r="C195" s="452" t="s">
        <v>105</v>
      </c>
      <c r="D195" s="452" t="s">
        <v>1920</v>
      </c>
      <c r="E195" s="452">
        <v>5</v>
      </c>
      <c r="F195" s="452">
        <v>20</v>
      </c>
      <c r="G195" s="452">
        <f t="shared" si="13"/>
        <v>25</v>
      </c>
      <c r="H195" s="452"/>
      <c r="I195" s="452"/>
      <c r="J195" s="452" t="s">
        <v>1938</v>
      </c>
      <c r="K195" s="45"/>
    </row>
    <row r="196" spans="1:13" x14ac:dyDescent="0.3">
      <c r="A196" s="45">
        <f t="shared" si="12"/>
        <v>47</v>
      </c>
      <c r="B196" s="452" t="s">
        <v>161</v>
      </c>
      <c r="C196" s="452" t="s">
        <v>111</v>
      </c>
      <c r="D196" s="452" t="s">
        <v>1920</v>
      </c>
      <c r="E196" s="452">
        <v>7.5</v>
      </c>
      <c r="F196" s="452">
        <v>21</v>
      </c>
      <c r="G196" s="452">
        <f t="shared" si="13"/>
        <v>28.5</v>
      </c>
      <c r="H196" s="452"/>
      <c r="I196" s="452"/>
      <c r="J196" s="452" t="s">
        <v>1938</v>
      </c>
      <c r="K196" s="409"/>
    </row>
    <row r="197" spans="1:13" x14ac:dyDescent="0.3">
      <c r="A197" s="45">
        <f t="shared" si="12"/>
        <v>48</v>
      </c>
      <c r="B197" s="45" t="s">
        <v>169</v>
      </c>
      <c r="C197" s="45" t="s">
        <v>122</v>
      </c>
      <c r="D197" s="12" t="s">
        <v>1920</v>
      </c>
      <c r="E197" s="12"/>
      <c r="F197" s="12"/>
      <c r="G197" s="45"/>
      <c r="H197" s="12"/>
      <c r="I197" s="12"/>
      <c r="J197" s="12"/>
      <c r="K197" s="45"/>
    </row>
    <row r="198" spans="1:13" x14ac:dyDescent="0.3">
      <c r="A198" s="45">
        <f t="shared" si="12"/>
        <v>49</v>
      </c>
      <c r="B198" s="45" t="s">
        <v>648</v>
      </c>
      <c r="C198" s="45" t="s">
        <v>129</v>
      </c>
      <c r="D198" s="12" t="s">
        <v>1851</v>
      </c>
      <c r="E198" s="12">
        <v>9</v>
      </c>
      <c r="F198" s="12">
        <v>23</v>
      </c>
      <c r="G198" s="45">
        <f t="shared" si="13"/>
        <v>32</v>
      </c>
      <c r="H198" s="12"/>
      <c r="I198" s="12"/>
      <c r="J198" s="12">
        <v>35</v>
      </c>
      <c r="K198" s="45">
        <f t="shared" si="14"/>
        <v>67</v>
      </c>
      <c r="L198" t="str">
        <f t="shared" si="10"/>
        <v>B</v>
      </c>
      <c r="M198" t="str">
        <f t="shared" si="11"/>
        <v>Passed</v>
      </c>
    </row>
    <row r="199" spans="1:13" x14ac:dyDescent="0.3">
      <c r="A199" s="45">
        <f t="shared" si="12"/>
        <v>50</v>
      </c>
      <c r="B199" s="45" t="s">
        <v>177</v>
      </c>
      <c r="C199" s="45" t="s">
        <v>132</v>
      </c>
      <c r="D199" s="12" t="s">
        <v>1827</v>
      </c>
      <c r="E199" s="12">
        <v>9</v>
      </c>
      <c r="F199" s="12">
        <v>27</v>
      </c>
      <c r="G199" s="45">
        <f t="shared" si="13"/>
        <v>36</v>
      </c>
      <c r="H199" s="12"/>
      <c r="I199" s="12"/>
      <c r="J199" s="12">
        <v>42</v>
      </c>
      <c r="K199" s="45">
        <f t="shared" si="14"/>
        <v>78</v>
      </c>
      <c r="L199" t="str">
        <f t="shared" si="10"/>
        <v>B+</v>
      </c>
      <c r="M199" t="str">
        <f t="shared" si="11"/>
        <v>Passed</v>
      </c>
    </row>
    <row r="200" spans="1:13" x14ac:dyDescent="0.3">
      <c r="A200" s="45">
        <f t="shared" si="12"/>
        <v>51</v>
      </c>
      <c r="B200" s="45" t="s">
        <v>179</v>
      </c>
      <c r="C200" s="45" t="s">
        <v>665</v>
      </c>
      <c r="D200" s="12" t="s">
        <v>1842</v>
      </c>
      <c r="E200" s="12">
        <v>8</v>
      </c>
      <c r="F200" s="12">
        <v>18</v>
      </c>
      <c r="G200" s="45">
        <f t="shared" si="13"/>
        <v>26</v>
      </c>
      <c r="H200" s="12"/>
      <c r="I200" s="12"/>
      <c r="J200" s="12">
        <v>30</v>
      </c>
      <c r="K200" s="45">
        <f t="shared" si="14"/>
        <v>56</v>
      </c>
      <c r="L200" t="str">
        <f t="shared" si="10"/>
        <v>C+</v>
      </c>
      <c r="M200" t="str">
        <f t="shared" si="11"/>
        <v>Passed</v>
      </c>
    </row>
    <row r="201" spans="1:13" x14ac:dyDescent="0.3">
      <c r="A201" s="45">
        <f t="shared" si="12"/>
        <v>52</v>
      </c>
      <c r="B201" s="45" t="s">
        <v>180</v>
      </c>
      <c r="C201" s="45" t="s">
        <v>136</v>
      </c>
      <c r="D201" s="12" t="s">
        <v>1847</v>
      </c>
      <c r="E201" s="12">
        <v>8</v>
      </c>
      <c r="F201" s="12">
        <v>18</v>
      </c>
      <c r="G201" s="45">
        <f t="shared" si="13"/>
        <v>26</v>
      </c>
      <c r="H201" s="12"/>
      <c r="I201" s="12"/>
      <c r="J201" s="12">
        <v>35</v>
      </c>
      <c r="K201" s="45">
        <f t="shared" si="14"/>
        <v>61</v>
      </c>
      <c r="L201" t="str">
        <f t="shared" si="10"/>
        <v>B</v>
      </c>
      <c r="M201" t="str">
        <f t="shared" si="11"/>
        <v>Passed</v>
      </c>
    </row>
    <row r="202" spans="1:13" x14ac:dyDescent="0.3">
      <c r="A202" s="45">
        <f t="shared" si="12"/>
        <v>53</v>
      </c>
      <c r="B202" s="45" t="s">
        <v>183</v>
      </c>
      <c r="C202" s="45" t="s">
        <v>140</v>
      </c>
      <c r="D202" s="12" t="s">
        <v>1837</v>
      </c>
      <c r="E202" s="12">
        <v>9</v>
      </c>
      <c r="F202" s="12">
        <v>23</v>
      </c>
      <c r="G202" s="45">
        <f t="shared" si="13"/>
        <v>32</v>
      </c>
      <c r="H202" s="12"/>
      <c r="I202" s="12"/>
      <c r="J202" s="12">
        <v>25</v>
      </c>
      <c r="K202" s="45">
        <f t="shared" si="14"/>
        <v>57</v>
      </c>
      <c r="L202" t="str">
        <f t="shared" si="10"/>
        <v>C+</v>
      </c>
      <c r="M202" t="str">
        <f t="shared" si="11"/>
        <v>Passed</v>
      </c>
    </row>
    <row r="203" spans="1:13" x14ac:dyDescent="0.3">
      <c r="A203" s="45">
        <f t="shared" si="12"/>
        <v>54</v>
      </c>
      <c r="B203" s="45" t="s">
        <v>184</v>
      </c>
      <c r="C203" s="45" t="s">
        <v>142</v>
      </c>
      <c r="D203" s="12" t="s">
        <v>1841</v>
      </c>
      <c r="E203" s="12">
        <v>7.5</v>
      </c>
      <c r="F203" s="12">
        <v>20</v>
      </c>
      <c r="G203" s="45">
        <f t="shared" si="13"/>
        <v>27.5</v>
      </c>
      <c r="H203" s="12"/>
      <c r="I203" s="12"/>
      <c r="J203" s="12">
        <v>40</v>
      </c>
      <c r="K203" s="409">
        <f t="shared" si="14"/>
        <v>67.5</v>
      </c>
      <c r="L203" t="str">
        <f t="shared" si="10"/>
        <v>B</v>
      </c>
      <c r="M203" t="str">
        <f t="shared" si="11"/>
        <v>Passed</v>
      </c>
    </row>
    <row r="204" spans="1:13" x14ac:dyDescent="0.3">
      <c r="A204" s="314"/>
      <c r="B204" s="56"/>
      <c r="C204" s="56"/>
      <c r="D204" s="56"/>
      <c r="E204" s="56"/>
      <c r="F204" s="56"/>
      <c r="G204" s="315"/>
      <c r="H204" s="56"/>
      <c r="I204" s="56"/>
      <c r="J204" s="56"/>
      <c r="K204" s="315"/>
    </row>
    <row r="205" spans="1:13" x14ac:dyDescent="0.3">
      <c r="A205" s="314"/>
      <c r="B205" s="56"/>
      <c r="C205" s="56"/>
      <c r="D205" s="56"/>
      <c r="E205" s="56"/>
      <c r="F205" s="56"/>
      <c r="G205" s="315"/>
      <c r="H205" s="56"/>
      <c r="I205" s="56"/>
      <c r="J205" s="56"/>
      <c r="K205" s="315"/>
    </row>
    <row r="206" spans="1:13" x14ac:dyDescent="0.3">
      <c r="A206" s="314"/>
      <c r="B206" s="56"/>
      <c r="C206" s="56"/>
      <c r="D206" s="56"/>
      <c r="E206" s="56"/>
      <c r="F206" s="56"/>
      <c r="G206" s="315"/>
      <c r="H206" s="56"/>
      <c r="I206" s="56"/>
      <c r="J206" s="56"/>
      <c r="K206" s="315"/>
    </row>
    <row r="210" spans="1:15" x14ac:dyDescent="0.3">
      <c r="A210" s="450" t="s">
        <v>0</v>
      </c>
      <c r="B210" s="451"/>
      <c r="C210" s="451"/>
      <c r="D210" s="451"/>
      <c r="E210" s="451"/>
      <c r="F210" s="451"/>
      <c r="G210" s="451"/>
      <c r="H210" s="56"/>
      <c r="I210" s="56"/>
    </row>
    <row r="211" spans="1:15" x14ac:dyDescent="0.3">
      <c r="A211" s="453" t="s">
        <v>66</v>
      </c>
      <c r="B211" s="453"/>
      <c r="C211" s="453"/>
      <c r="D211" s="453"/>
      <c r="E211" s="453"/>
      <c r="F211" s="453"/>
      <c r="G211" s="453"/>
      <c r="H211" s="48"/>
      <c r="I211" s="48"/>
      <c r="J211" s="14"/>
      <c r="K211" s="14"/>
    </row>
    <row r="212" spans="1:15" x14ac:dyDescent="0.3">
      <c r="A212" s="460" t="s">
        <v>362</v>
      </c>
      <c r="B212" s="461"/>
      <c r="C212" s="461"/>
      <c r="D212" s="2"/>
      <c r="E212" s="2"/>
      <c r="F212" s="2"/>
      <c r="G212" s="2"/>
      <c r="H212" s="2"/>
      <c r="I212" s="2"/>
      <c r="J212" s="2"/>
      <c r="K212" s="2"/>
      <c r="L212" s="1"/>
      <c r="M212" s="16"/>
      <c r="N212" s="16"/>
      <c r="O212" s="13"/>
    </row>
    <row r="213" spans="1:15" x14ac:dyDescent="0.3">
      <c r="A213" s="450" t="s">
        <v>1</v>
      </c>
      <c r="B213" s="462" t="s">
        <v>38</v>
      </c>
      <c r="C213" s="462"/>
      <c r="D213" s="450"/>
      <c r="E213" s="450"/>
      <c r="F213" s="450"/>
      <c r="G213" s="450"/>
      <c r="H213" s="48"/>
      <c r="I213" s="48"/>
      <c r="J213" s="14"/>
      <c r="K213" s="14"/>
    </row>
    <row r="214" spans="1:15" x14ac:dyDescent="0.3">
      <c r="A214" s="450" t="s">
        <v>3</v>
      </c>
      <c r="B214" s="462" t="s">
        <v>73</v>
      </c>
      <c r="C214" s="462"/>
      <c r="D214" s="450"/>
      <c r="E214" s="450"/>
      <c r="F214" s="450"/>
      <c r="G214" s="450"/>
      <c r="H214" s="48"/>
      <c r="I214" s="48"/>
      <c r="J214" s="14"/>
      <c r="K214" s="14"/>
    </row>
    <row r="215" spans="1:15" x14ac:dyDescent="0.3">
      <c r="A215" s="450" t="s">
        <v>4</v>
      </c>
      <c r="B215" s="462" t="s">
        <v>74</v>
      </c>
      <c r="C215" s="462"/>
      <c r="D215" s="450"/>
      <c r="E215" s="450"/>
      <c r="F215" s="450"/>
      <c r="G215" s="450"/>
      <c r="H215" s="48"/>
      <c r="I215" s="48"/>
      <c r="J215" s="14"/>
      <c r="K215" s="14"/>
    </row>
    <row r="216" spans="1:15" x14ac:dyDescent="0.3">
      <c r="A216" s="450" t="s">
        <v>5</v>
      </c>
      <c r="B216" s="463">
        <v>3</v>
      </c>
      <c r="C216" s="463"/>
      <c r="D216" s="450"/>
      <c r="E216" s="450"/>
      <c r="F216" s="450"/>
      <c r="G216" s="450"/>
      <c r="H216" s="48"/>
      <c r="I216" s="48"/>
      <c r="J216" s="14"/>
      <c r="K216" s="14"/>
    </row>
    <row r="217" spans="1:15" x14ac:dyDescent="0.3">
      <c r="A217" s="450" t="s">
        <v>6</v>
      </c>
      <c r="B217" s="462" t="s">
        <v>423</v>
      </c>
      <c r="C217" s="462"/>
      <c r="D217" s="48"/>
      <c r="E217" s="14"/>
      <c r="F217" s="14"/>
      <c r="G217" s="14"/>
      <c r="H217" s="14"/>
      <c r="I217" s="14"/>
      <c r="J217" s="14"/>
      <c r="K217" s="14"/>
    </row>
    <row r="218" spans="1:15" x14ac:dyDescent="0.3">
      <c r="A218" s="14" t="s">
        <v>68</v>
      </c>
      <c r="B218" s="462"/>
      <c r="C218" s="462"/>
      <c r="D218" s="450"/>
      <c r="E218" s="450"/>
      <c r="F218" s="450"/>
      <c r="G218" s="450"/>
      <c r="H218" s="48"/>
      <c r="I218" s="48"/>
      <c r="J218" s="14"/>
      <c r="K218" s="14"/>
    </row>
    <row r="219" spans="1:15" x14ac:dyDescent="0.3">
      <c r="A219" s="452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t="str">
        <f t="shared" ref="L219" si="15">IF(K220&gt;=80,"A",IF(K220&gt;=70,"B+",IF(K220&gt;=60,"B",IF(K220&gt;=55,"C+",IF(K220&gt;=50,"C",IF(K220&gt;=45,"D+",IF(K220&gt;=40,"D","F")))))))</f>
        <v>A</v>
      </c>
      <c r="M219" t="str">
        <f>IF(K220&gt;=50,"Passed","Failed")</f>
        <v>Passed</v>
      </c>
    </row>
    <row r="220" spans="1:15" ht="60" x14ac:dyDescent="0.3">
      <c r="A220" s="452" t="s">
        <v>8</v>
      </c>
      <c r="B220" s="452" t="s">
        <v>9</v>
      </c>
      <c r="C220" s="452" t="s">
        <v>10</v>
      </c>
      <c r="D220" s="43" t="s">
        <v>11</v>
      </c>
      <c r="E220" s="43" t="s">
        <v>12</v>
      </c>
      <c r="F220" s="43" t="s">
        <v>13</v>
      </c>
      <c r="G220" s="43" t="s">
        <v>14</v>
      </c>
      <c r="H220" s="43" t="s">
        <v>210</v>
      </c>
      <c r="I220" s="43" t="s">
        <v>209</v>
      </c>
      <c r="J220" s="43" t="s">
        <v>15</v>
      </c>
      <c r="K220" s="43" t="s">
        <v>16</v>
      </c>
      <c r="L220" t="s">
        <v>17</v>
      </c>
      <c r="M220" t="s">
        <v>18</v>
      </c>
      <c r="N220" t="s">
        <v>19</v>
      </c>
    </row>
    <row r="221" spans="1:15" x14ac:dyDescent="0.3">
      <c r="A221" s="12"/>
      <c r="B221" s="452"/>
      <c r="C221" s="452"/>
      <c r="D221" s="452"/>
      <c r="E221" s="452"/>
      <c r="F221" s="452"/>
      <c r="G221" s="452"/>
      <c r="H221" s="452"/>
      <c r="I221" s="452"/>
      <c r="J221" s="452"/>
      <c r="K221" s="452"/>
      <c r="N221" t="s">
        <v>20</v>
      </c>
      <c r="O221">
        <f>COUNT(G222:G275)</f>
        <v>50</v>
      </c>
    </row>
    <row r="222" spans="1:15" x14ac:dyDescent="0.3">
      <c r="A222" s="12">
        <f>ROW(A1)</f>
        <v>1</v>
      </c>
      <c r="B222" s="45" t="s">
        <v>203</v>
      </c>
      <c r="C222" s="45" t="s">
        <v>92</v>
      </c>
      <c r="D222" s="12" t="s">
        <v>1912</v>
      </c>
      <c r="E222" s="12">
        <v>10</v>
      </c>
      <c r="F222" s="12">
        <v>23</v>
      </c>
      <c r="G222" s="452">
        <f t="shared" ref="G222:G275" si="16">SUM(E222:F222)</f>
        <v>33</v>
      </c>
      <c r="H222" s="12"/>
      <c r="I222" s="12"/>
      <c r="J222" s="12">
        <v>47</v>
      </c>
      <c r="K222" s="452">
        <f t="shared" ref="K222:K275" si="17">SUM(G222:J222)</f>
        <v>80</v>
      </c>
      <c r="L222" t="str">
        <f t="shared" ref="L222:L275" si="18">IF(K222&gt;=80,"A",IF(K222&gt;=70,"B+",IF(K222&gt;=60,"B",IF(K222&gt;=55,"C+",IF(K222&gt;=50,"C",IF(K222&gt;=45,"D+",IF(K222&gt;=40,"D","F")))))))</f>
        <v>A</v>
      </c>
      <c r="M222" t="str">
        <f t="shared" ref="M222:M275" si="19">IF(K222&gt;=50,"Passed","Failed")</f>
        <v>Passed</v>
      </c>
      <c r="N222" t="s">
        <v>21</v>
      </c>
      <c r="O222">
        <f>COUNT(J222:J275)</f>
        <v>49</v>
      </c>
    </row>
    <row r="223" spans="1:15" x14ac:dyDescent="0.3">
      <c r="A223" s="12">
        <f t="shared" ref="A223:A275" si="20">ROW(A2)</f>
        <v>2</v>
      </c>
      <c r="B223" s="45" t="s">
        <v>145</v>
      </c>
      <c r="C223" s="45" t="s">
        <v>93</v>
      </c>
      <c r="D223" s="12" t="s">
        <v>1889</v>
      </c>
      <c r="E223" s="12">
        <v>9</v>
      </c>
      <c r="F223" s="12">
        <v>21</v>
      </c>
      <c r="G223" s="452">
        <f t="shared" si="16"/>
        <v>30</v>
      </c>
      <c r="H223" s="12"/>
      <c r="I223" s="12"/>
      <c r="J223" s="12">
        <v>19</v>
      </c>
      <c r="K223" s="452">
        <f t="shared" si="17"/>
        <v>49</v>
      </c>
      <c r="L223" t="str">
        <f t="shared" si="18"/>
        <v>D+</v>
      </c>
      <c r="M223" t="str">
        <f t="shared" si="19"/>
        <v>Failed</v>
      </c>
      <c r="N223" t="s">
        <v>22</v>
      </c>
      <c r="O223">
        <f>O221-O222</f>
        <v>1</v>
      </c>
    </row>
    <row r="224" spans="1:15" x14ac:dyDescent="0.3">
      <c r="A224" s="12">
        <f t="shared" si="20"/>
        <v>3</v>
      </c>
      <c r="B224" s="45" t="s">
        <v>149</v>
      </c>
      <c r="C224" s="45" t="s">
        <v>97</v>
      </c>
      <c r="D224" s="12" t="s">
        <v>1915</v>
      </c>
      <c r="E224" s="12">
        <v>10</v>
      </c>
      <c r="F224" s="12">
        <v>33</v>
      </c>
      <c r="G224" s="452">
        <f t="shared" si="16"/>
        <v>43</v>
      </c>
      <c r="H224" s="12"/>
      <c r="I224" s="12"/>
      <c r="J224" s="12">
        <v>45</v>
      </c>
      <c r="K224" s="452">
        <f t="shared" si="17"/>
        <v>88</v>
      </c>
      <c r="L224" t="str">
        <f t="shared" si="18"/>
        <v>A</v>
      </c>
      <c r="M224" t="str">
        <f t="shared" si="19"/>
        <v>Passed</v>
      </c>
      <c r="N224" t="s">
        <v>23</v>
      </c>
      <c r="O224">
        <f>COUNTIF(M222:M275,"Passed")</f>
        <v>37</v>
      </c>
    </row>
    <row r="225" spans="1:22" x14ac:dyDescent="0.3">
      <c r="A225" s="12">
        <f t="shared" si="20"/>
        <v>4</v>
      </c>
      <c r="B225" s="45" t="s">
        <v>152</v>
      </c>
      <c r="C225" s="45" t="s">
        <v>100</v>
      </c>
      <c r="D225" s="12" t="s">
        <v>1877</v>
      </c>
      <c r="E225" s="12">
        <v>8</v>
      </c>
      <c r="F225" s="12">
        <v>20</v>
      </c>
      <c r="G225" s="452">
        <f t="shared" si="16"/>
        <v>28</v>
      </c>
      <c r="H225" s="12"/>
      <c r="I225" s="12"/>
      <c r="J225" s="12">
        <v>26</v>
      </c>
      <c r="K225" s="452">
        <f t="shared" si="17"/>
        <v>54</v>
      </c>
      <c r="L225" t="str">
        <f t="shared" si="18"/>
        <v>C</v>
      </c>
      <c r="M225" t="str">
        <f t="shared" si="19"/>
        <v>Passed</v>
      </c>
      <c r="N225" t="s">
        <v>24</v>
      </c>
      <c r="O225" s="179">
        <f>O224/O222%</f>
        <v>75.510204081632651</v>
      </c>
    </row>
    <row r="226" spans="1:22" x14ac:dyDescent="0.3">
      <c r="A226" s="12">
        <f t="shared" si="20"/>
        <v>5</v>
      </c>
      <c r="B226" s="45" t="s">
        <v>156</v>
      </c>
      <c r="C226" s="45" t="s">
        <v>104</v>
      </c>
      <c r="D226" s="12" t="s">
        <v>1916</v>
      </c>
      <c r="E226" s="12">
        <v>10</v>
      </c>
      <c r="F226" s="12">
        <v>22</v>
      </c>
      <c r="G226" s="452">
        <f t="shared" si="16"/>
        <v>32</v>
      </c>
      <c r="H226" s="12"/>
      <c r="I226" s="12"/>
      <c r="J226" s="12">
        <v>55</v>
      </c>
      <c r="K226" s="452">
        <f t="shared" si="17"/>
        <v>87</v>
      </c>
      <c r="L226" t="str">
        <f t="shared" si="18"/>
        <v>A</v>
      </c>
      <c r="M226" t="str">
        <f t="shared" si="19"/>
        <v>Passed</v>
      </c>
      <c r="N226" t="s">
        <v>25</v>
      </c>
      <c r="O226">
        <f>COUNTIF(M222:M275,"failed")</f>
        <v>12</v>
      </c>
    </row>
    <row r="227" spans="1:22" x14ac:dyDescent="0.3">
      <c r="A227" s="12">
        <f t="shared" si="20"/>
        <v>6</v>
      </c>
      <c r="B227" s="45" t="s">
        <v>160</v>
      </c>
      <c r="C227" s="45" t="s">
        <v>109</v>
      </c>
      <c r="D227" s="12" t="s">
        <v>1914</v>
      </c>
      <c r="E227" s="12">
        <v>10</v>
      </c>
      <c r="F227" s="12">
        <v>20</v>
      </c>
      <c r="G227" s="452">
        <f t="shared" si="16"/>
        <v>30</v>
      </c>
      <c r="H227" s="12"/>
      <c r="I227" s="12"/>
      <c r="J227" s="12">
        <v>53</v>
      </c>
      <c r="K227" s="452">
        <f t="shared" si="17"/>
        <v>83</v>
      </c>
      <c r="L227" t="str">
        <f t="shared" si="18"/>
        <v>A</v>
      </c>
      <c r="M227" t="str">
        <f t="shared" si="19"/>
        <v>Passed</v>
      </c>
      <c r="N227" t="s">
        <v>26</v>
      </c>
      <c r="O227" s="179">
        <f>O226/O222%</f>
        <v>24.489795918367346</v>
      </c>
    </row>
    <row r="228" spans="1:22" x14ac:dyDescent="0.3">
      <c r="A228" s="12">
        <f t="shared" si="20"/>
        <v>7</v>
      </c>
      <c r="B228" s="45" t="s">
        <v>207</v>
      </c>
      <c r="C228" s="45" t="s">
        <v>110</v>
      </c>
      <c r="D228" s="12" t="s">
        <v>1870</v>
      </c>
      <c r="E228" s="12"/>
      <c r="F228" s="12"/>
      <c r="G228" s="452"/>
      <c r="H228" s="12"/>
      <c r="I228" s="12"/>
      <c r="J228" s="12"/>
      <c r="K228" s="452"/>
      <c r="N228" t="s">
        <v>27</v>
      </c>
      <c r="O228" s="180">
        <f>AVERAGE(K222:K275)</f>
        <v>61.795918367346935</v>
      </c>
    </row>
    <row r="229" spans="1:22" x14ac:dyDescent="0.3">
      <c r="A229" s="12">
        <f t="shared" si="20"/>
        <v>8</v>
      </c>
      <c r="B229" s="45" t="s">
        <v>163</v>
      </c>
      <c r="C229" s="45" t="s">
        <v>113</v>
      </c>
      <c r="D229" s="12" t="s">
        <v>1895</v>
      </c>
      <c r="E229" s="12">
        <v>10</v>
      </c>
      <c r="F229" s="12">
        <v>22</v>
      </c>
      <c r="G229" s="452">
        <f t="shared" si="16"/>
        <v>32</v>
      </c>
      <c r="H229" s="12"/>
      <c r="I229" s="12"/>
      <c r="J229" s="12">
        <v>54</v>
      </c>
      <c r="K229" s="452">
        <f t="shared" si="17"/>
        <v>86</v>
      </c>
      <c r="L229" t="str">
        <f t="shared" si="18"/>
        <v>A</v>
      </c>
      <c r="M229" t="str">
        <f t="shared" si="19"/>
        <v>Passed</v>
      </c>
    </row>
    <row r="230" spans="1:22" x14ac:dyDescent="0.3">
      <c r="A230" s="12">
        <f t="shared" si="20"/>
        <v>9</v>
      </c>
      <c r="B230" s="45" t="s">
        <v>480</v>
      </c>
      <c r="C230" s="45" t="s">
        <v>115</v>
      </c>
      <c r="D230" s="12" t="s">
        <v>1876</v>
      </c>
      <c r="E230" s="12">
        <v>10</v>
      </c>
      <c r="F230" s="12">
        <v>22</v>
      </c>
      <c r="G230" s="452">
        <f t="shared" si="16"/>
        <v>32</v>
      </c>
      <c r="H230" s="12"/>
      <c r="I230" s="12"/>
      <c r="J230" s="12">
        <v>49</v>
      </c>
      <c r="K230" s="452">
        <f t="shared" si="17"/>
        <v>81</v>
      </c>
      <c r="L230" t="str">
        <f t="shared" si="18"/>
        <v>A</v>
      </c>
      <c r="M230" t="str">
        <f t="shared" si="19"/>
        <v>Passed</v>
      </c>
    </row>
    <row r="231" spans="1:22" x14ac:dyDescent="0.3">
      <c r="A231" s="12">
        <f t="shared" si="20"/>
        <v>10</v>
      </c>
      <c r="B231" s="45" t="s">
        <v>200</v>
      </c>
      <c r="C231" s="45" t="s">
        <v>119</v>
      </c>
      <c r="D231" s="12" t="s">
        <v>1904</v>
      </c>
      <c r="E231" s="12">
        <v>8</v>
      </c>
      <c r="F231" s="12">
        <v>20</v>
      </c>
      <c r="G231" s="452">
        <f t="shared" si="16"/>
        <v>28</v>
      </c>
      <c r="H231" s="12"/>
      <c r="I231" s="12"/>
      <c r="J231" s="12">
        <v>19</v>
      </c>
      <c r="K231" s="452">
        <f t="shared" si="17"/>
        <v>47</v>
      </c>
      <c r="L231" t="str">
        <f t="shared" si="18"/>
        <v>D+</v>
      </c>
      <c r="M231" t="str">
        <f t="shared" si="19"/>
        <v>Failed</v>
      </c>
    </row>
    <row r="232" spans="1:22" x14ac:dyDescent="0.3">
      <c r="A232" s="12">
        <f t="shared" si="20"/>
        <v>11</v>
      </c>
      <c r="B232" s="45" t="s">
        <v>205</v>
      </c>
      <c r="C232" s="45" t="s">
        <v>120</v>
      </c>
      <c r="D232" s="12" t="s">
        <v>1870</v>
      </c>
      <c r="E232" s="12"/>
      <c r="F232" s="12"/>
      <c r="G232" s="452"/>
      <c r="H232" s="12"/>
      <c r="I232" s="12"/>
      <c r="J232" s="12"/>
      <c r="K232" s="452"/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 t="s">
        <v>33</v>
      </c>
      <c r="U232" t="s">
        <v>34</v>
      </c>
      <c r="V232" t="s">
        <v>35</v>
      </c>
    </row>
    <row r="233" spans="1:22" x14ac:dyDescent="0.3">
      <c r="A233" s="12">
        <f t="shared" si="20"/>
        <v>12</v>
      </c>
      <c r="B233" s="45" t="s">
        <v>168</v>
      </c>
      <c r="C233" s="45" t="s">
        <v>121</v>
      </c>
      <c r="D233" s="12" t="s">
        <v>1873</v>
      </c>
      <c r="E233" s="12">
        <v>8</v>
      </c>
      <c r="F233" s="12">
        <v>20</v>
      </c>
      <c r="G233" s="452">
        <f t="shared" si="16"/>
        <v>28</v>
      </c>
      <c r="H233" s="12"/>
      <c r="I233" s="12"/>
      <c r="J233" s="12">
        <v>38</v>
      </c>
      <c r="K233" s="452">
        <f t="shared" si="17"/>
        <v>66</v>
      </c>
      <c r="L233" t="str">
        <f t="shared" si="18"/>
        <v>B</v>
      </c>
      <c r="M233" t="str">
        <f t="shared" si="19"/>
        <v>Passed</v>
      </c>
      <c r="O233">
        <f>COUNTIF(L222:L275,"A")</f>
        <v>9</v>
      </c>
      <c r="P233">
        <f>COUNTIF(L222:L275,"B+")</f>
        <v>4</v>
      </c>
      <c r="Q233">
        <f>COUNTIF(L222:L275,"B")</f>
        <v>19</v>
      </c>
      <c r="R233">
        <f>COUNTIF(L222:L275,"C+")</f>
        <v>2</v>
      </c>
      <c r="S233">
        <f>COUNTIF(L222:L275,"C")</f>
        <v>3</v>
      </c>
      <c r="T233">
        <f>COUNTIF(L222:L275,"D+")</f>
        <v>4</v>
      </c>
      <c r="U233">
        <f>COUNTIF(L222:L275,"D")</f>
        <v>4</v>
      </c>
      <c r="V233">
        <f>COUNTIF(L222:L275,"F")</f>
        <v>4</v>
      </c>
    </row>
    <row r="234" spans="1:22" x14ac:dyDescent="0.3">
      <c r="A234" s="12">
        <f t="shared" si="20"/>
        <v>13</v>
      </c>
      <c r="B234" s="45" t="s">
        <v>170</v>
      </c>
      <c r="C234" s="45" t="s">
        <v>124</v>
      </c>
      <c r="D234" s="12" t="s">
        <v>1899</v>
      </c>
      <c r="E234" s="12">
        <v>10</v>
      </c>
      <c r="F234" s="12">
        <v>15</v>
      </c>
      <c r="G234" s="452">
        <f t="shared" si="16"/>
        <v>25</v>
      </c>
      <c r="H234" s="12"/>
      <c r="I234" s="12"/>
      <c r="J234" s="12">
        <v>39</v>
      </c>
      <c r="K234" s="452">
        <f t="shared" si="17"/>
        <v>64</v>
      </c>
      <c r="L234" t="str">
        <f t="shared" si="18"/>
        <v>B</v>
      </c>
      <c r="M234" t="str">
        <f t="shared" si="19"/>
        <v>Passed</v>
      </c>
    </row>
    <row r="235" spans="1:22" x14ac:dyDescent="0.3">
      <c r="A235" s="12">
        <f t="shared" si="20"/>
        <v>14</v>
      </c>
      <c r="B235" s="45" t="s">
        <v>172</v>
      </c>
      <c r="C235" s="45" t="s">
        <v>126</v>
      </c>
      <c r="D235" s="12" t="s">
        <v>1878</v>
      </c>
      <c r="E235" s="12">
        <v>10</v>
      </c>
      <c r="F235" s="12">
        <v>20</v>
      </c>
      <c r="G235" s="452">
        <f t="shared" si="16"/>
        <v>30</v>
      </c>
      <c r="H235" s="12"/>
      <c r="I235" s="12"/>
      <c r="J235" s="12">
        <v>44</v>
      </c>
      <c r="K235" s="452">
        <f t="shared" si="17"/>
        <v>74</v>
      </c>
      <c r="L235" t="str">
        <f t="shared" si="18"/>
        <v>B+</v>
      </c>
      <c r="M235" t="str">
        <f t="shared" si="19"/>
        <v>Passed</v>
      </c>
    </row>
    <row r="236" spans="1:22" x14ac:dyDescent="0.3">
      <c r="A236" s="12">
        <f t="shared" si="20"/>
        <v>15</v>
      </c>
      <c r="B236" s="45" t="s">
        <v>173</v>
      </c>
      <c r="C236" s="45" t="s">
        <v>127</v>
      </c>
      <c r="D236" s="12" t="s">
        <v>1887</v>
      </c>
      <c r="E236" s="12">
        <v>10</v>
      </c>
      <c r="F236" s="12">
        <v>23</v>
      </c>
      <c r="G236" s="452">
        <f t="shared" si="16"/>
        <v>33</v>
      </c>
      <c r="H236" s="12"/>
      <c r="I236" s="12"/>
      <c r="J236" s="12">
        <v>39</v>
      </c>
      <c r="K236" s="452">
        <f t="shared" si="17"/>
        <v>72</v>
      </c>
      <c r="L236" t="str">
        <f t="shared" si="18"/>
        <v>B+</v>
      </c>
      <c r="M236" t="str">
        <f t="shared" si="19"/>
        <v>Passed</v>
      </c>
    </row>
    <row r="237" spans="1:22" x14ac:dyDescent="0.3">
      <c r="A237" s="12">
        <f t="shared" si="20"/>
        <v>16</v>
      </c>
      <c r="B237" s="45" t="s">
        <v>175</v>
      </c>
      <c r="C237" s="45" t="s">
        <v>131</v>
      </c>
      <c r="D237" s="12" t="s">
        <v>1919</v>
      </c>
      <c r="E237" s="12">
        <v>9</v>
      </c>
      <c r="F237" s="12">
        <v>25</v>
      </c>
      <c r="G237" s="452">
        <f t="shared" si="16"/>
        <v>34</v>
      </c>
      <c r="H237" s="12"/>
      <c r="I237" s="12"/>
      <c r="J237" s="12">
        <v>52</v>
      </c>
      <c r="K237" s="452">
        <f t="shared" si="17"/>
        <v>86</v>
      </c>
      <c r="L237" t="str">
        <f t="shared" si="18"/>
        <v>A</v>
      </c>
      <c r="M237" t="str">
        <f t="shared" si="19"/>
        <v>Passed</v>
      </c>
    </row>
    <row r="238" spans="1:22" x14ac:dyDescent="0.3">
      <c r="A238" s="12">
        <f t="shared" si="20"/>
        <v>17</v>
      </c>
      <c r="B238" s="277" t="s">
        <v>178</v>
      </c>
      <c r="C238" s="45" t="s">
        <v>133</v>
      </c>
      <c r="D238" s="12" t="s">
        <v>1910</v>
      </c>
      <c r="E238" s="12">
        <v>10</v>
      </c>
      <c r="F238" s="12">
        <v>25</v>
      </c>
      <c r="G238" s="452">
        <f t="shared" si="16"/>
        <v>35</v>
      </c>
      <c r="H238" s="12"/>
      <c r="I238" s="12"/>
      <c r="J238" s="12">
        <v>46</v>
      </c>
      <c r="K238" s="452">
        <f t="shared" si="17"/>
        <v>81</v>
      </c>
      <c r="L238" t="str">
        <f t="shared" si="18"/>
        <v>A</v>
      </c>
      <c r="M238" t="str">
        <f t="shared" si="19"/>
        <v>Passed</v>
      </c>
    </row>
    <row r="239" spans="1:22" x14ac:dyDescent="0.3">
      <c r="A239" s="12">
        <f t="shared" si="20"/>
        <v>18</v>
      </c>
      <c r="B239" s="45" t="s">
        <v>534</v>
      </c>
      <c r="C239" s="303" t="s">
        <v>363</v>
      </c>
      <c r="D239" s="12" t="s">
        <v>1890</v>
      </c>
      <c r="E239" s="12">
        <v>4</v>
      </c>
      <c r="F239" s="12">
        <v>15</v>
      </c>
      <c r="G239" s="452">
        <f t="shared" si="16"/>
        <v>19</v>
      </c>
      <c r="H239" s="12"/>
      <c r="I239" s="12"/>
      <c r="J239" s="12">
        <v>2</v>
      </c>
      <c r="K239" s="452">
        <f t="shared" si="17"/>
        <v>21</v>
      </c>
      <c r="L239" t="str">
        <f t="shared" si="18"/>
        <v>F</v>
      </c>
      <c r="M239" t="str">
        <f t="shared" si="19"/>
        <v>Failed</v>
      </c>
    </row>
    <row r="240" spans="1:22" x14ac:dyDescent="0.3">
      <c r="A240" s="12">
        <f t="shared" si="20"/>
        <v>19</v>
      </c>
      <c r="B240" s="389" t="s">
        <v>144</v>
      </c>
      <c r="C240" s="304" t="s">
        <v>137</v>
      </c>
      <c r="D240" s="12" t="s">
        <v>1902</v>
      </c>
      <c r="E240" s="12">
        <v>8</v>
      </c>
      <c r="F240" s="12">
        <v>18</v>
      </c>
      <c r="G240" s="452">
        <f t="shared" si="16"/>
        <v>26</v>
      </c>
      <c r="H240" s="12"/>
      <c r="I240" s="12"/>
      <c r="J240" s="12">
        <v>18</v>
      </c>
      <c r="K240" s="452">
        <f t="shared" si="17"/>
        <v>44</v>
      </c>
      <c r="L240" t="str">
        <f t="shared" si="18"/>
        <v>D</v>
      </c>
      <c r="M240" t="str">
        <f t="shared" si="19"/>
        <v>Failed</v>
      </c>
    </row>
    <row r="241" spans="1:13" x14ac:dyDescent="0.3">
      <c r="A241" s="12">
        <f t="shared" si="20"/>
        <v>20</v>
      </c>
      <c r="B241" s="390" t="s">
        <v>204</v>
      </c>
      <c r="C241" s="390" t="s">
        <v>138</v>
      </c>
      <c r="D241" s="12" t="s">
        <v>1891</v>
      </c>
      <c r="E241" s="12">
        <v>10</v>
      </c>
      <c r="F241" s="12">
        <v>20</v>
      </c>
      <c r="G241" s="452">
        <f t="shared" si="16"/>
        <v>30</v>
      </c>
      <c r="H241" s="12"/>
      <c r="I241" s="12"/>
      <c r="J241" s="12">
        <v>36</v>
      </c>
      <c r="K241" s="452">
        <f t="shared" si="17"/>
        <v>66</v>
      </c>
      <c r="L241" t="str">
        <f t="shared" si="18"/>
        <v>B</v>
      </c>
      <c r="M241" t="str">
        <f t="shared" si="19"/>
        <v>Passed</v>
      </c>
    </row>
    <row r="242" spans="1:13" x14ac:dyDescent="0.3">
      <c r="A242" s="12">
        <f t="shared" si="20"/>
        <v>21</v>
      </c>
      <c r="B242" s="305" t="s">
        <v>181</v>
      </c>
      <c r="C242" s="45" t="s">
        <v>139</v>
      </c>
      <c r="D242" s="12" t="s">
        <v>1892</v>
      </c>
      <c r="E242" s="12">
        <v>10</v>
      </c>
      <c r="F242" s="12">
        <v>21</v>
      </c>
      <c r="G242" s="452">
        <f t="shared" si="16"/>
        <v>31</v>
      </c>
      <c r="H242" s="12"/>
      <c r="I242" s="12"/>
      <c r="J242" s="12">
        <v>33</v>
      </c>
      <c r="K242" s="452">
        <f t="shared" si="17"/>
        <v>64</v>
      </c>
      <c r="L242" t="str">
        <f t="shared" si="18"/>
        <v>B</v>
      </c>
      <c r="M242" t="str">
        <f t="shared" si="19"/>
        <v>Passed</v>
      </c>
    </row>
    <row r="243" spans="1:13" x14ac:dyDescent="0.3">
      <c r="A243" s="12">
        <f t="shared" si="20"/>
        <v>22</v>
      </c>
      <c r="B243" s="391" t="s">
        <v>201</v>
      </c>
      <c r="C243" s="45" t="s">
        <v>141</v>
      </c>
      <c r="D243" s="12" t="s">
        <v>1872</v>
      </c>
      <c r="E243" s="12">
        <v>10</v>
      </c>
      <c r="F243" s="12">
        <v>18</v>
      </c>
      <c r="G243" s="452">
        <f t="shared" si="16"/>
        <v>28</v>
      </c>
      <c r="H243" s="12"/>
      <c r="I243" s="12"/>
      <c r="J243" s="12">
        <v>40</v>
      </c>
      <c r="K243" s="452">
        <f t="shared" si="17"/>
        <v>68</v>
      </c>
      <c r="L243" t="str">
        <f t="shared" si="18"/>
        <v>B</v>
      </c>
      <c r="M243" t="str">
        <f t="shared" si="19"/>
        <v>Passed</v>
      </c>
    </row>
    <row r="244" spans="1:13" x14ac:dyDescent="0.3">
      <c r="A244" s="12">
        <f t="shared" si="20"/>
        <v>23</v>
      </c>
      <c r="B244" s="45" t="s">
        <v>176</v>
      </c>
      <c r="C244" s="45" t="s">
        <v>481</v>
      </c>
      <c r="D244" s="12" t="s">
        <v>1911</v>
      </c>
      <c r="E244" s="12">
        <v>8</v>
      </c>
      <c r="F244" s="12">
        <v>18</v>
      </c>
      <c r="G244" s="452">
        <f t="shared" si="16"/>
        <v>26</v>
      </c>
      <c r="H244" s="12"/>
      <c r="I244" s="12"/>
      <c r="J244" s="12">
        <v>34</v>
      </c>
      <c r="K244" s="452">
        <f t="shared" si="17"/>
        <v>60</v>
      </c>
      <c r="L244" t="str">
        <f t="shared" si="18"/>
        <v>B</v>
      </c>
      <c r="M244" t="str">
        <f t="shared" si="19"/>
        <v>Passed</v>
      </c>
    </row>
    <row r="245" spans="1:13" x14ac:dyDescent="0.3">
      <c r="A245" s="12">
        <f t="shared" si="20"/>
        <v>24</v>
      </c>
      <c r="B245" s="12" t="s">
        <v>148</v>
      </c>
      <c r="C245" s="12" t="s">
        <v>96</v>
      </c>
      <c r="D245" s="12" t="s">
        <v>1903</v>
      </c>
      <c r="E245" s="12">
        <v>10</v>
      </c>
      <c r="F245" s="12">
        <v>20</v>
      </c>
      <c r="G245" s="452">
        <f t="shared" si="16"/>
        <v>30</v>
      </c>
      <c r="H245" s="12"/>
      <c r="I245" s="12"/>
      <c r="J245" s="12">
        <v>38</v>
      </c>
      <c r="K245" s="452">
        <f t="shared" si="17"/>
        <v>68</v>
      </c>
      <c r="L245" t="str">
        <f t="shared" si="18"/>
        <v>B</v>
      </c>
      <c r="M245" t="str">
        <f t="shared" si="19"/>
        <v>Passed</v>
      </c>
    </row>
    <row r="246" spans="1:13" x14ac:dyDescent="0.3">
      <c r="A246" s="12">
        <f t="shared" si="20"/>
        <v>25</v>
      </c>
      <c r="B246" s="12" t="s">
        <v>153</v>
      </c>
      <c r="C246" s="12" t="s">
        <v>101</v>
      </c>
      <c r="D246" s="12" t="s">
        <v>1880</v>
      </c>
      <c r="E246" s="12">
        <v>6</v>
      </c>
      <c r="F246" s="12">
        <v>20</v>
      </c>
      <c r="G246" s="452">
        <f t="shared" si="16"/>
        <v>26</v>
      </c>
      <c r="H246" s="12"/>
      <c r="I246" s="12"/>
      <c r="J246" s="12">
        <v>14</v>
      </c>
      <c r="K246" s="452">
        <f t="shared" si="17"/>
        <v>40</v>
      </c>
      <c r="L246" t="str">
        <f t="shared" si="18"/>
        <v>D</v>
      </c>
      <c r="M246" t="str">
        <f t="shared" si="19"/>
        <v>Failed</v>
      </c>
    </row>
    <row r="247" spans="1:13" x14ac:dyDescent="0.3">
      <c r="A247" s="12">
        <f t="shared" si="20"/>
        <v>26</v>
      </c>
      <c r="B247" s="12" t="s">
        <v>154</v>
      </c>
      <c r="C247" s="12" t="s">
        <v>102</v>
      </c>
      <c r="D247" s="12" t="s">
        <v>1901</v>
      </c>
      <c r="E247" s="12">
        <v>8</v>
      </c>
      <c r="F247" s="12">
        <v>20</v>
      </c>
      <c r="G247" s="452">
        <f t="shared" si="16"/>
        <v>28</v>
      </c>
      <c r="H247" s="12"/>
      <c r="I247" s="12"/>
      <c r="J247" s="12">
        <v>4</v>
      </c>
      <c r="K247" s="452">
        <f t="shared" si="17"/>
        <v>32</v>
      </c>
      <c r="L247" t="str">
        <f t="shared" si="18"/>
        <v>F</v>
      </c>
      <c r="M247" t="str">
        <f t="shared" si="19"/>
        <v>Failed</v>
      </c>
    </row>
    <row r="248" spans="1:13" x14ac:dyDescent="0.3">
      <c r="A248" s="12">
        <f t="shared" si="20"/>
        <v>27</v>
      </c>
      <c r="B248" s="12" t="s">
        <v>162</v>
      </c>
      <c r="C248" s="12" t="s">
        <v>112</v>
      </c>
      <c r="D248" s="12" t="s">
        <v>1913</v>
      </c>
      <c r="E248" s="12">
        <v>8</v>
      </c>
      <c r="F248" s="12">
        <v>24</v>
      </c>
      <c r="G248" s="452">
        <f t="shared" si="16"/>
        <v>32</v>
      </c>
      <c r="H248" s="12"/>
      <c r="I248" s="12"/>
      <c r="J248" s="12">
        <v>32</v>
      </c>
      <c r="K248" s="452">
        <f t="shared" si="17"/>
        <v>64</v>
      </c>
      <c r="L248" t="str">
        <f t="shared" si="18"/>
        <v>B</v>
      </c>
      <c r="M248" t="str">
        <f t="shared" si="19"/>
        <v>Passed</v>
      </c>
    </row>
    <row r="249" spans="1:13" x14ac:dyDescent="0.3">
      <c r="A249" s="12">
        <f t="shared" si="20"/>
        <v>28</v>
      </c>
      <c r="B249" s="12" t="s">
        <v>164</v>
      </c>
      <c r="C249" s="12" t="s">
        <v>114</v>
      </c>
      <c r="D249" s="12" t="s">
        <v>1896</v>
      </c>
      <c r="E249" s="12">
        <v>9</v>
      </c>
      <c r="F249" s="12">
        <v>18</v>
      </c>
      <c r="G249" s="452">
        <f t="shared" si="16"/>
        <v>27</v>
      </c>
      <c r="H249" s="12"/>
      <c r="I249" s="12"/>
      <c r="J249" s="12">
        <v>34</v>
      </c>
      <c r="K249" s="452">
        <f t="shared" si="17"/>
        <v>61</v>
      </c>
      <c r="L249" t="str">
        <f t="shared" si="18"/>
        <v>B</v>
      </c>
      <c r="M249" t="str">
        <f t="shared" si="19"/>
        <v>Passed</v>
      </c>
    </row>
    <row r="250" spans="1:13" x14ac:dyDescent="0.3">
      <c r="A250" s="12">
        <f t="shared" si="20"/>
        <v>29</v>
      </c>
      <c r="B250" s="60" t="s">
        <v>165</v>
      </c>
      <c r="C250" s="12" t="s">
        <v>116</v>
      </c>
      <c r="D250" s="12" t="s">
        <v>1875</v>
      </c>
      <c r="E250" s="12">
        <v>10</v>
      </c>
      <c r="F250" s="12">
        <v>20</v>
      </c>
      <c r="G250" s="452">
        <f t="shared" si="16"/>
        <v>30</v>
      </c>
      <c r="H250" s="12"/>
      <c r="I250" s="12"/>
      <c r="J250" s="12">
        <v>54</v>
      </c>
      <c r="K250" s="452">
        <f t="shared" si="17"/>
        <v>84</v>
      </c>
      <c r="L250" t="str">
        <f t="shared" si="18"/>
        <v>A</v>
      </c>
      <c r="M250" t="str">
        <f t="shared" si="19"/>
        <v>Passed</v>
      </c>
    </row>
    <row r="251" spans="1:13" x14ac:dyDescent="0.3">
      <c r="A251" s="12">
        <f t="shared" si="20"/>
        <v>30</v>
      </c>
      <c r="B251" s="12" t="s">
        <v>206</v>
      </c>
      <c r="C251" s="12" t="s">
        <v>123</v>
      </c>
      <c r="D251" s="12" t="s">
        <v>1906</v>
      </c>
      <c r="E251" s="12">
        <v>10</v>
      </c>
      <c r="F251" s="12">
        <v>21</v>
      </c>
      <c r="G251" s="452">
        <f t="shared" si="16"/>
        <v>31</v>
      </c>
      <c r="H251" s="12"/>
      <c r="I251" s="12"/>
      <c r="J251" s="12">
        <v>34</v>
      </c>
      <c r="K251" s="452">
        <f t="shared" si="17"/>
        <v>65</v>
      </c>
      <c r="L251" t="str">
        <f t="shared" si="18"/>
        <v>B</v>
      </c>
      <c r="M251" t="str">
        <f t="shared" si="19"/>
        <v>Passed</v>
      </c>
    </row>
    <row r="252" spans="1:13" x14ac:dyDescent="0.3">
      <c r="A252" s="12">
        <f t="shared" si="20"/>
        <v>31</v>
      </c>
      <c r="B252" s="12" t="s">
        <v>202</v>
      </c>
      <c r="C252" s="12" t="s">
        <v>135</v>
      </c>
      <c r="D252" s="12" t="s">
        <v>1907</v>
      </c>
      <c r="E252" s="12">
        <v>8</v>
      </c>
      <c r="F252" s="12">
        <v>21</v>
      </c>
      <c r="G252" s="452">
        <f t="shared" si="16"/>
        <v>29</v>
      </c>
      <c r="H252" s="12"/>
      <c r="I252" s="12"/>
      <c r="J252" s="12">
        <v>34</v>
      </c>
      <c r="K252" s="452">
        <f t="shared" si="17"/>
        <v>63</v>
      </c>
      <c r="L252" t="str">
        <f t="shared" si="18"/>
        <v>B</v>
      </c>
      <c r="M252" t="str">
        <f t="shared" si="19"/>
        <v>Passed</v>
      </c>
    </row>
    <row r="253" spans="1:13" x14ac:dyDescent="0.3">
      <c r="A253" s="12">
        <f t="shared" si="20"/>
        <v>32</v>
      </c>
      <c r="B253" s="12" t="s">
        <v>1249</v>
      </c>
      <c r="C253" s="12" t="s">
        <v>422</v>
      </c>
      <c r="D253" s="12" t="s">
        <v>1884</v>
      </c>
      <c r="E253" s="12">
        <v>8</v>
      </c>
      <c r="F253" s="12">
        <v>20</v>
      </c>
      <c r="G253" s="452">
        <f t="shared" si="16"/>
        <v>28</v>
      </c>
      <c r="H253" s="12"/>
      <c r="I253" s="12"/>
      <c r="J253" s="12">
        <v>31</v>
      </c>
      <c r="K253" s="452">
        <f t="shared" si="17"/>
        <v>59</v>
      </c>
      <c r="L253" t="str">
        <f t="shared" si="18"/>
        <v>C+</v>
      </c>
      <c r="M253" t="str">
        <f t="shared" si="19"/>
        <v>Passed</v>
      </c>
    </row>
    <row r="254" spans="1:13" x14ac:dyDescent="0.3">
      <c r="A254" s="12">
        <f t="shared" si="20"/>
        <v>33</v>
      </c>
      <c r="B254" s="45" t="s">
        <v>150</v>
      </c>
      <c r="C254" s="45" t="s">
        <v>98</v>
      </c>
      <c r="D254" s="12" t="s">
        <v>1897</v>
      </c>
      <c r="E254" s="12">
        <v>10</v>
      </c>
      <c r="F254" s="12">
        <v>19</v>
      </c>
      <c r="G254" s="452">
        <f t="shared" si="16"/>
        <v>29</v>
      </c>
      <c r="H254" s="12"/>
      <c r="I254" s="12"/>
      <c r="J254" s="12">
        <v>32</v>
      </c>
      <c r="K254" s="452">
        <f t="shared" si="17"/>
        <v>61</v>
      </c>
      <c r="L254" t="str">
        <f t="shared" si="18"/>
        <v>B</v>
      </c>
      <c r="M254" t="str">
        <f t="shared" si="19"/>
        <v>Passed</v>
      </c>
    </row>
    <row r="255" spans="1:13" x14ac:dyDescent="0.3">
      <c r="A255" s="12">
        <f t="shared" si="20"/>
        <v>34</v>
      </c>
      <c r="B255" s="45" t="s">
        <v>151</v>
      </c>
      <c r="C255" s="45" t="s">
        <v>99</v>
      </c>
      <c r="D255" s="12" t="s">
        <v>1888</v>
      </c>
      <c r="E255" s="12">
        <v>8</v>
      </c>
      <c r="F255" s="12">
        <v>21</v>
      </c>
      <c r="G255" s="452">
        <f t="shared" si="16"/>
        <v>29</v>
      </c>
      <c r="H255" s="12"/>
      <c r="I255" s="12"/>
      <c r="J255" s="12">
        <v>3</v>
      </c>
      <c r="K255" s="452">
        <f t="shared" si="17"/>
        <v>32</v>
      </c>
      <c r="L255" t="str">
        <f t="shared" si="18"/>
        <v>F</v>
      </c>
      <c r="M255" t="str">
        <f t="shared" si="19"/>
        <v>Failed</v>
      </c>
    </row>
    <row r="256" spans="1:13" x14ac:dyDescent="0.3">
      <c r="A256" s="12">
        <f t="shared" si="20"/>
        <v>35</v>
      </c>
      <c r="B256" s="45" t="s">
        <v>157</v>
      </c>
      <c r="C256" s="45" t="s">
        <v>106</v>
      </c>
      <c r="D256" s="12" t="s">
        <v>1893</v>
      </c>
      <c r="E256" s="12">
        <v>10</v>
      </c>
      <c r="F256" s="12">
        <v>19</v>
      </c>
      <c r="G256" s="452">
        <f t="shared" si="16"/>
        <v>29</v>
      </c>
      <c r="H256" s="12"/>
      <c r="I256" s="12"/>
      <c r="J256" s="12">
        <v>19</v>
      </c>
      <c r="K256" s="452">
        <f t="shared" si="17"/>
        <v>48</v>
      </c>
      <c r="L256" t="str">
        <f t="shared" si="18"/>
        <v>D+</v>
      </c>
      <c r="M256" t="str">
        <f t="shared" si="19"/>
        <v>Failed</v>
      </c>
    </row>
    <row r="257" spans="1:13" x14ac:dyDescent="0.3">
      <c r="A257" s="12">
        <f t="shared" si="20"/>
        <v>36</v>
      </c>
      <c r="B257" s="45" t="s">
        <v>158</v>
      </c>
      <c r="C257" s="45" t="s">
        <v>107</v>
      </c>
      <c r="D257" s="12" t="s">
        <v>1898</v>
      </c>
      <c r="E257" s="12">
        <v>10</v>
      </c>
      <c r="F257" s="12">
        <v>17</v>
      </c>
      <c r="G257" s="452">
        <f t="shared" si="16"/>
        <v>27</v>
      </c>
      <c r="H257" s="12"/>
      <c r="I257" s="12"/>
      <c r="J257" s="12">
        <v>38</v>
      </c>
      <c r="K257" s="452">
        <f t="shared" si="17"/>
        <v>65</v>
      </c>
      <c r="L257" t="str">
        <f t="shared" si="18"/>
        <v>B</v>
      </c>
      <c r="M257" t="str">
        <f t="shared" si="19"/>
        <v>Passed</v>
      </c>
    </row>
    <row r="258" spans="1:13" x14ac:dyDescent="0.3">
      <c r="A258" s="12">
        <f t="shared" si="20"/>
        <v>37</v>
      </c>
      <c r="B258" s="45" t="s">
        <v>159</v>
      </c>
      <c r="C258" s="45" t="s">
        <v>108</v>
      </c>
      <c r="D258" s="12" t="s">
        <v>1909</v>
      </c>
      <c r="E258" s="12">
        <v>10</v>
      </c>
      <c r="F258" s="12">
        <v>20</v>
      </c>
      <c r="G258" s="452">
        <f t="shared" si="16"/>
        <v>30</v>
      </c>
      <c r="H258" s="12"/>
      <c r="I258" s="12"/>
      <c r="J258" s="12">
        <v>40</v>
      </c>
      <c r="K258" s="452">
        <f t="shared" si="17"/>
        <v>70</v>
      </c>
      <c r="L258" t="str">
        <f t="shared" si="18"/>
        <v>B+</v>
      </c>
      <c r="M258" t="str">
        <f t="shared" si="19"/>
        <v>Passed</v>
      </c>
    </row>
    <row r="259" spans="1:13" x14ac:dyDescent="0.3">
      <c r="A259" s="12">
        <f t="shared" si="20"/>
        <v>38</v>
      </c>
      <c r="B259" s="45" t="s">
        <v>167</v>
      </c>
      <c r="C259" s="45" t="s">
        <v>118</v>
      </c>
      <c r="D259" s="12" t="s">
        <v>1871</v>
      </c>
      <c r="E259" s="12">
        <v>9</v>
      </c>
      <c r="F259" s="12">
        <v>20</v>
      </c>
      <c r="G259" s="452">
        <f t="shared" si="16"/>
        <v>29</v>
      </c>
      <c r="H259" s="12"/>
      <c r="I259" s="12"/>
      <c r="J259" s="12">
        <v>25</v>
      </c>
      <c r="K259" s="452">
        <f t="shared" si="17"/>
        <v>54</v>
      </c>
      <c r="L259" t="str">
        <f t="shared" si="18"/>
        <v>C</v>
      </c>
      <c r="M259" t="str">
        <f t="shared" si="19"/>
        <v>Passed</v>
      </c>
    </row>
    <row r="260" spans="1:13" x14ac:dyDescent="0.3">
      <c r="A260" s="12">
        <f t="shared" si="20"/>
        <v>39</v>
      </c>
      <c r="B260" s="45" t="s">
        <v>171</v>
      </c>
      <c r="C260" s="45" t="s">
        <v>125</v>
      </c>
      <c r="D260" s="12" t="s">
        <v>1879</v>
      </c>
      <c r="E260" s="12">
        <v>10</v>
      </c>
      <c r="F260" s="12">
        <v>19</v>
      </c>
      <c r="G260" s="452">
        <f t="shared" si="16"/>
        <v>29</v>
      </c>
      <c r="H260" s="12"/>
      <c r="I260" s="12"/>
      <c r="J260" s="12">
        <v>12</v>
      </c>
      <c r="K260" s="452">
        <f t="shared" si="17"/>
        <v>41</v>
      </c>
      <c r="L260" t="str">
        <f t="shared" si="18"/>
        <v>D</v>
      </c>
      <c r="M260" t="str">
        <f t="shared" si="19"/>
        <v>Failed</v>
      </c>
    </row>
    <row r="261" spans="1:13" x14ac:dyDescent="0.3">
      <c r="A261" s="12">
        <f t="shared" si="20"/>
        <v>40</v>
      </c>
      <c r="B261" s="45" t="s">
        <v>174</v>
      </c>
      <c r="C261" s="45" t="s">
        <v>128</v>
      </c>
      <c r="D261" s="12" t="s">
        <v>1874</v>
      </c>
      <c r="E261" s="12">
        <v>9</v>
      </c>
      <c r="F261" s="12">
        <v>19</v>
      </c>
      <c r="G261" s="452">
        <f t="shared" si="16"/>
        <v>28</v>
      </c>
      <c r="H261" s="12"/>
      <c r="I261" s="12"/>
      <c r="J261" s="12">
        <v>36</v>
      </c>
      <c r="K261" s="452">
        <f t="shared" si="17"/>
        <v>64</v>
      </c>
      <c r="L261" t="str">
        <f t="shared" si="18"/>
        <v>B</v>
      </c>
      <c r="M261" t="str">
        <f t="shared" si="19"/>
        <v>Passed</v>
      </c>
    </row>
    <row r="262" spans="1:13" x14ac:dyDescent="0.3">
      <c r="A262" s="12">
        <f t="shared" si="20"/>
        <v>41</v>
      </c>
      <c r="B262" s="45" t="s">
        <v>220</v>
      </c>
      <c r="C262" s="45" t="s">
        <v>130</v>
      </c>
      <c r="D262" s="12" t="s">
        <v>1886</v>
      </c>
      <c r="E262" s="12">
        <v>8</v>
      </c>
      <c r="F262" s="12">
        <v>20</v>
      </c>
      <c r="G262" s="452">
        <f t="shared" si="16"/>
        <v>28</v>
      </c>
      <c r="H262" s="12"/>
      <c r="I262" s="12"/>
      <c r="J262" s="12">
        <v>15</v>
      </c>
      <c r="K262" s="452">
        <f t="shared" si="17"/>
        <v>43</v>
      </c>
      <c r="L262" t="str">
        <f t="shared" si="18"/>
        <v>D</v>
      </c>
      <c r="M262" t="str">
        <f t="shared" si="19"/>
        <v>Failed</v>
      </c>
    </row>
    <row r="263" spans="1:13" x14ac:dyDescent="0.3">
      <c r="A263" s="12">
        <f t="shared" si="20"/>
        <v>42</v>
      </c>
      <c r="B263" s="45" t="s">
        <v>659</v>
      </c>
      <c r="C263" s="45" t="s">
        <v>117</v>
      </c>
      <c r="D263" s="12" t="s">
        <v>1894</v>
      </c>
      <c r="E263" s="12">
        <v>10</v>
      </c>
      <c r="F263" s="12">
        <v>20</v>
      </c>
      <c r="G263" s="452">
        <f t="shared" si="16"/>
        <v>30</v>
      </c>
      <c r="H263" s="12"/>
      <c r="I263" s="12"/>
      <c r="J263" s="12">
        <v>32</v>
      </c>
      <c r="K263" s="452">
        <f t="shared" si="17"/>
        <v>62</v>
      </c>
      <c r="L263" t="str">
        <f t="shared" si="18"/>
        <v>B</v>
      </c>
      <c r="M263" t="str">
        <f t="shared" si="19"/>
        <v>Passed</v>
      </c>
    </row>
    <row r="264" spans="1:13" x14ac:dyDescent="0.3">
      <c r="A264" s="12">
        <f t="shared" si="20"/>
        <v>43</v>
      </c>
      <c r="B264" s="45" t="s">
        <v>146</v>
      </c>
      <c r="C264" s="45" t="s">
        <v>94</v>
      </c>
      <c r="D264" s="12" t="s">
        <v>1883</v>
      </c>
      <c r="E264" s="12">
        <v>10</v>
      </c>
      <c r="F264" s="12">
        <v>22</v>
      </c>
      <c r="G264" s="452">
        <f t="shared" si="16"/>
        <v>32</v>
      </c>
      <c r="H264" s="12"/>
      <c r="I264" s="12"/>
      <c r="J264" s="12">
        <v>6</v>
      </c>
      <c r="K264" s="452">
        <f t="shared" si="17"/>
        <v>38</v>
      </c>
      <c r="L264" t="str">
        <f t="shared" si="18"/>
        <v>F</v>
      </c>
      <c r="M264" t="str">
        <f t="shared" si="19"/>
        <v>Failed</v>
      </c>
    </row>
    <row r="265" spans="1:13" x14ac:dyDescent="0.3">
      <c r="A265" s="12">
        <f t="shared" si="20"/>
        <v>44</v>
      </c>
      <c r="B265" s="277" t="s">
        <v>147</v>
      </c>
      <c r="C265" s="45" t="s">
        <v>95</v>
      </c>
      <c r="D265" s="12" t="s">
        <v>1882</v>
      </c>
      <c r="E265" s="12">
        <v>10</v>
      </c>
      <c r="F265" s="12">
        <v>20</v>
      </c>
      <c r="G265" s="452">
        <f t="shared" si="16"/>
        <v>30</v>
      </c>
      <c r="H265" s="12"/>
      <c r="I265" s="12"/>
      <c r="J265" s="12">
        <v>38</v>
      </c>
      <c r="K265" s="452">
        <f t="shared" si="17"/>
        <v>68</v>
      </c>
      <c r="L265" t="str">
        <f t="shared" si="18"/>
        <v>B</v>
      </c>
      <c r="M265" t="str">
        <f t="shared" si="19"/>
        <v>Passed</v>
      </c>
    </row>
    <row r="266" spans="1:13" x14ac:dyDescent="0.3">
      <c r="A266" s="12">
        <f t="shared" si="20"/>
        <v>45</v>
      </c>
      <c r="B266" s="45" t="s">
        <v>155</v>
      </c>
      <c r="C266" s="45" t="s">
        <v>103</v>
      </c>
      <c r="D266" s="12" t="s">
        <v>1908</v>
      </c>
      <c r="E266" s="12">
        <v>8</v>
      </c>
      <c r="F266" s="12">
        <v>19</v>
      </c>
      <c r="G266" s="452">
        <f t="shared" si="16"/>
        <v>27</v>
      </c>
      <c r="H266" s="12"/>
      <c r="I266" s="12"/>
      <c r="J266" s="12">
        <v>28</v>
      </c>
      <c r="K266" s="452">
        <f t="shared" si="17"/>
        <v>55</v>
      </c>
      <c r="L266" t="str">
        <f t="shared" si="18"/>
        <v>C+</v>
      </c>
      <c r="M266" t="str">
        <f t="shared" si="19"/>
        <v>Passed</v>
      </c>
    </row>
    <row r="267" spans="1:13" s="14" customFormat="1" x14ac:dyDescent="0.3">
      <c r="A267" s="452">
        <f t="shared" si="20"/>
        <v>46</v>
      </c>
      <c r="B267" s="452" t="s">
        <v>182</v>
      </c>
      <c r="C267" s="452" t="s">
        <v>105</v>
      </c>
      <c r="D267" s="452" t="s">
        <v>1870</v>
      </c>
      <c r="E267" s="452">
        <v>5</v>
      </c>
      <c r="F267" s="452">
        <v>20</v>
      </c>
      <c r="G267" s="452">
        <f t="shared" si="16"/>
        <v>25</v>
      </c>
      <c r="H267" s="452"/>
      <c r="I267" s="452"/>
      <c r="J267" s="452" t="s">
        <v>1938</v>
      </c>
      <c r="K267" s="452"/>
    </row>
    <row r="268" spans="1:13" x14ac:dyDescent="0.3">
      <c r="A268" s="12">
        <f t="shared" si="20"/>
        <v>47</v>
      </c>
      <c r="B268" s="45" t="s">
        <v>161</v>
      </c>
      <c r="C268" s="45" t="s">
        <v>111</v>
      </c>
      <c r="D268" s="12" t="s">
        <v>1870</v>
      </c>
      <c r="E268" s="12"/>
      <c r="F268" s="12"/>
      <c r="G268" s="452"/>
      <c r="H268" s="12"/>
      <c r="I268" s="12"/>
      <c r="J268" s="12"/>
      <c r="K268" s="452"/>
    </row>
    <row r="269" spans="1:13" x14ac:dyDescent="0.3">
      <c r="A269" s="12">
        <f t="shared" si="20"/>
        <v>48</v>
      </c>
      <c r="B269" s="45" t="s">
        <v>169</v>
      </c>
      <c r="C269" s="45" t="s">
        <v>122</v>
      </c>
      <c r="D269" s="12" t="s">
        <v>1870</v>
      </c>
      <c r="E269" s="12"/>
      <c r="F269" s="12"/>
      <c r="G269" s="452"/>
      <c r="H269" s="12"/>
      <c r="I269" s="12"/>
      <c r="J269" s="12"/>
      <c r="K269" s="452"/>
    </row>
    <row r="270" spans="1:13" x14ac:dyDescent="0.3">
      <c r="A270" s="12">
        <f t="shared" si="20"/>
        <v>49</v>
      </c>
      <c r="B270" s="45" t="s">
        <v>648</v>
      </c>
      <c r="C270" s="45" t="s">
        <v>129</v>
      </c>
      <c r="D270" s="12" t="s">
        <v>1918</v>
      </c>
      <c r="E270" s="12">
        <v>9</v>
      </c>
      <c r="F270" s="12">
        <v>20</v>
      </c>
      <c r="G270" s="452">
        <f t="shared" si="16"/>
        <v>29</v>
      </c>
      <c r="H270" s="12"/>
      <c r="I270" s="12"/>
      <c r="J270" s="12">
        <v>36</v>
      </c>
      <c r="K270" s="452">
        <f t="shared" si="17"/>
        <v>65</v>
      </c>
      <c r="L270" t="str">
        <f t="shared" si="18"/>
        <v>B</v>
      </c>
      <c r="M270" t="str">
        <f t="shared" si="19"/>
        <v>Passed</v>
      </c>
    </row>
    <row r="271" spans="1:13" x14ac:dyDescent="0.3">
      <c r="A271" s="12">
        <f t="shared" si="20"/>
        <v>50</v>
      </c>
      <c r="B271" s="45" t="s">
        <v>177</v>
      </c>
      <c r="C271" s="45" t="s">
        <v>132</v>
      </c>
      <c r="D271" s="12" t="s">
        <v>1900</v>
      </c>
      <c r="E271" s="12">
        <v>10</v>
      </c>
      <c r="F271" s="12">
        <v>23</v>
      </c>
      <c r="G271" s="452">
        <f t="shared" si="16"/>
        <v>33</v>
      </c>
      <c r="H271" s="12"/>
      <c r="I271" s="12"/>
      <c r="J271" s="12">
        <v>40</v>
      </c>
      <c r="K271" s="452">
        <f t="shared" si="17"/>
        <v>73</v>
      </c>
      <c r="L271" t="str">
        <f t="shared" si="18"/>
        <v>B+</v>
      </c>
      <c r="M271" t="str">
        <f t="shared" si="19"/>
        <v>Passed</v>
      </c>
    </row>
    <row r="272" spans="1:13" x14ac:dyDescent="0.3">
      <c r="A272" s="12">
        <f t="shared" si="20"/>
        <v>51</v>
      </c>
      <c r="B272" s="45" t="s">
        <v>179</v>
      </c>
      <c r="C272" s="45" t="s">
        <v>665</v>
      </c>
      <c r="D272" s="12" t="s">
        <v>1881</v>
      </c>
      <c r="E272" s="12">
        <v>10</v>
      </c>
      <c r="F272" s="12">
        <v>21</v>
      </c>
      <c r="G272" s="452">
        <f t="shared" si="16"/>
        <v>31</v>
      </c>
      <c r="H272" s="12"/>
      <c r="I272" s="12"/>
      <c r="J272" s="12">
        <v>36</v>
      </c>
      <c r="K272" s="452">
        <f t="shared" si="17"/>
        <v>67</v>
      </c>
      <c r="L272" t="str">
        <f t="shared" si="18"/>
        <v>B</v>
      </c>
      <c r="M272" t="str">
        <f t="shared" si="19"/>
        <v>Passed</v>
      </c>
    </row>
    <row r="273" spans="1:15" x14ac:dyDescent="0.3">
      <c r="A273" s="12">
        <f t="shared" si="20"/>
        <v>52</v>
      </c>
      <c r="B273" s="45" t="s">
        <v>180</v>
      </c>
      <c r="C273" s="45" t="s">
        <v>136</v>
      </c>
      <c r="D273" s="12" t="s">
        <v>1885</v>
      </c>
      <c r="E273" s="12">
        <v>10</v>
      </c>
      <c r="F273" s="12">
        <v>22</v>
      </c>
      <c r="G273" s="452">
        <f t="shared" si="16"/>
        <v>32</v>
      </c>
      <c r="H273" s="12"/>
      <c r="I273" s="12"/>
      <c r="J273" s="12">
        <v>15</v>
      </c>
      <c r="K273" s="452">
        <f t="shared" si="17"/>
        <v>47</v>
      </c>
      <c r="L273" t="str">
        <f t="shared" si="18"/>
        <v>D+</v>
      </c>
      <c r="M273" t="str">
        <f t="shared" si="19"/>
        <v>Failed</v>
      </c>
    </row>
    <row r="274" spans="1:15" x14ac:dyDescent="0.3">
      <c r="A274" s="12">
        <f t="shared" si="20"/>
        <v>53</v>
      </c>
      <c r="B274" s="45" t="s">
        <v>183</v>
      </c>
      <c r="C274" s="45" t="s">
        <v>140</v>
      </c>
      <c r="D274" s="12" t="s">
        <v>1917</v>
      </c>
      <c r="E274" s="12">
        <v>10</v>
      </c>
      <c r="F274" s="12">
        <v>23</v>
      </c>
      <c r="G274" s="452">
        <f t="shared" si="16"/>
        <v>33</v>
      </c>
      <c r="H274" s="12"/>
      <c r="I274" s="12"/>
      <c r="J274" s="12">
        <v>21</v>
      </c>
      <c r="K274" s="452">
        <f t="shared" si="17"/>
        <v>54</v>
      </c>
      <c r="L274" t="str">
        <f t="shared" si="18"/>
        <v>C</v>
      </c>
      <c r="M274" t="str">
        <f t="shared" si="19"/>
        <v>Passed</v>
      </c>
    </row>
    <row r="275" spans="1:15" x14ac:dyDescent="0.3">
      <c r="A275" s="12">
        <f t="shared" si="20"/>
        <v>54</v>
      </c>
      <c r="B275" s="45" t="s">
        <v>184</v>
      </c>
      <c r="C275" s="45" t="s">
        <v>142</v>
      </c>
      <c r="D275" s="12" t="s">
        <v>1905</v>
      </c>
      <c r="E275" s="12">
        <v>8</v>
      </c>
      <c r="F275" s="12">
        <v>20</v>
      </c>
      <c r="G275" s="452">
        <f t="shared" si="16"/>
        <v>28</v>
      </c>
      <c r="H275" s="12"/>
      <c r="I275" s="12"/>
      <c r="J275" s="12">
        <v>36</v>
      </c>
      <c r="K275" s="452">
        <f t="shared" si="17"/>
        <v>64</v>
      </c>
      <c r="L275" t="str">
        <f t="shared" si="18"/>
        <v>B</v>
      </c>
      <c r="M275" t="str">
        <f t="shared" si="19"/>
        <v>Passed</v>
      </c>
    </row>
    <row r="277" spans="1:15" x14ac:dyDescent="0.3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</row>
    <row r="278" spans="1:15" x14ac:dyDescent="0.3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</row>
    <row r="279" spans="1:15" x14ac:dyDescent="0.3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</row>
    <row r="280" spans="1:15" x14ac:dyDescent="0.3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</row>
    <row r="281" spans="1:15" x14ac:dyDescent="0.3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</row>
    <row r="284" spans="1:15" x14ac:dyDescent="0.3">
      <c r="A284" s="450" t="s">
        <v>0</v>
      </c>
      <c r="B284" s="451"/>
      <c r="C284" s="451"/>
      <c r="D284" s="451"/>
      <c r="E284" s="451"/>
      <c r="F284" s="451"/>
      <c r="G284" s="451"/>
      <c r="H284" s="451"/>
      <c r="I284" s="451"/>
      <c r="J284" s="451"/>
      <c r="K284" s="451"/>
      <c r="L284" s="451"/>
    </row>
    <row r="285" spans="1:15" x14ac:dyDescent="0.3">
      <c r="A285" s="14" t="s">
        <v>66</v>
      </c>
      <c r="B285" s="14"/>
      <c r="C285" s="14"/>
      <c r="D285" s="14"/>
    </row>
    <row r="286" spans="1:15" x14ac:dyDescent="0.3">
      <c r="A286" s="460" t="s">
        <v>362</v>
      </c>
      <c r="B286" s="461"/>
      <c r="C286" s="461"/>
      <c r="D286" s="2"/>
      <c r="E286" s="2"/>
      <c r="F286" s="2"/>
      <c r="G286" s="2"/>
      <c r="H286" s="2"/>
      <c r="I286" s="2"/>
      <c r="J286" s="2"/>
      <c r="K286" s="2"/>
      <c r="L286" s="1"/>
      <c r="M286" s="16"/>
      <c r="N286" s="16"/>
      <c r="O286" s="13"/>
    </row>
    <row r="287" spans="1:15" x14ac:dyDescent="0.3">
      <c r="A287" s="450" t="s">
        <v>1</v>
      </c>
      <c r="B287" s="462" t="s">
        <v>69</v>
      </c>
      <c r="C287" s="462"/>
      <c r="D287" s="450"/>
      <c r="E287" s="451"/>
      <c r="F287" s="451"/>
      <c r="G287" s="451"/>
      <c r="H287" s="451"/>
      <c r="I287" s="451"/>
      <c r="J287" s="451"/>
      <c r="K287" s="451"/>
      <c r="L287" s="451"/>
    </row>
    <row r="288" spans="1:15" x14ac:dyDescent="0.3">
      <c r="A288" s="450" t="s">
        <v>3</v>
      </c>
      <c r="B288" s="462" t="s">
        <v>1770</v>
      </c>
      <c r="C288" s="462"/>
      <c r="D288" s="450"/>
      <c r="E288" s="451"/>
      <c r="F288" s="451"/>
      <c r="G288" s="451"/>
      <c r="H288" s="451"/>
      <c r="I288" s="451"/>
      <c r="J288" s="451"/>
      <c r="K288" s="451"/>
      <c r="L288" s="451"/>
    </row>
    <row r="289" spans="1:15" x14ac:dyDescent="0.3">
      <c r="A289" s="450" t="s">
        <v>4</v>
      </c>
      <c r="B289" s="463" t="s">
        <v>75</v>
      </c>
      <c r="C289" s="463"/>
      <c r="D289" s="450"/>
      <c r="E289" s="451"/>
      <c r="F289" s="451"/>
      <c r="G289" s="451"/>
      <c r="H289" s="451"/>
      <c r="I289" s="451"/>
      <c r="J289" s="451"/>
      <c r="K289" s="451"/>
      <c r="L289" s="451"/>
    </row>
    <row r="290" spans="1:15" x14ac:dyDescent="0.3">
      <c r="A290" s="450" t="s">
        <v>5</v>
      </c>
      <c r="B290" s="463">
        <v>2</v>
      </c>
      <c r="C290" s="463"/>
      <c r="D290" s="450"/>
      <c r="E290" s="451"/>
      <c r="F290" s="451"/>
      <c r="G290" s="451"/>
      <c r="H290" s="451"/>
      <c r="I290" s="451"/>
      <c r="J290" s="451"/>
      <c r="K290" s="451"/>
      <c r="L290" s="451"/>
    </row>
    <row r="291" spans="1:15" x14ac:dyDescent="0.3">
      <c r="A291" s="450" t="s">
        <v>6</v>
      </c>
      <c r="B291" s="462" t="s">
        <v>424</v>
      </c>
      <c r="C291" s="462"/>
      <c r="D291" s="450"/>
      <c r="E291" s="451"/>
      <c r="F291" s="451"/>
      <c r="G291" s="451"/>
      <c r="H291" s="451"/>
      <c r="I291" s="451"/>
      <c r="J291" s="451"/>
      <c r="K291" s="451"/>
      <c r="L291" s="451"/>
    </row>
    <row r="292" spans="1:15" x14ac:dyDescent="0.3">
      <c r="A292" s="450" t="s">
        <v>68</v>
      </c>
      <c r="B292" s="465" t="s">
        <v>679</v>
      </c>
      <c r="C292" s="465"/>
      <c r="D292" s="450"/>
      <c r="E292" s="451"/>
      <c r="F292" s="451"/>
      <c r="G292" s="451"/>
      <c r="H292" s="451"/>
      <c r="I292" s="451"/>
      <c r="J292" s="451"/>
      <c r="K292" s="451"/>
      <c r="L292" s="451"/>
    </row>
    <row r="293" spans="1:15" x14ac:dyDescent="0.3">
      <c r="A293" s="49"/>
      <c r="B293" s="14"/>
      <c r="C293" s="14"/>
      <c r="D293" s="14"/>
    </row>
    <row r="294" spans="1:15" ht="60" x14ac:dyDescent="0.3">
      <c r="A294" s="452" t="s">
        <v>8</v>
      </c>
      <c r="B294" s="12" t="s">
        <v>9</v>
      </c>
      <c r="C294" s="12" t="s">
        <v>10</v>
      </c>
      <c r="D294" s="43" t="s">
        <v>11</v>
      </c>
      <c r="E294" s="43" t="s">
        <v>12</v>
      </c>
      <c r="F294" s="43" t="s">
        <v>13</v>
      </c>
      <c r="G294" s="43" t="s">
        <v>14</v>
      </c>
      <c r="H294" s="43" t="s">
        <v>208</v>
      </c>
      <c r="I294" s="43" t="s">
        <v>209</v>
      </c>
      <c r="J294" s="43" t="s">
        <v>15</v>
      </c>
      <c r="K294" s="43" t="s">
        <v>16</v>
      </c>
      <c r="L294" t="s">
        <v>17</v>
      </c>
      <c r="M294" t="s">
        <v>18</v>
      </c>
      <c r="N294" t="s">
        <v>19</v>
      </c>
    </row>
    <row r="295" spans="1:15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N295" t="s">
        <v>20</v>
      </c>
      <c r="O295">
        <f>COUNT(G296:G349)</f>
        <v>50</v>
      </c>
    </row>
    <row r="296" spans="1:15" x14ac:dyDescent="0.3">
      <c r="A296" s="12">
        <v>1</v>
      </c>
      <c r="B296" s="45" t="s">
        <v>203</v>
      </c>
      <c r="C296" s="45" t="s">
        <v>92</v>
      </c>
      <c r="D296" s="12" t="s">
        <v>1799</v>
      </c>
      <c r="E296" s="12">
        <v>10</v>
      </c>
      <c r="F296" s="12">
        <v>17</v>
      </c>
      <c r="G296" s="241">
        <f>SUM(E296:F296)</f>
        <v>27</v>
      </c>
      <c r="H296" s="12"/>
      <c r="I296" s="12"/>
      <c r="J296" s="12">
        <v>25</v>
      </c>
      <c r="K296" s="241">
        <f>SUM(G296:J296)</f>
        <v>52</v>
      </c>
      <c r="L296" t="str">
        <f t="shared" ref="L296:L349" si="21">IF(K296&gt;=80,"A",IF(K296&gt;=70,"B+",IF(K296&gt;=60,"B",IF(K296&gt;=55,"C+",IF(K296&gt;=50,"C",IF(K296&gt;=45,"D+",IF(K296&gt;=40,"D","F")))))))</f>
        <v>C</v>
      </c>
      <c r="M296" t="str">
        <f t="shared" ref="M296:M349" si="22">IF(K296&gt;=50,"Passed","Failed")</f>
        <v>Passed</v>
      </c>
      <c r="N296" t="s">
        <v>21</v>
      </c>
      <c r="O296">
        <f>COUNT(J296:J349)</f>
        <v>49</v>
      </c>
    </row>
    <row r="297" spans="1:15" x14ac:dyDescent="0.3">
      <c r="A297" s="12">
        <v>2</v>
      </c>
      <c r="B297" s="45" t="s">
        <v>145</v>
      </c>
      <c r="C297" s="45" t="s">
        <v>93</v>
      </c>
      <c r="D297" s="12" t="s">
        <v>1817</v>
      </c>
      <c r="E297" s="12">
        <v>8</v>
      </c>
      <c r="F297" s="12">
        <v>25</v>
      </c>
      <c r="G297" s="241">
        <f t="shared" ref="G297:G349" si="23">SUM(E297:F297)</f>
        <v>33</v>
      </c>
      <c r="H297" s="12"/>
      <c r="I297" s="12"/>
      <c r="J297">
        <v>22</v>
      </c>
      <c r="K297" s="241">
        <f t="shared" ref="K297:K349" si="24">SUM(G297:J297)</f>
        <v>55</v>
      </c>
      <c r="L297" t="str">
        <f t="shared" si="21"/>
        <v>C+</v>
      </c>
      <c r="M297" t="str">
        <f t="shared" si="22"/>
        <v>Passed</v>
      </c>
      <c r="N297" t="s">
        <v>22</v>
      </c>
      <c r="O297">
        <f>O295-O296</f>
        <v>1</v>
      </c>
    </row>
    <row r="298" spans="1:15" x14ac:dyDescent="0.3">
      <c r="A298" s="12">
        <v>3</v>
      </c>
      <c r="B298" s="45" t="s">
        <v>149</v>
      </c>
      <c r="C298" s="45" t="s">
        <v>97</v>
      </c>
      <c r="D298" s="12" t="s">
        <v>1803</v>
      </c>
      <c r="E298" s="12">
        <v>9</v>
      </c>
      <c r="F298" s="12">
        <v>25</v>
      </c>
      <c r="G298" s="241">
        <f t="shared" si="23"/>
        <v>34</v>
      </c>
      <c r="H298" s="12"/>
      <c r="I298" s="12"/>
      <c r="J298" s="12">
        <v>48</v>
      </c>
      <c r="K298" s="241">
        <f t="shared" si="24"/>
        <v>82</v>
      </c>
      <c r="L298" t="str">
        <f t="shared" si="21"/>
        <v>A</v>
      </c>
      <c r="M298" t="str">
        <f t="shared" si="22"/>
        <v>Passed</v>
      </c>
      <c r="N298" t="s">
        <v>23</v>
      </c>
      <c r="O298">
        <f>COUNTIF(M296:M349,"Passed")</f>
        <v>40</v>
      </c>
    </row>
    <row r="299" spans="1:15" x14ac:dyDescent="0.3">
      <c r="A299" s="12">
        <v>4</v>
      </c>
      <c r="B299" s="45" t="s">
        <v>152</v>
      </c>
      <c r="C299" s="45" t="s">
        <v>100</v>
      </c>
      <c r="D299" s="12" t="s">
        <v>1779</v>
      </c>
      <c r="E299" s="12">
        <v>8</v>
      </c>
      <c r="F299" s="12">
        <v>17</v>
      </c>
      <c r="G299" s="241">
        <f t="shared" si="23"/>
        <v>25</v>
      </c>
      <c r="H299" s="12"/>
      <c r="I299" s="12"/>
      <c r="J299" s="12">
        <v>25</v>
      </c>
      <c r="K299" s="241">
        <f t="shared" si="24"/>
        <v>50</v>
      </c>
      <c r="L299" t="str">
        <f>IF(K299&gt;=80,"A",IF(K299&gt;=70,"B+",IF(K299&gt;=60,"B",IF(K299&gt;=55,"C+",IF(K299&gt;=50,"C",IF(K299&gt;=45,"D+",IF(K299&gt;=40,"D","F")))))))</f>
        <v>C</v>
      </c>
      <c r="M299" t="str">
        <f t="shared" si="22"/>
        <v>Passed</v>
      </c>
      <c r="N299" t="s">
        <v>24</v>
      </c>
      <c r="O299">
        <f>O298/O296%</f>
        <v>81.632653061224488</v>
      </c>
    </row>
    <row r="300" spans="1:15" x14ac:dyDescent="0.3">
      <c r="A300" s="12">
        <v>5</v>
      </c>
      <c r="B300" s="45" t="s">
        <v>156</v>
      </c>
      <c r="C300" s="45" t="s">
        <v>104</v>
      </c>
      <c r="D300" s="12" t="s">
        <v>1798</v>
      </c>
      <c r="E300" s="12">
        <v>10</v>
      </c>
      <c r="F300" s="12">
        <v>23</v>
      </c>
      <c r="G300" s="241">
        <f t="shared" si="23"/>
        <v>33</v>
      </c>
      <c r="H300" s="12"/>
      <c r="I300" s="12"/>
      <c r="J300" s="12">
        <v>36</v>
      </c>
      <c r="K300" s="241">
        <f t="shared" si="24"/>
        <v>69</v>
      </c>
      <c r="L300" t="str">
        <f t="shared" si="21"/>
        <v>B</v>
      </c>
      <c r="M300" t="str">
        <f t="shared" si="22"/>
        <v>Passed</v>
      </c>
      <c r="N300" t="s">
        <v>25</v>
      </c>
      <c r="O300">
        <f>COUNTIF(M296:M349,"failed")</f>
        <v>9</v>
      </c>
    </row>
    <row r="301" spans="1:15" x14ac:dyDescent="0.3">
      <c r="A301" s="12">
        <v>6</v>
      </c>
      <c r="B301" s="45" t="s">
        <v>160</v>
      </c>
      <c r="C301" s="45" t="s">
        <v>109</v>
      </c>
      <c r="D301" s="12" t="s">
        <v>1804</v>
      </c>
      <c r="E301" s="12">
        <v>10</v>
      </c>
      <c r="F301" s="12">
        <v>26</v>
      </c>
      <c r="G301" s="241">
        <f t="shared" si="23"/>
        <v>36</v>
      </c>
      <c r="H301" s="12"/>
      <c r="I301" s="12"/>
      <c r="J301" s="12">
        <v>46</v>
      </c>
      <c r="K301" s="241">
        <f t="shared" si="24"/>
        <v>82</v>
      </c>
      <c r="L301" t="str">
        <f t="shared" si="21"/>
        <v>A</v>
      </c>
      <c r="M301" t="str">
        <f t="shared" si="22"/>
        <v>Passed</v>
      </c>
      <c r="N301" t="s">
        <v>26</v>
      </c>
      <c r="O301" s="179">
        <f>O300/O296%</f>
        <v>18.367346938775512</v>
      </c>
    </row>
    <row r="302" spans="1:15" x14ac:dyDescent="0.3">
      <c r="A302" s="12">
        <v>7</v>
      </c>
      <c r="B302" s="45" t="s">
        <v>207</v>
      </c>
      <c r="C302" s="45" t="s">
        <v>110</v>
      </c>
      <c r="D302" s="12" t="s">
        <v>1771</v>
      </c>
      <c r="E302" s="12"/>
      <c r="F302" s="12"/>
      <c r="G302" s="241"/>
      <c r="H302" s="12"/>
      <c r="I302" s="12"/>
      <c r="J302" s="12"/>
      <c r="K302" s="241"/>
      <c r="N302" t="s">
        <v>27</v>
      </c>
      <c r="O302" s="179">
        <f>AVERAGE(K296:K349)</f>
        <v>57.183673469387756</v>
      </c>
    </row>
    <row r="303" spans="1:15" x14ac:dyDescent="0.3">
      <c r="A303" s="12">
        <v>8</v>
      </c>
      <c r="B303" s="45" t="s">
        <v>163</v>
      </c>
      <c r="C303" s="45" t="s">
        <v>113</v>
      </c>
      <c r="D303" s="12" t="s">
        <v>1777</v>
      </c>
      <c r="E303" s="12">
        <v>8</v>
      </c>
      <c r="F303" s="12">
        <v>21</v>
      </c>
      <c r="G303" s="241">
        <f t="shared" si="23"/>
        <v>29</v>
      </c>
      <c r="H303" s="12"/>
      <c r="I303" s="12"/>
      <c r="J303" s="12">
        <v>24</v>
      </c>
      <c r="K303" s="241">
        <f t="shared" si="24"/>
        <v>53</v>
      </c>
      <c r="L303" t="str">
        <f t="shared" si="21"/>
        <v>C</v>
      </c>
      <c r="M303" t="str">
        <f t="shared" si="22"/>
        <v>Passed</v>
      </c>
    </row>
    <row r="304" spans="1:15" x14ac:dyDescent="0.3">
      <c r="A304" s="12">
        <v>9</v>
      </c>
      <c r="B304" s="45" t="s">
        <v>480</v>
      </c>
      <c r="C304" s="45" t="s">
        <v>115</v>
      </c>
      <c r="D304" s="12" t="s">
        <v>1807</v>
      </c>
      <c r="E304" s="12">
        <v>10</v>
      </c>
      <c r="F304" s="12">
        <v>21</v>
      </c>
      <c r="G304" s="241">
        <f t="shared" si="23"/>
        <v>31</v>
      </c>
      <c r="H304" s="12"/>
      <c r="I304" s="12"/>
      <c r="J304" s="12">
        <v>46</v>
      </c>
      <c r="K304" s="241">
        <f t="shared" si="24"/>
        <v>77</v>
      </c>
      <c r="L304" t="str">
        <f t="shared" si="21"/>
        <v>B+</v>
      </c>
      <c r="M304" t="str">
        <f t="shared" si="22"/>
        <v>Passed</v>
      </c>
    </row>
    <row r="305" spans="1:22" x14ac:dyDescent="0.3">
      <c r="A305" s="12">
        <v>10</v>
      </c>
      <c r="B305" s="45" t="s">
        <v>200</v>
      </c>
      <c r="C305" s="45" t="s">
        <v>119</v>
      </c>
      <c r="D305" s="12" t="s">
        <v>1772</v>
      </c>
      <c r="E305" s="12">
        <v>9</v>
      </c>
      <c r="F305" s="12">
        <v>11</v>
      </c>
      <c r="G305" s="241">
        <f t="shared" si="23"/>
        <v>20</v>
      </c>
      <c r="H305" s="12"/>
      <c r="I305" s="12"/>
      <c r="J305" s="12">
        <v>19</v>
      </c>
      <c r="K305" s="241">
        <f t="shared" si="24"/>
        <v>39</v>
      </c>
      <c r="L305" t="str">
        <f t="shared" si="21"/>
        <v>F</v>
      </c>
      <c r="M305" t="str">
        <f t="shared" si="22"/>
        <v>Failed</v>
      </c>
    </row>
    <row r="306" spans="1:22" x14ac:dyDescent="0.3">
      <c r="A306" s="12">
        <v>11</v>
      </c>
      <c r="B306" s="45" t="s">
        <v>205</v>
      </c>
      <c r="C306" s="45" t="s">
        <v>120</v>
      </c>
      <c r="D306" s="12" t="s">
        <v>1771</v>
      </c>
      <c r="E306" s="12"/>
      <c r="F306" s="12"/>
      <c r="G306" s="241"/>
      <c r="H306" s="12"/>
      <c r="I306" s="12"/>
      <c r="J306" s="12"/>
      <c r="K306" s="241"/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 t="s">
        <v>33</v>
      </c>
      <c r="U306" t="s">
        <v>34</v>
      </c>
      <c r="V306" t="s">
        <v>35</v>
      </c>
    </row>
    <row r="307" spans="1:22" x14ac:dyDescent="0.3">
      <c r="A307" s="12">
        <v>12</v>
      </c>
      <c r="B307" s="45" t="s">
        <v>168</v>
      </c>
      <c r="C307" s="45" t="s">
        <v>121</v>
      </c>
      <c r="D307" s="12" t="s">
        <v>1781</v>
      </c>
      <c r="E307" s="12">
        <v>8</v>
      </c>
      <c r="F307" s="12">
        <v>19</v>
      </c>
      <c r="G307" s="241">
        <f t="shared" si="23"/>
        <v>27</v>
      </c>
      <c r="H307" s="12"/>
      <c r="I307" s="12"/>
      <c r="J307" s="12">
        <v>25</v>
      </c>
      <c r="K307" s="241">
        <f t="shared" si="24"/>
        <v>52</v>
      </c>
      <c r="L307" t="str">
        <f t="shared" si="21"/>
        <v>C</v>
      </c>
      <c r="M307" t="str">
        <f t="shared" si="22"/>
        <v>Passed</v>
      </c>
      <c r="O307">
        <f>COUNTIF(L296:L349,"A")</f>
        <v>2</v>
      </c>
      <c r="P307">
        <f>COUNTIF(L296:L349,"B+")</f>
        <v>5</v>
      </c>
      <c r="Q307">
        <f>COUNTIF(L296:L349,"B")</f>
        <v>16</v>
      </c>
      <c r="R307">
        <f>COUNTIF(L296:L349,"C+")</f>
        <v>9</v>
      </c>
      <c r="S307">
        <f>COUNTIF(L296:L349,"C")</f>
        <v>8</v>
      </c>
      <c r="T307">
        <f>COUNTIF(L296:L349,"D+")</f>
        <v>4</v>
      </c>
      <c r="U307">
        <f>COUNTIF(L296:L349,"D")</f>
        <v>0</v>
      </c>
      <c r="V307">
        <f>COUNTIF(L296:L349,"F")</f>
        <v>5</v>
      </c>
    </row>
    <row r="308" spans="1:22" x14ac:dyDescent="0.3">
      <c r="A308" s="12">
        <v>13</v>
      </c>
      <c r="B308" s="45" t="s">
        <v>170</v>
      </c>
      <c r="C308" s="45" t="s">
        <v>124</v>
      </c>
      <c r="D308" s="12" t="s">
        <v>1790</v>
      </c>
      <c r="E308" s="12">
        <v>9</v>
      </c>
      <c r="F308" s="12">
        <v>17</v>
      </c>
      <c r="G308" s="241">
        <f t="shared" si="23"/>
        <v>26</v>
      </c>
      <c r="H308" s="12"/>
      <c r="I308" s="12"/>
      <c r="J308" s="12">
        <v>25</v>
      </c>
      <c r="K308" s="241">
        <f t="shared" si="24"/>
        <v>51</v>
      </c>
      <c r="L308" t="str">
        <f t="shared" si="21"/>
        <v>C</v>
      </c>
      <c r="M308" t="str">
        <f t="shared" si="22"/>
        <v>Passed</v>
      </c>
    </row>
    <row r="309" spans="1:22" x14ac:dyDescent="0.3">
      <c r="A309" s="12">
        <v>14</v>
      </c>
      <c r="B309" s="45" t="s">
        <v>172</v>
      </c>
      <c r="C309" s="45" t="s">
        <v>126</v>
      </c>
      <c r="D309" s="12" t="s">
        <v>1814</v>
      </c>
      <c r="E309" s="12">
        <v>8</v>
      </c>
      <c r="F309" s="12">
        <v>9</v>
      </c>
      <c r="G309" s="241">
        <f t="shared" si="23"/>
        <v>17</v>
      </c>
      <c r="H309" s="12"/>
      <c r="I309" s="12"/>
      <c r="J309" s="12">
        <v>15</v>
      </c>
      <c r="K309" s="241">
        <f t="shared" si="24"/>
        <v>32</v>
      </c>
      <c r="L309" t="str">
        <f t="shared" si="21"/>
        <v>F</v>
      </c>
      <c r="M309" t="str">
        <f t="shared" si="22"/>
        <v>Failed</v>
      </c>
    </row>
    <row r="310" spans="1:22" x14ac:dyDescent="0.3">
      <c r="A310" s="12">
        <v>15</v>
      </c>
      <c r="B310" s="45" t="s">
        <v>173</v>
      </c>
      <c r="C310" s="45" t="s">
        <v>127</v>
      </c>
      <c r="D310" s="12" t="s">
        <v>1820</v>
      </c>
      <c r="E310" s="12">
        <v>10</v>
      </c>
      <c r="F310" s="12">
        <v>18</v>
      </c>
      <c r="G310" s="241">
        <f t="shared" si="23"/>
        <v>28</v>
      </c>
      <c r="H310" s="12"/>
      <c r="I310" s="12"/>
      <c r="J310" s="12">
        <v>24</v>
      </c>
      <c r="K310" s="241">
        <f t="shared" si="24"/>
        <v>52</v>
      </c>
      <c r="L310" t="str">
        <f t="shared" si="21"/>
        <v>C</v>
      </c>
      <c r="M310" t="str">
        <f t="shared" si="22"/>
        <v>Passed</v>
      </c>
    </row>
    <row r="311" spans="1:22" x14ac:dyDescent="0.3">
      <c r="A311" s="12">
        <v>16</v>
      </c>
      <c r="B311" s="45" t="s">
        <v>175</v>
      </c>
      <c r="C311" s="45" t="s">
        <v>131</v>
      </c>
      <c r="D311" s="12" t="s">
        <v>1811</v>
      </c>
      <c r="E311" s="12">
        <v>10</v>
      </c>
      <c r="F311" s="12">
        <v>24</v>
      </c>
      <c r="G311" s="241">
        <f t="shared" si="23"/>
        <v>34</v>
      </c>
      <c r="H311" s="12"/>
      <c r="I311" s="12"/>
      <c r="J311" s="12">
        <v>26</v>
      </c>
      <c r="K311" s="241">
        <f t="shared" si="24"/>
        <v>60</v>
      </c>
      <c r="L311" t="str">
        <f t="shared" si="21"/>
        <v>B</v>
      </c>
      <c r="M311" t="str">
        <f t="shared" si="22"/>
        <v>Passed</v>
      </c>
    </row>
    <row r="312" spans="1:22" x14ac:dyDescent="0.3">
      <c r="A312" s="12">
        <v>17</v>
      </c>
      <c r="B312" s="277" t="s">
        <v>178</v>
      </c>
      <c r="C312" s="45" t="s">
        <v>133</v>
      </c>
      <c r="D312" s="12" t="s">
        <v>1793</v>
      </c>
      <c r="E312" s="12">
        <v>10</v>
      </c>
      <c r="F312" s="12">
        <v>20</v>
      </c>
      <c r="G312" s="241">
        <f t="shared" si="23"/>
        <v>30</v>
      </c>
      <c r="H312" s="12"/>
      <c r="I312" s="12"/>
      <c r="J312" s="12">
        <v>26</v>
      </c>
      <c r="K312" s="241">
        <f t="shared" si="24"/>
        <v>56</v>
      </c>
      <c r="L312" t="str">
        <f t="shared" si="21"/>
        <v>C+</v>
      </c>
      <c r="M312" t="str">
        <f t="shared" si="22"/>
        <v>Passed</v>
      </c>
    </row>
    <row r="313" spans="1:22" x14ac:dyDescent="0.3">
      <c r="A313" s="12">
        <v>18</v>
      </c>
      <c r="B313" s="45" t="s">
        <v>534</v>
      </c>
      <c r="C313" s="303" t="s">
        <v>363</v>
      </c>
      <c r="D313" s="12" t="s">
        <v>1786</v>
      </c>
      <c r="E313" s="12">
        <v>1</v>
      </c>
      <c r="F313" s="12"/>
      <c r="G313" s="241">
        <f t="shared" si="23"/>
        <v>1</v>
      </c>
      <c r="H313" s="12"/>
      <c r="I313" s="12"/>
      <c r="J313" s="12">
        <v>29</v>
      </c>
      <c r="K313" s="241">
        <f t="shared" si="24"/>
        <v>30</v>
      </c>
      <c r="L313" t="str">
        <f t="shared" si="21"/>
        <v>F</v>
      </c>
      <c r="M313" t="str">
        <f t="shared" si="22"/>
        <v>Failed</v>
      </c>
    </row>
    <row r="314" spans="1:22" x14ac:dyDescent="0.3">
      <c r="A314" s="12">
        <v>19</v>
      </c>
      <c r="B314" s="389" t="s">
        <v>144</v>
      </c>
      <c r="C314" s="304" t="s">
        <v>137</v>
      </c>
      <c r="D314" s="12" t="s">
        <v>1796</v>
      </c>
      <c r="E314" s="12">
        <v>8</v>
      </c>
      <c r="F314" s="12">
        <v>17</v>
      </c>
      <c r="G314" s="241">
        <f t="shared" si="23"/>
        <v>25</v>
      </c>
      <c r="H314" s="12"/>
      <c r="I314" s="12"/>
      <c r="J314" s="12">
        <v>31</v>
      </c>
      <c r="K314" s="241">
        <f t="shared" si="24"/>
        <v>56</v>
      </c>
      <c r="L314" t="str">
        <f t="shared" si="21"/>
        <v>C+</v>
      </c>
      <c r="M314" t="str">
        <f t="shared" si="22"/>
        <v>Passed</v>
      </c>
    </row>
    <row r="315" spans="1:22" x14ac:dyDescent="0.3">
      <c r="A315" s="12">
        <v>20</v>
      </c>
      <c r="B315" s="390" t="s">
        <v>204</v>
      </c>
      <c r="C315" s="390" t="s">
        <v>138</v>
      </c>
      <c r="D315" s="12" t="s">
        <v>1797</v>
      </c>
      <c r="E315" s="12">
        <v>8</v>
      </c>
      <c r="F315" s="12">
        <v>24</v>
      </c>
      <c r="G315" s="241">
        <f t="shared" si="23"/>
        <v>32</v>
      </c>
      <c r="H315" s="12"/>
      <c r="I315" s="12"/>
      <c r="J315" s="12">
        <v>30</v>
      </c>
      <c r="K315" s="241">
        <f t="shared" si="24"/>
        <v>62</v>
      </c>
      <c r="L315" t="str">
        <f t="shared" si="21"/>
        <v>B</v>
      </c>
      <c r="M315" t="str">
        <f t="shared" si="22"/>
        <v>Passed</v>
      </c>
    </row>
    <row r="316" spans="1:22" x14ac:dyDescent="0.3">
      <c r="A316" s="12">
        <v>21</v>
      </c>
      <c r="B316" s="305" t="s">
        <v>181</v>
      </c>
      <c r="C316" s="45" t="s">
        <v>139</v>
      </c>
      <c r="D316" s="12" t="s">
        <v>1791</v>
      </c>
      <c r="E316" s="12">
        <v>10</v>
      </c>
      <c r="F316" s="12">
        <v>18</v>
      </c>
      <c r="G316" s="241">
        <f t="shared" si="23"/>
        <v>28</v>
      </c>
      <c r="H316" s="12"/>
      <c r="I316" s="12"/>
      <c r="J316" s="12">
        <v>28</v>
      </c>
      <c r="K316" s="241">
        <f t="shared" si="24"/>
        <v>56</v>
      </c>
      <c r="L316" t="str">
        <f t="shared" si="21"/>
        <v>C+</v>
      </c>
      <c r="M316" t="str">
        <f t="shared" si="22"/>
        <v>Passed</v>
      </c>
    </row>
    <row r="317" spans="1:22" x14ac:dyDescent="0.3">
      <c r="A317" s="12">
        <v>22</v>
      </c>
      <c r="B317" s="391" t="s">
        <v>201</v>
      </c>
      <c r="C317" s="45" t="s">
        <v>141</v>
      </c>
      <c r="D317" s="12" t="s">
        <v>1813</v>
      </c>
      <c r="E317" s="12">
        <v>9</v>
      </c>
      <c r="F317" s="12">
        <v>23</v>
      </c>
      <c r="G317" s="241">
        <f t="shared" si="23"/>
        <v>32</v>
      </c>
      <c r="H317" s="12"/>
      <c r="I317" s="12"/>
      <c r="J317" s="12">
        <v>28</v>
      </c>
      <c r="K317" s="241">
        <f t="shared" si="24"/>
        <v>60</v>
      </c>
      <c r="L317" t="str">
        <f t="shared" si="21"/>
        <v>B</v>
      </c>
      <c r="M317" t="str">
        <f t="shared" si="22"/>
        <v>Passed</v>
      </c>
    </row>
    <row r="318" spans="1:22" x14ac:dyDescent="0.3">
      <c r="A318" s="12">
        <v>23</v>
      </c>
      <c r="B318" s="45" t="s">
        <v>176</v>
      </c>
      <c r="C318" s="45" t="s">
        <v>481</v>
      </c>
      <c r="D318" s="12" t="s">
        <v>1782</v>
      </c>
      <c r="E318" s="12">
        <v>10</v>
      </c>
      <c r="F318" s="12">
        <v>26</v>
      </c>
      <c r="G318" s="241">
        <f t="shared" si="23"/>
        <v>36</v>
      </c>
      <c r="H318" s="12"/>
      <c r="I318" s="12"/>
      <c r="J318" s="12">
        <v>26</v>
      </c>
      <c r="K318" s="241">
        <f t="shared" si="24"/>
        <v>62</v>
      </c>
      <c r="L318" t="str">
        <f t="shared" si="21"/>
        <v>B</v>
      </c>
      <c r="M318" t="str">
        <f t="shared" si="22"/>
        <v>Passed</v>
      </c>
    </row>
    <row r="319" spans="1:22" x14ac:dyDescent="0.3">
      <c r="A319" s="12">
        <v>24</v>
      </c>
      <c r="B319" s="12" t="s">
        <v>148</v>
      </c>
      <c r="C319" s="12" t="s">
        <v>96</v>
      </c>
      <c r="D319" s="12" t="s">
        <v>1788</v>
      </c>
      <c r="E319" s="12">
        <v>10</v>
      </c>
      <c r="F319" s="12">
        <v>13</v>
      </c>
      <c r="G319" s="241">
        <f t="shared" si="23"/>
        <v>23</v>
      </c>
      <c r="H319" s="12"/>
      <c r="I319" s="12"/>
      <c r="J319" s="12">
        <v>25</v>
      </c>
      <c r="K319" s="241">
        <f t="shared" si="24"/>
        <v>48</v>
      </c>
      <c r="L319" t="str">
        <f t="shared" si="21"/>
        <v>D+</v>
      </c>
      <c r="M319" t="str">
        <f t="shared" si="22"/>
        <v>Failed</v>
      </c>
    </row>
    <row r="320" spans="1:22" x14ac:dyDescent="0.3">
      <c r="A320" s="12">
        <v>25</v>
      </c>
      <c r="B320" s="12" t="s">
        <v>153</v>
      </c>
      <c r="C320" s="12" t="s">
        <v>101</v>
      </c>
      <c r="D320" s="12" t="s">
        <v>1794</v>
      </c>
      <c r="E320" s="12">
        <v>8</v>
      </c>
      <c r="F320" s="12">
        <v>22</v>
      </c>
      <c r="G320" s="241">
        <f t="shared" si="23"/>
        <v>30</v>
      </c>
      <c r="H320" s="12"/>
      <c r="I320" s="12"/>
      <c r="J320" s="12">
        <v>32</v>
      </c>
      <c r="K320" s="241">
        <f t="shared" si="24"/>
        <v>62</v>
      </c>
      <c r="L320" t="str">
        <f t="shared" si="21"/>
        <v>B</v>
      </c>
      <c r="M320" t="str">
        <f t="shared" si="22"/>
        <v>Passed</v>
      </c>
    </row>
    <row r="321" spans="1:13" x14ac:dyDescent="0.3">
      <c r="A321" s="12">
        <v>26</v>
      </c>
      <c r="B321" s="12" t="s">
        <v>154</v>
      </c>
      <c r="C321" s="12" t="s">
        <v>102</v>
      </c>
      <c r="D321" s="12" t="s">
        <v>1792</v>
      </c>
      <c r="E321" s="12">
        <v>8</v>
      </c>
      <c r="F321" s="12">
        <v>20</v>
      </c>
      <c r="G321" s="241">
        <f t="shared" si="23"/>
        <v>28</v>
      </c>
      <c r="H321" s="12"/>
      <c r="I321" s="12"/>
      <c r="J321" s="12">
        <v>19</v>
      </c>
      <c r="K321" s="241">
        <f t="shared" si="24"/>
        <v>47</v>
      </c>
      <c r="L321" t="str">
        <f t="shared" si="21"/>
        <v>D+</v>
      </c>
      <c r="M321" t="str">
        <f t="shared" si="22"/>
        <v>Failed</v>
      </c>
    </row>
    <row r="322" spans="1:13" x14ac:dyDescent="0.3">
      <c r="A322" s="12">
        <v>27</v>
      </c>
      <c r="B322" s="12" t="s">
        <v>162</v>
      </c>
      <c r="C322" s="12" t="s">
        <v>112</v>
      </c>
      <c r="D322" s="12" t="s">
        <v>1787</v>
      </c>
      <c r="E322" s="12">
        <v>4</v>
      </c>
      <c r="F322" s="12">
        <v>19</v>
      </c>
      <c r="G322" s="241">
        <f t="shared" si="23"/>
        <v>23</v>
      </c>
      <c r="H322" s="12"/>
      <c r="I322" s="12"/>
      <c r="J322" s="12">
        <v>35</v>
      </c>
      <c r="K322" s="241">
        <f t="shared" si="24"/>
        <v>58</v>
      </c>
      <c r="L322" t="str">
        <f t="shared" si="21"/>
        <v>C+</v>
      </c>
      <c r="M322" t="str">
        <f t="shared" si="22"/>
        <v>Passed</v>
      </c>
    </row>
    <row r="323" spans="1:13" x14ac:dyDescent="0.3">
      <c r="A323" s="12">
        <v>28</v>
      </c>
      <c r="B323" s="12" t="s">
        <v>164</v>
      </c>
      <c r="C323" s="12" t="s">
        <v>114</v>
      </c>
      <c r="D323" s="12" t="s">
        <v>1785</v>
      </c>
      <c r="E323" s="12">
        <v>10</v>
      </c>
      <c r="F323" s="12">
        <v>26</v>
      </c>
      <c r="G323" s="241">
        <f t="shared" si="23"/>
        <v>36</v>
      </c>
      <c r="H323" s="12"/>
      <c r="I323" s="12"/>
      <c r="J323" s="12">
        <v>36</v>
      </c>
      <c r="K323" s="241">
        <f t="shared" si="24"/>
        <v>72</v>
      </c>
      <c r="L323" t="str">
        <f t="shared" si="21"/>
        <v>B+</v>
      </c>
      <c r="M323" t="str">
        <f t="shared" si="22"/>
        <v>Passed</v>
      </c>
    </row>
    <row r="324" spans="1:13" x14ac:dyDescent="0.3">
      <c r="A324" s="12">
        <v>29</v>
      </c>
      <c r="B324" s="60" t="s">
        <v>165</v>
      </c>
      <c r="C324" s="12" t="s">
        <v>116</v>
      </c>
      <c r="D324" s="12" t="s">
        <v>1776</v>
      </c>
      <c r="E324" s="12">
        <v>10</v>
      </c>
      <c r="F324" s="12">
        <v>26</v>
      </c>
      <c r="G324" s="241">
        <f t="shared" si="23"/>
        <v>36</v>
      </c>
      <c r="H324" s="12"/>
      <c r="I324" s="12"/>
      <c r="J324" s="12">
        <v>34</v>
      </c>
      <c r="K324" s="241">
        <f t="shared" si="24"/>
        <v>70</v>
      </c>
      <c r="L324" t="str">
        <f t="shared" si="21"/>
        <v>B+</v>
      </c>
      <c r="M324" t="str">
        <f t="shared" si="22"/>
        <v>Passed</v>
      </c>
    </row>
    <row r="325" spans="1:13" x14ac:dyDescent="0.3">
      <c r="A325" s="12">
        <v>30</v>
      </c>
      <c r="B325" s="12" t="s">
        <v>206</v>
      </c>
      <c r="C325" s="12" t="s">
        <v>123</v>
      </c>
      <c r="D325" s="12" t="s">
        <v>1812</v>
      </c>
      <c r="E325" s="12">
        <v>10</v>
      </c>
      <c r="F325" s="12">
        <v>22</v>
      </c>
      <c r="G325" s="241">
        <f t="shared" si="23"/>
        <v>32</v>
      </c>
      <c r="H325" s="12"/>
      <c r="I325" s="12"/>
      <c r="J325" s="12">
        <v>33</v>
      </c>
      <c r="K325" s="241">
        <f t="shared" si="24"/>
        <v>65</v>
      </c>
      <c r="L325" t="str">
        <f t="shared" si="21"/>
        <v>B</v>
      </c>
      <c r="M325" t="str">
        <f t="shared" si="22"/>
        <v>Passed</v>
      </c>
    </row>
    <row r="326" spans="1:13" x14ac:dyDescent="0.3">
      <c r="A326" s="12">
        <v>31</v>
      </c>
      <c r="B326" s="12" t="s">
        <v>202</v>
      </c>
      <c r="C326" s="12" t="s">
        <v>135</v>
      </c>
      <c r="D326" s="12" t="s">
        <v>1816</v>
      </c>
      <c r="E326" s="12">
        <v>8</v>
      </c>
      <c r="F326" s="12">
        <v>24</v>
      </c>
      <c r="G326" s="241">
        <f t="shared" si="23"/>
        <v>32</v>
      </c>
      <c r="H326" s="12"/>
      <c r="I326" s="12"/>
      <c r="J326" s="12">
        <v>32</v>
      </c>
      <c r="K326" s="241">
        <f t="shared" si="24"/>
        <v>64</v>
      </c>
      <c r="L326" t="str">
        <f t="shared" si="21"/>
        <v>B</v>
      </c>
      <c r="M326" t="str">
        <f t="shared" si="22"/>
        <v>Passed</v>
      </c>
    </row>
    <row r="327" spans="1:13" x14ac:dyDescent="0.3">
      <c r="A327" s="12">
        <v>32</v>
      </c>
      <c r="B327" s="12" t="s">
        <v>1249</v>
      </c>
      <c r="C327" s="12" t="s">
        <v>422</v>
      </c>
      <c r="D327" s="12" t="s">
        <v>1819</v>
      </c>
      <c r="E327" s="12">
        <v>6</v>
      </c>
      <c r="F327" s="12"/>
      <c r="G327" s="241">
        <f t="shared" si="23"/>
        <v>6</v>
      </c>
      <c r="H327" s="12"/>
      <c r="I327" s="12"/>
      <c r="J327" s="12">
        <v>25</v>
      </c>
      <c r="K327" s="241">
        <f t="shared" si="24"/>
        <v>31</v>
      </c>
      <c r="L327" t="str">
        <f t="shared" si="21"/>
        <v>F</v>
      </c>
      <c r="M327" t="str">
        <f t="shared" si="22"/>
        <v>Failed</v>
      </c>
    </row>
    <row r="328" spans="1:13" x14ac:dyDescent="0.3">
      <c r="A328" s="12">
        <v>33</v>
      </c>
      <c r="B328" s="45" t="s">
        <v>150</v>
      </c>
      <c r="C328" s="45" t="s">
        <v>98</v>
      </c>
      <c r="D328" s="12" t="s">
        <v>1802</v>
      </c>
      <c r="E328" s="12">
        <v>10</v>
      </c>
      <c r="F328" s="12">
        <v>18</v>
      </c>
      <c r="G328" s="241">
        <f t="shared" si="23"/>
        <v>28</v>
      </c>
      <c r="H328" s="12"/>
      <c r="I328" s="12"/>
      <c r="J328" s="12">
        <v>29</v>
      </c>
      <c r="K328" s="241">
        <f t="shared" si="24"/>
        <v>57</v>
      </c>
      <c r="L328" t="str">
        <f t="shared" si="21"/>
        <v>C+</v>
      </c>
      <c r="M328" t="str">
        <f t="shared" si="22"/>
        <v>Passed</v>
      </c>
    </row>
    <row r="329" spans="1:13" x14ac:dyDescent="0.3">
      <c r="A329" s="12">
        <v>34</v>
      </c>
      <c r="B329" s="45" t="s">
        <v>151</v>
      </c>
      <c r="C329" s="45" t="s">
        <v>99</v>
      </c>
      <c r="D329" s="12" t="s">
        <v>1780</v>
      </c>
      <c r="E329" s="12">
        <v>3</v>
      </c>
      <c r="F329" s="12"/>
      <c r="G329" s="241">
        <f t="shared" si="23"/>
        <v>3</v>
      </c>
      <c r="H329" s="12"/>
      <c r="I329" s="12"/>
      <c r="J329" s="12">
        <v>30</v>
      </c>
      <c r="K329" s="241">
        <f t="shared" si="24"/>
        <v>33</v>
      </c>
      <c r="L329" t="str">
        <f t="shared" si="21"/>
        <v>F</v>
      </c>
      <c r="M329" t="str">
        <f t="shared" si="22"/>
        <v>Failed</v>
      </c>
    </row>
    <row r="330" spans="1:13" x14ac:dyDescent="0.3">
      <c r="A330" s="12">
        <v>35</v>
      </c>
      <c r="B330" s="45" t="s">
        <v>157</v>
      </c>
      <c r="C330" s="45" t="s">
        <v>106</v>
      </c>
      <c r="D330" s="12" t="s">
        <v>1795</v>
      </c>
      <c r="E330" s="12">
        <v>10</v>
      </c>
      <c r="F330" s="12">
        <v>16</v>
      </c>
      <c r="G330" s="241">
        <f t="shared" si="23"/>
        <v>26</v>
      </c>
      <c r="H330" s="12"/>
      <c r="I330" s="12"/>
      <c r="J330" s="12">
        <v>22</v>
      </c>
      <c r="K330" s="241">
        <f t="shared" si="24"/>
        <v>48</v>
      </c>
      <c r="L330" t="str">
        <f t="shared" si="21"/>
        <v>D+</v>
      </c>
      <c r="M330" t="str">
        <f t="shared" si="22"/>
        <v>Failed</v>
      </c>
    </row>
    <row r="331" spans="1:13" x14ac:dyDescent="0.3">
      <c r="A331" s="12">
        <v>36</v>
      </c>
      <c r="B331" s="45" t="s">
        <v>158</v>
      </c>
      <c r="C331" s="45" t="s">
        <v>107</v>
      </c>
      <c r="D331" s="12" t="s">
        <v>1778</v>
      </c>
      <c r="E331" s="12">
        <v>8</v>
      </c>
      <c r="F331" s="12">
        <v>22</v>
      </c>
      <c r="G331" s="241">
        <f t="shared" si="23"/>
        <v>30</v>
      </c>
      <c r="H331" s="12"/>
      <c r="I331" s="12"/>
      <c r="J331" s="12">
        <v>32</v>
      </c>
      <c r="K331" s="241">
        <f t="shared" si="24"/>
        <v>62</v>
      </c>
      <c r="L331" t="str">
        <f t="shared" si="21"/>
        <v>B</v>
      </c>
      <c r="M331" t="str">
        <f t="shared" si="22"/>
        <v>Passed</v>
      </c>
    </row>
    <row r="332" spans="1:13" x14ac:dyDescent="0.3">
      <c r="A332" s="12">
        <v>37</v>
      </c>
      <c r="B332" s="45" t="s">
        <v>159</v>
      </c>
      <c r="C332" s="45" t="s">
        <v>108</v>
      </c>
      <c r="D332" s="12" t="s">
        <v>1810</v>
      </c>
      <c r="E332" s="12">
        <v>10</v>
      </c>
      <c r="F332" s="12">
        <v>23</v>
      </c>
      <c r="G332" s="241">
        <f t="shared" si="23"/>
        <v>33</v>
      </c>
      <c r="H332" s="12"/>
      <c r="I332" s="12"/>
      <c r="J332" s="12">
        <v>34</v>
      </c>
      <c r="K332" s="241">
        <f t="shared" si="24"/>
        <v>67</v>
      </c>
      <c r="L332" t="str">
        <f t="shared" si="21"/>
        <v>B</v>
      </c>
      <c r="M332" t="str">
        <f t="shared" si="22"/>
        <v>Passed</v>
      </c>
    </row>
    <row r="333" spans="1:13" x14ac:dyDescent="0.3">
      <c r="A333" s="12">
        <v>38</v>
      </c>
      <c r="B333" s="45" t="s">
        <v>167</v>
      </c>
      <c r="C333" s="45" t="s">
        <v>118</v>
      </c>
      <c r="D333" s="12" t="s">
        <v>1784</v>
      </c>
      <c r="E333" s="12">
        <v>8</v>
      </c>
      <c r="F333" s="12">
        <v>25</v>
      </c>
      <c r="G333" s="241">
        <f t="shared" si="23"/>
        <v>33</v>
      </c>
      <c r="H333" s="12"/>
      <c r="I333" s="12"/>
      <c r="J333" s="12">
        <v>40</v>
      </c>
      <c r="K333" s="241">
        <f t="shared" si="24"/>
        <v>73</v>
      </c>
      <c r="L333" t="str">
        <f t="shared" si="21"/>
        <v>B+</v>
      </c>
      <c r="M333" t="str">
        <f t="shared" si="22"/>
        <v>Passed</v>
      </c>
    </row>
    <row r="334" spans="1:13" x14ac:dyDescent="0.3">
      <c r="A334" s="12">
        <v>39</v>
      </c>
      <c r="B334" s="45" t="s">
        <v>171</v>
      </c>
      <c r="C334" s="45" t="s">
        <v>125</v>
      </c>
      <c r="D334" s="12" t="s">
        <v>1789</v>
      </c>
      <c r="E334" s="12">
        <v>8</v>
      </c>
      <c r="F334" s="12">
        <v>15</v>
      </c>
      <c r="G334" s="241">
        <f t="shared" si="23"/>
        <v>23</v>
      </c>
      <c r="H334" s="12"/>
      <c r="I334" s="12"/>
      <c r="J334" s="12">
        <v>28</v>
      </c>
      <c r="K334" s="241">
        <f t="shared" si="24"/>
        <v>51</v>
      </c>
      <c r="L334" t="str">
        <f t="shared" si="21"/>
        <v>C</v>
      </c>
      <c r="M334" t="str">
        <f t="shared" si="22"/>
        <v>Passed</v>
      </c>
    </row>
    <row r="335" spans="1:13" x14ac:dyDescent="0.3">
      <c r="A335" s="12">
        <v>40</v>
      </c>
      <c r="B335" s="45" t="s">
        <v>174</v>
      </c>
      <c r="C335" s="45" t="s">
        <v>128</v>
      </c>
      <c r="D335" s="12" t="s">
        <v>1783</v>
      </c>
      <c r="E335" s="12">
        <v>10</v>
      </c>
      <c r="F335" s="12">
        <v>22</v>
      </c>
      <c r="G335" s="241">
        <f t="shared" si="23"/>
        <v>32</v>
      </c>
      <c r="H335" s="12"/>
      <c r="I335" s="12"/>
      <c r="J335" s="12">
        <v>28</v>
      </c>
      <c r="K335" s="241">
        <f t="shared" si="24"/>
        <v>60</v>
      </c>
      <c r="L335" t="str">
        <f t="shared" si="21"/>
        <v>B</v>
      </c>
      <c r="M335" t="str">
        <f t="shared" si="22"/>
        <v>Passed</v>
      </c>
    </row>
    <row r="336" spans="1:13" x14ac:dyDescent="0.3">
      <c r="A336" s="12">
        <v>41</v>
      </c>
      <c r="B336" s="45" t="s">
        <v>220</v>
      </c>
      <c r="C336" s="45" t="s">
        <v>130</v>
      </c>
      <c r="D336" s="12" t="s">
        <v>1805</v>
      </c>
      <c r="E336" s="12">
        <v>8</v>
      </c>
      <c r="F336" s="12">
        <v>18</v>
      </c>
      <c r="G336" s="241">
        <f t="shared" si="23"/>
        <v>26</v>
      </c>
      <c r="H336" s="12"/>
      <c r="I336" s="12"/>
      <c r="J336" s="12">
        <v>35</v>
      </c>
      <c r="K336" s="241">
        <f t="shared" si="24"/>
        <v>61</v>
      </c>
      <c r="L336" t="str">
        <f t="shared" si="21"/>
        <v>B</v>
      </c>
      <c r="M336" t="str">
        <f t="shared" si="22"/>
        <v>Passed</v>
      </c>
    </row>
    <row r="337" spans="1:13" x14ac:dyDescent="0.3">
      <c r="A337" s="12">
        <v>42</v>
      </c>
      <c r="B337" s="45" t="s">
        <v>659</v>
      </c>
      <c r="C337" s="45" t="s">
        <v>117</v>
      </c>
      <c r="D337" s="12" t="s">
        <v>1800</v>
      </c>
      <c r="E337" s="12">
        <v>10</v>
      </c>
      <c r="F337" s="12">
        <v>26</v>
      </c>
      <c r="G337" s="241">
        <f t="shared" si="23"/>
        <v>36</v>
      </c>
      <c r="H337" s="12"/>
      <c r="I337" s="12"/>
      <c r="J337" s="12">
        <v>23</v>
      </c>
      <c r="K337" s="241">
        <f t="shared" si="24"/>
        <v>59</v>
      </c>
      <c r="L337" t="str">
        <f t="shared" si="21"/>
        <v>C+</v>
      </c>
      <c r="M337" t="str">
        <f t="shared" si="22"/>
        <v>Passed</v>
      </c>
    </row>
    <row r="338" spans="1:13" x14ac:dyDescent="0.3">
      <c r="A338" s="12">
        <v>43</v>
      </c>
      <c r="B338" s="45" t="s">
        <v>146</v>
      </c>
      <c r="C338" s="45" t="s">
        <v>94</v>
      </c>
      <c r="D338" s="12" t="s">
        <v>1775</v>
      </c>
      <c r="E338" s="12">
        <v>10</v>
      </c>
      <c r="F338" s="12">
        <v>19</v>
      </c>
      <c r="G338" s="241">
        <f t="shared" si="23"/>
        <v>29</v>
      </c>
      <c r="H338" s="12"/>
      <c r="I338" s="12"/>
      <c r="J338" s="12">
        <v>33</v>
      </c>
      <c r="K338" s="241">
        <f t="shared" si="24"/>
        <v>62</v>
      </c>
      <c r="L338" t="str">
        <f t="shared" si="21"/>
        <v>B</v>
      </c>
      <c r="M338" t="str">
        <f t="shared" si="22"/>
        <v>Passed</v>
      </c>
    </row>
    <row r="339" spans="1:13" x14ac:dyDescent="0.3">
      <c r="A339" s="12">
        <v>44</v>
      </c>
      <c r="B339" s="277" t="s">
        <v>147</v>
      </c>
      <c r="C339" s="45" t="s">
        <v>95</v>
      </c>
      <c r="D339" s="12" t="s">
        <v>1774</v>
      </c>
      <c r="E339" s="12">
        <v>10</v>
      </c>
      <c r="F339" s="12">
        <v>22</v>
      </c>
      <c r="G339" s="241">
        <f t="shared" si="23"/>
        <v>32</v>
      </c>
      <c r="H339" s="12"/>
      <c r="I339" s="12"/>
      <c r="J339" s="12">
        <v>39</v>
      </c>
      <c r="K339" s="241">
        <f t="shared" si="24"/>
        <v>71</v>
      </c>
      <c r="L339" t="str">
        <f t="shared" si="21"/>
        <v>B+</v>
      </c>
      <c r="M339" t="str">
        <f t="shared" si="22"/>
        <v>Passed</v>
      </c>
    </row>
    <row r="340" spans="1:13" x14ac:dyDescent="0.3">
      <c r="A340" s="12">
        <v>45</v>
      </c>
      <c r="B340" s="45" t="s">
        <v>155</v>
      </c>
      <c r="C340" s="45" t="s">
        <v>103</v>
      </c>
      <c r="D340" s="12" t="s">
        <v>1773</v>
      </c>
      <c r="E340" s="12">
        <v>9</v>
      </c>
      <c r="F340" s="12">
        <v>15</v>
      </c>
      <c r="G340" s="241">
        <f t="shared" si="23"/>
        <v>24</v>
      </c>
      <c r="H340" s="12"/>
      <c r="I340" s="12"/>
      <c r="J340" s="12">
        <v>21</v>
      </c>
      <c r="K340" s="241">
        <f t="shared" si="24"/>
        <v>45</v>
      </c>
      <c r="L340" t="str">
        <f t="shared" si="21"/>
        <v>D+</v>
      </c>
      <c r="M340" t="str">
        <f t="shared" si="22"/>
        <v>Failed</v>
      </c>
    </row>
    <row r="341" spans="1:13" x14ac:dyDescent="0.3">
      <c r="A341" s="12">
        <v>46</v>
      </c>
      <c r="B341" s="45" t="s">
        <v>182</v>
      </c>
      <c r="C341" s="45" t="s">
        <v>105</v>
      </c>
      <c r="D341" s="12" t="s">
        <v>1771</v>
      </c>
      <c r="E341" s="12">
        <v>4</v>
      </c>
      <c r="F341" s="12"/>
      <c r="G341" s="241">
        <f t="shared" si="23"/>
        <v>4</v>
      </c>
      <c r="H341" s="12"/>
      <c r="I341" s="12"/>
      <c r="J341" s="12" t="s">
        <v>1938</v>
      </c>
      <c r="K341" s="241"/>
    </row>
    <row r="342" spans="1:13" x14ac:dyDescent="0.3">
      <c r="A342" s="12">
        <v>47</v>
      </c>
      <c r="B342" s="45" t="s">
        <v>161</v>
      </c>
      <c r="C342" s="45" t="s">
        <v>111</v>
      </c>
      <c r="D342" s="12" t="s">
        <v>1771</v>
      </c>
      <c r="E342" s="12"/>
      <c r="F342" s="12"/>
      <c r="G342" s="241"/>
      <c r="H342" s="12"/>
      <c r="I342" s="12"/>
      <c r="J342" s="12"/>
      <c r="K342" s="241"/>
    </row>
    <row r="343" spans="1:13" x14ac:dyDescent="0.3">
      <c r="A343" s="12">
        <v>48</v>
      </c>
      <c r="B343" s="45" t="s">
        <v>169</v>
      </c>
      <c r="C343" s="45" t="s">
        <v>122</v>
      </c>
      <c r="D343" s="12" t="s">
        <v>1771</v>
      </c>
      <c r="E343" s="12"/>
      <c r="F343" s="12"/>
      <c r="G343" s="241"/>
      <c r="H343" s="12"/>
      <c r="I343" s="12"/>
      <c r="J343" s="12"/>
      <c r="K343" s="241"/>
    </row>
    <row r="344" spans="1:13" x14ac:dyDescent="0.3">
      <c r="A344" s="12">
        <v>49</v>
      </c>
      <c r="B344" s="45" t="s">
        <v>648</v>
      </c>
      <c r="C344" s="45" t="s">
        <v>129</v>
      </c>
      <c r="D344" s="12" t="s">
        <v>1806</v>
      </c>
      <c r="E344" s="12">
        <v>10</v>
      </c>
      <c r="F344" s="12">
        <v>16</v>
      </c>
      <c r="G344" s="241">
        <f t="shared" si="23"/>
        <v>26</v>
      </c>
      <c r="H344" s="12"/>
      <c r="I344" s="12"/>
      <c r="J344" s="12">
        <v>34</v>
      </c>
      <c r="K344" s="241">
        <f t="shared" si="24"/>
        <v>60</v>
      </c>
      <c r="L344" t="str">
        <f t="shared" si="21"/>
        <v>B</v>
      </c>
      <c r="M344" t="str">
        <f t="shared" si="22"/>
        <v>Passed</v>
      </c>
    </row>
    <row r="345" spans="1:13" x14ac:dyDescent="0.3">
      <c r="A345" s="12">
        <v>50</v>
      </c>
      <c r="B345" s="45" t="s">
        <v>177</v>
      </c>
      <c r="C345" s="45" t="s">
        <v>132</v>
      </c>
      <c r="D345" s="12" t="s">
        <v>1808</v>
      </c>
      <c r="E345" s="12">
        <v>10</v>
      </c>
      <c r="F345" s="12">
        <v>22</v>
      </c>
      <c r="G345" s="241">
        <f t="shared" si="23"/>
        <v>32</v>
      </c>
      <c r="H345" s="12"/>
      <c r="I345" s="12"/>
      <c r="J345" s="12">
        <v>29</v>
      </c>
      <c r="K345" s="241">
        <f t="shared" si="24"/>
        <v>61</v>
      </c>
      <c r="L345" t="str">
        <f t="shared" si="21"/>
        <v>B</v>
      </c>
      <c r="M345" t="str">
        <f t="shared" si="22"/>
        <v>Passed</v>
      </c>
    </row>
    <row r="346" spans="1:13" x14ac:dyDescent="0.3">
      <c r="A346" s="12">
        <v>51</v>
      </c>
      <c r="B346" s="45" t="s">
        <v>179</v>
      </c>
      <c r="C346" s="45" t="s">
        <v>665</v>
      </c>
      <c r="D346" s="12" t="s">
        <v>1818</v>
      </c>
      <c r="E346" s="12">
        <v>8</v>
      </c>
      <c r="F346" s="12">
        <v>29</v>
      </c>
      <c r="G346" s="241">
        <f t="shared" si="23"/>
        <v>37</v>
      </c>
      <c r="H346" s="12"/>
      <c r="I346" s="12"/>
      <c r="J346" s="12">
        <v>23</v>
      </c>
      <c r="K346" s="241">
        <f t="shared" si="24"/>
        <v>60</v>
      </c>
      <c r="L346" t="str">
        <f t="shared" si="21"/>
        <v>B</v>
      </c>
      <c r="M346" t="str">
        <f t="shared" si="22"/>
        <v>Passed</v>
      </c>
    </row>
    <row r="347" spans="1:13" x14ac:dyDescent="0.3">
      <c r="A347" s="12">
        <v>52</v>
      </c>
      <c r="B347" s="45" t="s">
        <v>180</v>
      </c>
      <c r="C347" s="45" t="s">
        <v>136</v>
      </c>
      <c r="D347" s="12" t="s">
        <v>1815</v>
      </c>
      <c r="E347" s="12">
        <v>8</v>
      </c>
      <c r="F347" s="12">
        <v>21</v>
      </c>
      <c r="G347" s="241">
        <f t="shared" si="23"/>
        <v>29</v>
      </c>
      <c r="H347" s="12"/>
      <c r="I347" s="12"/>
      <c r="J347" s="12">
        <v>26</v>
      </c>
      <c r="K347" s="241">
        <f t="shared" si="24"/>
        <v>55</v>
      </c>
      <c r="L347" t="str">
        <f t="shared" si="21"/>
        <v>C+</v>
      </c>
      <c r="M347" t="str">
        <f t="shared" si="22"/>
        <v>Passed</v>
      </c>
    </row>
    <row r="348" spans="1:13" x14ac:dyDescent="0.3">
      <c r="A348" s="12">
        <v>53</v>
      </c>
      <c r="B348" s="45" t="s">
        <v>183</v>
      </c>
      <c r="C348" s="45" t="s">
        <v>140</v>
      </c>
      <c r="D348" s="12" t="s">
        <v>1809</v>
      </c>
      <c r="E348" s="12">
        <v>10</v>
      </c>
      <c r="F348" s="12">
        <v>18</v>
      </c>
      <c r="G348" s="241">
        <f t="shared" si="23"/>
        <v>28</v>
      </c>
      <c r="H348" s="12"/>
      <c r="I348" s="12"/>
      <c r="J348" s="12">
        <v>26</v>
      </c>
      <c r="K348" s="241">
        <f t="shared" si="24"/>
        <v>54</v>
      </c>
      <c r="L348" t="str">
        <f t="shared" si="21"/>
        <v>C</v>
      </c>
      <c r="M348" t="str">
        <f t="shared" si="22"/>
        <v>Passed</v>
      </c>
    </row>
    <row r="349" spans="1:13" x14ac:dyDescent="0.3">
      <c r="A349" s="12">
        <v>54</v>
      </c>
      <c r="B349" s="45" t="s">
        <v>184</v>
      </c>
      <c r="C349" s="45" t="s">
        <v>142</v>
      </c>
      <c r="D349" s="12" t="s">
        <v>1801</v>
      </c>
      <c r="E349" s="12">
        <v>8</v>
      </c>
      <c r="F349" s="12">
        <v>26</v>
      </c>
      <c r="G349" s="241">
        <f t="shared" si="23"/>
        <v>34</v>
      </c>
      <c r="H349" s="12"/>
      <c r="I349" s="12"/>
      <c r="J349" s="12">
        <v>24</v>
      </c>
      <c r="K349" s="241">
        <f t="shared" si="24"/>
        <v>58</v>
      </c>
      <c r="L349" t="str">
        <f t="shared" si="21"/>
        <v>C+</v>
      </c>
      <c r="M349" t="str">
        <f t="shared" si="22"/>
        <v>Passed</v>
      </c>
    </row>
    <row r="350" spans="1:13" x14ac:dyDescent="0.3">
      <c r="A350" s="312"/>
      <c r="B350" s="56"/>
      <c r="C350" s="56"/>
      <c r="D350" s="56"/>
      <c r="E350" s="56"/>
      <c r="F350" s="56"/>
      <c r="G350" s="316"/>
      <c r="H350" s="56"/>
      <c r="I350" s="56"/>
      <c r="J350" s="56"/>
      <c r="K350" s="56"/>
    </row>
    <row r="351" spans="1:13" x14ac:dyDescent="0.3">
      <c r="A351" s="312"/>
      <c r="B351" s="56"/>
      <c r="C351" s="56"/>
      <c r="D351" s="56"/>
      <c r="E351" s="56"/>
      <c r="F351" s="56"/>
      <c r="G351" s="316"/>
      <c r="H351" s="56"/>
      <c r="I351" s="56"/>
      <c r="J351" s="56"/>
      <c r="K351" s="56"/>
    </row>
    <row r="352" spans="1:13" x14ac:dyDescent="0.3">
      <c r="A352" s="312"/>
      <c r="B352" s="56"/>
      <c r="C352" s="56"/>
      <c r="D352" s="56"/>
      <c r="E352" s="56"/>
      <c r="F352" s="56"/>
      <c r="G352" s="316"/>
      <c r="H352" s="56"/>
      <c r="I352" s="56"/>
      <c r="J352" s="56"/>
      <c r="K352" s="56"/>
    </row>
    <row r="353" spans="1:15" x14ac:dyDescent="0.3">
      <c r="A353" s="312"/>
      <c r="B353" s="56"/>
      <c r="C353" s="56"/>
      <c r="D353" s="56"/>
      <c r="E353" s="56"/>
      <c r="F353" s="56"/>
      <c r="G353" s="316"/>
      <c r="H353" s="56"/>
      <c r="I353" s="56"/>
      <c r="J353" s="56"/>
      <c r="K353" s="56"/>
    </row>
    <row r="354" spans="1:15" x14ac:dyDescent="0.3">
      <c r="A354" s="312"/>
      <c r="B354" s="56"/>
      <c r="C354" s="56"/>
      <c r="D354" s="56"/>
      <c r="E354" s="56"/>
      <c r="F354" s="56"/>
      <c r="G354" s="316"/>
      <c r="H354" s="56"/>
      <c r="I354" s="56"/>
      <c r="J354" s="56"/>
      <c r="K354" s="56"/>
    </row>
    <row r="355" spans="1:15" x14ac:dyDescent="0.3">
      <c r="A355" s="312"/>
      <c r="B355" s="56"/>
      <c r="C355" s="56"/>
      <c r="D355" s="56"/>
      <c r="E355" s="56"/>
      <c r="F355" s="56"/>
      <c r="G355" s="316"/>
      <c r="H355" s="56"/>
      <c r="I355" s="56"/>
      <c r="J355" s="56"/>
      <c r="K355" s="56"/>
    </row>
    <row r="356" spans="1:15" x14ac:dyDescent="0.3">
      <c r="A356" s="312"/>
      <c r="B356" s="56"/>
      <c r="C356" s="56"/>
      <c r="D356" s="56"/>
      <c r="E356" s="56"/>
      <c r="F356" s="56"/>
      <c r="G356" s="316"/>
      <c r="H356" s="56"/>
      <c r="I356" s="56"/>
      <c r="J356" s="56"/>
      <c r="K356" s="56"/>
    </row>
    <row r="359" spans="1:15" x14ac:dyDescent="0.3">
      <c r="A359" s="47" t="s">
        <v>0</v>
      </c>
    </row>
    <row r="360" spans="1:15" x14ac:dyDescent="0.3">
      <c r="A360" s="47" t="s">
        <v>66</v>
      </c>
      <c r="B360" s="450"/>
      <c r="C360" s="450"/>
      <c r="D360" s="450"/>
      <c r="E360" s="451"/>
      <c r="F360" s="451"/>
      <c r="G360" s="451"/>
      <c r="H360" s="56"/>
      <c r="I360" s="56"/>
    </row>
    <row r="361" spans="1:15" x14ac:dyDescent="0.3">
      <c r="A361" s="460" t="s">
        <v>362</v>
      </c>
      <c r="B361" s="461"/>
      <c r="C361" s="461"/>
      <c r="D361" s="2"/>
      <c r="E361" s="2"/>
      <c r="F361" s="2"/>
      <c r="G361" s="2"/>
      <c r="H361" s="2"/>
      <c r="I361" s="2"/>
      <c r="J361" s="2"/>
      <c r="K361" s="2"/>
      <c r="L361" s="1"/>
      <c r="M361" s="16"/>
      <c r="N361" s="16"/>
      <c r="O361" s="13"/>
    </row>
    <row r="362" spans="1:15" x14ac:dyDescent="0.3">
      <c r="A362" s="47" t="s">
        <v>1</v>
      </c>
      <c r="B362" s="462" t="s">
        <v>38</v>
      </c>
      <c r="C362" s="462"/>
      <c r="D362" s="14"/>
    </row>
    <row r="363" spans="1:15" x14ac:dyDescent="0.3">
      <c r="A363" s="14" t="s">
        <v>3</v>
      </c>
      <c r="B363" s="462" t="s">
        <v>76</v>
      </c>
      <c r="C363" s="462"/>
      <c r="D363" s="450"/>
      <c r="E363" s="451"/>
      <c r="F363" s="451"/>
      <c r="G363" s="451"/>
      <c r="H363" s="56"/>
      <c r="I363" s="56"/>
    </row>
    <row r="364" spans="1:15" x14ac:dyDescent="0.3">
      <c r="A364" s="47" t="s">
        <v>4</v>
      </c>
      <c r="B364" s="462" t="s">
        <v>427</v>
      </c>
      <c r="C364" s="462"/>
      <c r="D364" s="48"/>
    </row>
    <row r="365" spans="1:15" x14ac:dyDescent="0.3">
      <c r="A365" s="14" t="s">
        <v>5</v>
      </c>
      <c r="B365" s="463">
        <v>3</v>
      </c>
      <c r="C365" s="463"/>
      <c r="D365" s="450"/>
      <c r="E365" s="451"/>
      <c r="F365" s="451"/>
      <c r="G365" s="451"/>
      <c r="H365" s="56"/>
      <c r="I365" s="56"/>
    </row>
    <row r="366" spans="1:15" x14ac:dyDescent="0.3">
      <c r="A366" s="47" t="s">
        <v>6</v>
      </c>
      <c r="B366" s="462" t="s">
        <v>43</v>
      </c>
      <c r="C366" s="462"/>
      <c r="D366" s="14"/>
    </row>
    <row r="367" spans="1:15" x14ac:dyDescent="0.3">
      <c r="A367" s="14" t="s">
        <v>68</v>
      </c>
      <c r="B367" s="466"/>
      <c r="C367" s="466"/>
      <c r="D367" s="450"/>
      <c r="E367" s="451"/>
      <c r="F367" s="451"/>
      <c r="G367" s="451"/>
      <c r="H367" s="56"/>
      <c r="I367" s="56"/>
    </row>
    <row r="368" spans="1:15" x14ac:dyDescent="0.3">
      <c r="A368" s="452"/>
      <c r="B368" s="14"/>
      <c r="C368" s="14"/>
      <c r="D368" s="14"/>
    </row>
    <row r="369" spans="1:22" ht="60" x14ac:dyDescent="0.3">
      <c r="A369" s="452" t="s">
        <v>8</v>
      </c>
      <c r="B369" s="452" t="s">
        <v>9</v>
      </c>
      <c r="C369" s="452" t="s">
        <v>10</v>
      </c>
      <c r="D369" s="43" t="s">
        <v>11</v>
      </c>
      <c r="E369" s="43" t="s">
        <v>12</v>
      </c>
      <c r="F369" s="43" t="s">
        <v>13</v>
      </c>
      <c r="G369" s="43" t="s">
        <v>14</v>
      </c>
      <c r="H369" s="43" t="s">
        <v>208</v>
      </c>
      <c r="I369" s="43" t="s">
        <v>209</v>
      </c>
      <c r="J369" s="43" t="s">
        <v>15</v>
      </c>
      <c r="K369" s="43" t="s">
        <v>16</v>
      </c>
      <c r="L369" t="s">
        <v>17</v>
      </c>
      <c r="M369" t="s">
        <v>18</v>
      </c>
      <c r="N369" t="s">
        <v>19</v>
      </c>
    </row>
    <row r="370" spans="1:22" x14ac:dyDescent="0.3">
      <c r="A370" s="12"/>
      <c r="B370" s="452"/>
      <c r="C370" s="452"/>
      <c r="D370" s="452"/>
      <c r="E370" s="452"/>
      <c r="F370" s="452"/>
      <c r="G370" s="452"/>
      <c r="H370" s="452"/>
      <c r="I370" s="452"/>
      <c r="J370" s="12"/>
      <c r="K370" s="12"/>
      <c r="N370" t="s">
        <v>20</v>
      </c>
      <c r="O370">
        <f>COUNT(G371:G405)</f>
        <v>29</v>
      </c>
    </row>
    <row r="371" spans="1:22" x14ac:dyDescent="0.3">
      <c r="A371" s="12">
        <v>1</v>
      </c>
      <c r="B371" s="45" t="s">
        <v>203</v>
      </c>
      <c r="C371" s="45" t="s">
        <v>92</v>
      </c>
      <c r="D371" s="12" t="s">
        <v>1318</v>
      </c>
      <c r="E371" s="12">
        <v>10</v>
      </c>
      <c r="F371" s="12">
        <v>25</v>
      </c>
      <c r="G371" s="12">
        <f>SUM(E371:F371)</f>
        <v>35</v>
      </c>
      <c r="H371" s="12"/>
      <c r="I371" s="12"/>
      <c r="J371" s="12">
        <v>31</v>
      </c>
      <c r="K371" s="12">
        <f>SUM(G371:J371)</f>
        <v>66</v>
      </c>
      <c r="L371" t="str">
        <f t="shared" ref="L371:L405" si="25">IF(K371&gt;=80,"A",IF(K371&gt;=70,"B+",IF(K371&gt;=60,"B",IF(K371&gt;=55,"C+",IF(K371&gt;=50,"C",IF(K371&gt;=45,"D+",IF(K371&gt;=40,"D","F")))))))</f>
        <v>B</v>
      </c>
      <c r="M371" t="str">
        <f t="shared" ref="M371:M376" si="26">IF(K371&gt;=50,"Passed","Failed")</f>
        <v>Passed</v>
      </c>
      <c r="N371" t="s">
        <v>21</v>
      </c>
      <c r="O371">
        <f>COUNT(J371:J405)</f>
        <v>29</v>
      </c>
    </row>
    <row r="372" spans="1:22" x14ac:dyDescent="0.3">
      <c r="A372" s="12">
        <v>2</v>
      </c>
      <c r="B372" s="45" t="s">
        <v>145</v>
      </c>
      <c r="C372" s="45" t="s">
        <v>93</v>
      </c>
      <c r="D372" s="12" t="s">
        <v>1320</v>
      </c>
      <c r="E372" s="12">
        <v>8</v>
      </c>
      <c r="F372" s="12">
        <v>22</v>
      </c>
      <c r="G372" s="12">
        <f t="shared" ref="G372:G405" si="27">SUM(E372:F372)</f>
        <v>30</v>
      </c>
      <c r="H372" s="12"/>
      <c r="I372" s="12"/>
      <c r="J372" s="12">
        <v>12</v>
      </c>
      <c r="K372" s="12">
        <f t="shared" ref="K372:K405" si="28">SUM(G372:J372)</f>
        <v>42</v>
      </c>
      <c r="L372" t="str">
        <f t="shared" si="25"/>
        <v>D</v>
      </c>
      <c r="M372" t="str">
        <f t="shared" si="26"/>
        <v>Failed</v>
      </c>
      <c r="N372" t="s">
        <v>22</v>
      </c>
      <c r="O372">
        <f>O370-O371</f>
        <v>0</v>
      </c>
    </row>
    <row r="373" spans="1:22" x14ac:dyDescent="0.3">
      <c r="A373" s="12">
        <v>3</v>
      </c>
      <c r="B373" s="45" t="s">
        <v>149</v>
      </c>
      <c r="C373" s="45" t="s">
        <v>97</v>
      </c>
      <c r="D373" s="12" t="s">
        <v>1313</v>
      </c>
      <c r="E373" s="12">
        <v>10</v>
      </c>
      <c r="F373" s="12">
        <v>26</v>
      </c>
      <c r="G373" s="12">
        <f t="shared" si="27"/>
        <v>36</v>
      </c>
      <c r="H373" s="12"/>
      <c r="I373" s="12"/>
      <c r="J373" s="12">
        <v>47</v>
      </c>
      <c r="K373" s="12">
        <f t="shared" si="28"/>
        <v>83</v>
      </c>
      <c r="L373" t="str">
        <f t="shared" si="25"/>
        <v>A</v>
      </c>
      <c r="M373" t="str">
        <f t="shared" si="26"/>
        <v>Passed</v>
      </c>
      <c r="N373" t="s">
        <v>23</v>
      </c>
      <c r="O373">
        <f>COUNTIF(M371:M405,"Passed")</f>
        <v>23</v>
      </c>
    </row>
    <row r="374" spans="1:22" ht="18" customHeight="1" x14ac:dyDescent="0.3">
      <c r="A374" s="12">
        <v>4</v>
      </c>
      <c r="B374" s="45" t="s">
        <v>152</v>
      </c>
      <c r="C374" s="45" t="s">
        <v>100</v>
      </c>
      <c r="D374" s="12" t="s">
        <v>1316</v>
      </c>
      <c r="E374" s="12">
        <v>9</v>
      </c>
      <c r="F374" s="12">
        <v>19</v>
      </c>
      <c r="G374" s="12">
        <f t="shared" si="27"/>
        <v>28</v>
      </c>
      <c r="H374" s="12"/>
      <c r="I374" s="12"/>
      <c r="J374" s="12">
        <v>22</v>
      </c>
      <c r="K374" s="12">
        <f t="shared" si="28"/>
        <v>50</v>
      </c>
      <c r="L374" t="str">
        <f t="shared" si="25"/>
        <v>C</v>
      </c>
      <c r="M374" t="str">
        <f t="shared" si="26"/>
        <v>Passed</v>
      </c>
      <c r="N374" t="s">
        <v>24</v>
      </c>
      <c r="O374" s="179">
        <f>O373/O371%</f>
        <v>79.310344827586206</v>
      </c>
    </row>
    <row r="375" spans="1:22" x14ac:dyDescent="0.3">
      <c r="A375" s="12">
        <v>5</v>
      </c>
      <c r="B375" s="45" t="s">
        <v>156</v>
      </c>
      <c r="C375" s="45" t="s">
        <v>104</v>
      </c>
      <c r="D375" s="12" t="s">
        <v>1310</v>
      </c>
      <c r="E375" s="12">
        <v>10</v>
      </c>
      <c r="F375" s="12">
        <v>24</v>
      </c>
      <c r="G375" s="12">
        <f t="shared" si="27"/>
        <v>34</v>
      </c>
      <c r="H375" s="12"/>
      <c r="I375" s="12"/>
      <c r="J375" s="12">
        <v>50</v>
      </c>
      <c r="K375" s="12">
        <f t="shared" si="28"/>
        <v>84</v>
      </c>
      <c r="L375" t="str">
        <f t="shared" si="25"/>
        <v>A</v>
      </c>
      <c r="M375" t="str">
        <f t="shared" si="26"/>
        <v>Passed</v>
      </c>
      <c r="N375" t="s">
        <v>25</v>
      </c>
      <c r="O375">
        <f>COUNTIF(M371:M405,"failed")</f>
        <v>6</v>
      </c>
    </row>
    <row r="376" spans="1:22" x14ac:dyDescent="0.3">
      <c r="A376" s="12">
        <v>6</v>
      </c>
      <c r="B376" s="45" t="s">
        <v>160</v>
      </c>
      <c r="C376" s="45" t="s">
        <v>109</v>
      </c>
      <c r="D376" s="12" t="s">
        <v>1309</v>
      </c>
      <c r="E376" s="12">
        <v>10</v>
      </c>
      <c r="F376" s="12">
        <v>26</v>
      </c>
      <c r="G376" s="12">
        <f t="shared" si="27"/>
        <v>36</v>
      </c>
      <c r="H376" s="12"/>
      <c r="I376" s="12"/>
      <c r="J376" s="12">
        <v>41</v>
      </c>
      <c r="K376" s="12">
        <f t="shared" si="28"/>
        <v>77</v>
      </c>
      <c r="L376" t="str">
        <f t="shared" si="25"/>
        <v>B+</v>
      </c>
      <c r="M376" t="str">
        <f t="shared" si="26"/>
        <v>Passed</v>
      </c>
      <c r="N376" t="s">
        <v>26</v>
      </c>
      <c r="O376" s="179">
        <f>O375/O371%</f>
        <v>20.689655172413794</v>
      </c>
    </row>
    <row r="377" spans="1:22" x14ac:dyDescent="0.3">
      <c r="A377" s="12">
        <v>7</v>
      </c>
      <c r="B377" s="45" t="s">
        <v>207</v>
      </c>
      <c r="C377" s="45" t="s">
        <v>110</v>
      </c>
      <c r="D377" s="12" t="s">
        <v>1330</v>
      </c>
      <c r="E377" s="12"/>
      <c r="F377" s="12"/>
      <c r="G377" s="12"/>
      <c r="H377" s="12"/>
      <c r="I377" s="12"/>
      <c r="J377" s="12"/>
      <c r="K377" s="12"/>
      <c r="N377" t="s">
        <v>27</v>
      </c>
      <c r="O377" s="179">
        <f>AVERAGE(K371:K405)</f>
        <v>61</v>
      </c>
    </row>
    <row r="378" spans="1:22" x14ac:dyDescent="0.3">
      <c r="A378" s="12">
        <v>8</v>
      </c>
      <c r="B378" s="45" t="s">
        <v>163</v>
      </c>
      <c r="C378" s="45" t="s">
        <v>113</v>
      </c>
      <c r="D378" s="12" t="s">
        <v>1314</v>
      </c>
      <c r="E378" s="12">
        <v>9</v>
      </c>
      <c r="F378" s="12">
        <v>20</v>
      </c>
      <c r="G378" s="12">
        <f t="shared" si="27"/>
        <v>29</v>
      </c>
      <c r="H378" s="12"/>
      <c r="I378" s="12"/>
      <c r="J378" s="12">
        <v>27</v>
      </c>
      <c r="K378" s="12">
        <f t="shared" si="28"/>
        <v>56</v>
      </c>
      <c r="L378" t="str">
        <f t="shared" si="25"/>
        <v>C+</v>
      </c>
      <c r="M378" t="str">
        <f>IF(K378&gt;=50,"Passed","Failed")</f>
        <v>Passed</v>
      </c>
    </row>
    <row r="379" spans="1:22" x14ac:dyDescent="0.3">
      <c r="A379" s="12">
        <v>9</v>
      </c>
      <c r="B379" s="45" t="s">
        <v>480</v>
      </c>
      <c r="C379" s="45" t="s">
        <v>115</v>
      </c>
      <c r="D379" s="12" t="s">
        <v>1321</v>
      </c>
      <c r="E379" s="12">
        <v>10</v>
      </c>
      <c r="F379" s="12">
        <v>25</v>
      </c>
      <c r="G379" s="12">
        <f t="shared" si="27"/>
        <v>35</v>
      </c>
      <c r="H379" s="12"/>
      <c r="I379" s="12"/>
      <c r="J379" s="12">
        <v>53</v>
      </c>
      <c r="K379" s="12">
        <f t="shared" si="28"/>
        <v>88</v>
      </c>
      <c r="L379" t="str">
        <f t="shared" si="25"/>
        <v>A</v>
      </c>
      <c r="M379" t="str">
        <f t="shared" ref="M379:M405" si="29">IF(K379&gt;=50,"Passed","Failed")</f>
        <v>Passed</v>
      </c>
    </row>
    <row r="380" spans="1:22" x14ac:dyDescent="0.3">
      <c r="A380" s="12">
        <v>10</v>
      </c>
      <c r="B380" s="45" t="s">
        <v>200</v>
      </c>
      <c r="C380" s="45" t="s">
        <v>119</v>
      </c>
      <c r="D380" s="12" t="s">
        <v>1327</v>
      </c>
      <c r="E380" s="12">
        <v>8</v>
      </c>
      <c r="F380" s="12">
        <v>15</v>
      </c>
      <c r="G380" s="12">
        <f t="shared" si="27"/>
        <v>23</v>
      </c>
      <c r="H380" s="12"/>
      <c r="I380" s="12"/>
      <c r="J380" s="12">
        <v>3</v>
      </c>
      <c r="K380" s="12">
        <f t="shared" si="28"/>
        <v>26</v>
      </c>
      <c r="L380" t="str">
        <f t="shared" si="25"/>
        <v>F</v>
      </c>
      <c r="M380" t="str">
        <f t="shared" si="29"/>
        <v>Failed</v>
      </c>
    </row>
    <row r="381" spans="1:22" x14ac:dyDescent="0.3">
      <c r="A381" s="12">
        <v>11</v>
      </c>
      <c r="B381" s="45" t="s">
        <v>205</v>
      </c>
      <c r="C381" s="45" t="s">
        <v>120</v>
      </c>
      <c r="D381" s="12" t="s">
        <v>1330</v>
      </c>
      <c r="E381" s="12"/>
      <c r="F381" s="12"/>
      <c r="G381" s="12"/>
      <c r="H381" s="12"/>
      <c r="I381" s="12"/>
      <c r="J381" s="12"/>
      <c r="K381" s="12"/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 t="s">
        <v>33</v>
      </c>
      <c r="U381" t="s">
        <v>34</v>
      </c>
      <c r="V381" t="s">
        <v>35</v>
      </c>
    </row>
    <row r="382" spans="1:22" x14ac:dyDescent="0.3">
      <c r="A382" s="12">
        <v>12</v>
      </c>
      <c r="B382" s="45" t="s">
        <v>168</v>
      </c>
      <c r="C382" s="45" t="s">
        <v>121</v>
      </c>
      <c r="D382" s="12" t="s">
        <v>1312</v>
      </c>
      <c r="E382" s="12">
        <v>8</v>
      </c>
      <c r="F382" s="12">
        <v>20</v>
      </c>
      <c r="G382" s="12">
        <f t="shared" si="27"/>
        <v>28</v>
      </c>
      <c r="H382" s="12"/>
      <c r="I382" s="12"/>
      <c r="J382" s="12">
        <v>28</v>
      </c>
      <c r="K382" s="12">
        <f t="shared" si="28"/>
        <v>56</v>
      </c>
      <c r="L382" t="str">
        <f t="shared" si="25"/>
        <v>C+</v>
      </c>
      <c r="M382" t="str">
        <f t="shared" si="29"/>
        <v>Passed</v>
      </c>
      <c r="O382">
        <f>COUNTIF(L371:L405,"A")</f>
        <v>5</v>
      </c>
      <c r="P382">
        <f>COUNTIF(L371:L405,"B+")</f>
        <v>2</v>
      </c>
      <c r="Q382">
        <f>COUNTIF(L371:L405,"B")</f>
        <v>8</v>
      </c>
      <c r="R382">
        <f>COUNTIF(L371:L405,"C+")</f>
        <v>4</v>
      </c>
      <c r="S382">
        <f>COUNTIF(L371:L405,"C")</f>
        <v>4</v>
      </c>
      <c r="T382">
        <f>COUNTIF(L371:L405,"D+")</f>
        <v>2</v>
      </c>
      <c r="U382">
        <f>COUNTIF(L371:L405,"D")</f>
        <v>2</v>
      </c>
      <c r="V382">
        <f>COUNTIF(L371:L405,"F")</f>
        <v>2</v>
      </c>
    </row>
    <row r="383" spans="1:22" x14ac:dyDescent="0.3">
      <c r="A383" s="12">
        <v>13</v>
      </c>
      <c r="B383" s="45" t="s">
        <v>170</v>
      </c>
      <c r="C383" s="45" t="s">
        <v>124</v>
      </c>
      <c r="D383" s="12" t="s">
        <v>1323</v>
      </c>
      <c r="E383" s="12">
        <v>10</v>
      </c>
      <c r="F383" s="12">
        <v>24</v>
      </c>
      <c r="G383" s="12">
        <f t="shared" si="27"/>
        <v>34</v>
      </c>
      <c r="H383" s="12"/>
      <c r="I383" s="12"/>
      <c r="J383" s="12">
        <v>28</v>
      </c>
      <c r="K383" s="12">
        <f t="shared" si="28"/>
        <v>62</v>
      </c>
      <c r="L383" t="str">
        <f t="shared" si="25"/>
        <v>B</v>
      </c>
      <c r="M383" t="str">
        <f t="shared" si="29"/>
        <v>Passed</v>
      </c>
    </row>
    <row r="384" spans="1:22" x14ac:dyDescent="0.3">
      <c r="A384" s="12">
        <v>14</v>
      </c>
      <c r="B384" s="45" t="s">
        <v>172</v>
      </c>
      <c r="C384" s="45" t="s">
        <v>126</v>
      </c>
      <c r="D384" s="12" t="s">
        <v>1303</v>
      </c>
      <c r="E384" s="12">
        <v>9</v>
      </c>
      <c r="F384" s="12">
        <v>19</v>
      </c>
      <c r="G384" s="12">
        <f t="shared" si="27"/>
        <v>28</v>
      </c>
      <c r="H384" s="12"/>
      <c r="I384" s="12"/>
      <c r="J384" s="12">
        <v>25</v>
      </c>
      <c r="K384" s="12">
        <f t="shared" si="28"/>
        <v>53</v>
      </c>
      <c r="L384" t="str">
        <f t="shared" si="25"/>
        <v>C</v>
      </c>
      <c r="M384" t="str">
        <f t="shared" si="29"/>
        <v>Passed</v>
      </c>
    </row>
    <row r="385" spans="1:13" x14ac:dyDescent="0.3">
      <c r="A385" s="12">
        <v>15</v>
      </c>
      <c r="B385" s="45" t="s">
        <v>173</v>
      </c>
      <c r="C385" s="45" t="s">
        <v>127</v>
      </c>
      <c r="D385" s="12" t="s">
        <v>1315</v>
      </c>
      <c r="E385" s="12">
        <v>10</v>
      </c>
      <c r="F385" s="12">
        <v>15</v>
      </c>
      <c r="G385" s="12">
        <f t="shared" si="27"/>
        <v>25</v>
      </c>
      <c r="H385" s="12"/>
      <c r="I385" s="12"/>
      <c r="J385" s="12">
        <v>33</v>
      </c>
      <c r="K385" s="12">
        <f t="shared" si="28"/>
        <v>58</v>
      </c>
      <c r="L385" t="str">
        <f t="shared" si="25"/>
        <v>C+</v>
      </c>
      <c r="M385" t="str">
        <f t="shared" si="29"/>
        <v>Passed</v>
      </c>
    </row>
    <row r="386" spans="1:13" x14ac:dyDescent="0.3">
      <c r="A386" s="12">
        <v>16</v>
      </c>
      <c r="B386" s="45" t="s">
        <v>175</v>
      </c>
      <c r="C386" s="45" t="s">
        <v>131</v>
      </c>
      <c r="D386" s="12" t="s">
        <v>1319</v>
      </c>
      <c r="E386" s="12">
        <v>10</v>
      </c>
      <c r="F386" s="12">
        <v>25</v>
      </c>
      <c r="G386" s="12">
        <f t="shared" si="27"/>
        <v>35</v>
      </c>
      <c r="H386" s="12"/>
      <c r="I386" s="12"/>
      <c r="J386" s="12">
        <v>53</v>
      </c>
      <c r="K386" s="12">
        <f t="shared" si="28"/>
        <v>88</v>
      </c>
      <c r="L386" t="str">
        <f t="shared" si="25"/>
        <v>A</v>
      </c>
      <c r="M386" t="str">
        <f t="shared" si="29"/>
        <v>Passed</v>
      </c>
    </row>
    <row r="387" spans="1:13" x14ac:dyDescent="0.3">
      <c r="A387" s="12">
        <v>17</v>
      </c>
      <c r="B387" s="277" t="s">
        <v>178</v>
      </c>
      <c r="C387" s="45" t="s">
        <v>133</v>
      </c>
      <c r="D387" s="12" t="s">
        <v>1308</v>
      </c>
      <c r="E387" s="12">
        <v>10</v>
      </c>
      <c r="F387" s="12">
        <v>23</v>
      </c>
      <c r="G387" s="12">
        <f t="shared" si="27"/>
        <v>33</v>
      </c>
      <c r="H387" s="12"/>
      <c r="I387" s="12"/>
      <c r="J387" s="12">
        <v>36</v>
      </c>
      <c r="K387" s="12">
        <f t="shared" si="28"/>
        <v>69</v>
      </c>
      <c r="L387" t="str">
        <f t="shared" si="25"/>
        <v>B</v>
      </c>
      <c r="M387" t="str">
        <f t="shared" si="29"/>
        <v>Passed</v>
      </c>
    </row>
    <row r="388" spans="1:13" x14ac:dyDescent="0.3">
      <c r="A388" s="12">
        <v>18</v>
      </c>
      <c r="B388" s="45" t="s">
        <v>534</v>
      </c>
      <c r="C388" s="303" t="s">
        <v>363</v>
      </c>
      <c r="D388" s="12" t="s">
        <v>1329</v>
      </c>
      <c r="E388" s="12">
        <v>8</v>
      </c>
      <c r="F388" s="12">
        <v>20</v>
      </c>
      <c r="G388" s="12">
        <f t="shared" si="27"/>
        <v>28</v>
      </c>
      <c r="H388" s="12"/>
      <c r="I388" s="12"/>
      <c r="J388" s="12">
        <v>12</v>
      </c>
      <c r="K388" s="12">
        <f t="shared" si="28"/>
        <v>40</v>
      </c>
      <c r="L388" t="str">
        <f t="shared" si="25"/>
        <v>D</v>
      </c>
      <c r="M388" t="str">
        <f t="shared" si="29"/>
        <v>Failed</v>
      </c>
    </row>
    <row r="389" spans="1:13" x14ac:dyDescent="0.3">
      <c r="A389" s="12">
        <v>19</v>
      </c>
      <c r="B389" s="389" t="s">
        <v>144</v>
      </c>
      <c r="C389" s="304" t="s">
        <v>137</v>
      </c>
      <c r="D389" s="12" t="s">
        <v>1326</v>
      </c>
      <c r="E389" s="12"/>
      <c r="F389" s="12"/>
      <c r="G389" s="12"/>
      <c r="H389" s="12"/>
      <c r="I389" s="12"/>
      <c r="J389" s="12"/>
      <c r="K389" s="12"/>
    </row>
    <row r="390" spans="1:13" x14ac:dyDescent="0.3">
      <c r="A390" s="63">
        <v>20</v>
      </c>
      <c r="B390" s="390" t="s">
        <v>204</v>
      </c>
      <c r="C390" s="390" t="s">
        <v>138</v>
      </c>
      <c r="D390" s="12" t="s">
        <v>1300</v>
      </c>
      <c r="E390" s="12">
        <v>10</v>
      </c>
      <c r="F390" s="12">
        <v>24</v>
      </c>
      <c r="G390" s="12">
        <f t="shared" si="27"/>
        <v>34</v>
      </c>
      <c r="H390" s="12"/>
      <c r="I390" s="12"/>
      <c r="J390" s="12">
        <v>42</v>
      </c>
      <c r="K390" s="12">
        <f t="shared" si="28"/>
        <v>76</v>
      </c>
      <c r="L390" t="str">
        <f t="shared" si="25"/>
        <v>B+</v>
      </c>
      <c r="M390" t="str">
        <f t="shared" si="29"/>
        <v>Passed</v>
      </c>
    </row>
    <row r="391" spans="1:13" x14ac:dyDescent="0.3">
      <c r="A391" s="62">
        <v>21</v>
      </c>
      <c r="B391" s="305" t="s">
        <v>181</v>
      </c>
      <c r="C391" s="45" t="s">
        <v>139</v>
      </c>
      <c r="D391" s="12" t="s">
        <v>1302</v>
      </c>
      <c r="E391" s="12">
        <v>10</v>
      </c>
      <c r="F391" s="12">
        <v>22</v>
      </c>
      <c r="G391" s="12">
        <f t="shared" si="27"/>
        <v>32</v>
      </c>
      <c r="H391" s="12"/>
      <c r="I391" s="12"/>
      <c r="J391" s="12">
        <v>35</v>
      </c>
      <c r="K391" s="12">
        <f t="shared" si="28"/>
        <v>67</v>
      </c>
      <c r="L391" t="str">
        <f t="shared" si="25"/>
        <v>B</v>
      </c>
      <c r="M391" t="str">
        <f t="shared" si="29"/>
        <v>Passed</v>
      </c>
    </row>
    <row r="392" spans="1:13" x14ac:dyDescent="0.3">
      <c r="A392" s="12">
        <v>22</v>
      </c>
      <c r="B392" s="391" t="s">
        <v>201</v>
      </c>
      <c r="C392" s="45" t="s">
        <v>141</v>
      </c>
      <c r="D392" s="12" t="s">
        <v>1317</v>
      </c>
      <c r="E392" s="12">
        <v>10</v>
      </c>
      <c r="F392" s="12">
        <v>20</v>
      </c>
      <c r="G392" s="12">
        <f t="shared" si="27"/>
        <v>30</v>
      </c>
      <c r="H392" s="12"/>
      <c r="I392" s="12"/>
      <c r="J392" s="12">
        <v>30</v>
      </c>
      <c r="K392" s="12">
        <f t="shared" si="28"/>
        <v>60</v>
      </c>
      <c r="L392" t="str">
        <f t="shared" si="25"/>
        <v>B</v>
      </c>
      <c r="M392" t="str">
        <f t="shared" si="29"/>
        <v>Passed</v>
      </c>
    </row>
    <row r="393" spans="1:13" x14ac:dyDescent="0.3">
      <c r="A393" s="12">
        <v>23</v>
      </c>
      <c r="B393" s="45" t="s">
        <v>176</v>
      </c>
      <c r="C393" s="45" t="s">
        <v>481</v>
      </c>
      <c r="D393" s="12" t="s">
        <v>1324</v>
      </c>
      <c r="E393" s="12">
        <v>8</v>
      </c>
      <c r="F393" s="12">
        <v>20</v>
      </c>
      <c r="G393" s="12">
        <f t="shared" si="27"/>
        <v>28</v>
      </c>
      <c r="H393" s="12"/>
      <c r="I393" s="12"/>
      <c r="J393" s="12">
        <v>6</v>
      </c>
      <c r="K393" s="12">
        <f t="shared" si="28"/>
        <v>34</v>
      </c>
      <c r="L393" t="str">
        <f t="shared" si="25"/>
        <v>F</v>
      </c>
      <c r="M393" t="str">
        <f t="shared" si="29"/>
        <v>Failed</v>
      </c>
    </row>
    <row r="394" spans="1:13" x14ac:dyDescent="0.3">
      <c r="A394" s="12">
        <v>24</v>
      </c>
      <c r="B394" s="12" t="s">
        <v>146</v>
      </c>
      <c r="C394" s="12" t="s">
        <v>94</v>
      </c>
      <c r="D394" s="12" t="s">
        <v>1325</v>
      </c>
      <c r="E394" s="12">
        <v>10</v>
      </c>
      <c r="F394" s="12">
        <v>25</v>
      </c>
      <c r="G394" s="12">
        <f t="shared" si="27"/>
        <v>35</v>
      </c>
      <c r="H394" s="12"/>
      <c r="I394" s="12"/>
      <c r="J394" s="12">
        <v>17</v>
      </c>
      <c r="K394" s="12">
        <f t="shared" si="28"/>
        <v>52</v>
      </c>
      <c r="L394" t="str">
        <f t="shared" si="25"/>
        <v>C</v>
      </c>
      <c r="M394" t="str">
        <f t="shared" si="29"/>
        <v>Passed</v>
      </c>
    </row>
    <row r="395" spans="1:13" x14ac:dyDescent="0.3">
      <c r="A395" s="12">
        <v>25</v>
      </c>
      <c r="B395" s="60" t="s">
        <v>147</v>
      </c>
      <c r="C395" s="12" t="s">
        <v>95</v>
      </c>
      <c r="D395" s="12" t="s">
        <v>1322</v>
      </c>
      <c r="E395" s="12">
        <v>10</v>
      </c>
      <c r="F395" s="12">
        <v>24</v>
      </c>
      <c r="G395" s="12">
        <f t="shared" si="27"/>
        <v>34</v>
      </c>
      <c r="H395" s="12"/>
      <c r="I395" s="12"/>
      <c r="J395" s="12">
        <v>19</v>
      </c>
      <c r="K395" s="12">
        <f t="shared" si="28"/>
        <v>53</v>
      </c>
      <c r="L395" t="str">
        <f t="shared" si="25"/>
        <v>C</v>
      </c>
      <c r="M395" t="str">
        <f t="shared" si="29"/>
        <v>Passed</v>
      </c>
    </row>
    <row r="396" spans="1:13" x14ac:dyDescent="0.3">
      <c r="A396" s="12">
        <v>26</v>
      </c>
      <c r="B396" s="12" t="s">
        <v>155</v>
      </c>
      <c r="C396" s="12" t="s">
        <v>103</v>
      </c>
      <c r="D396" s="12" t="s">
        <v>1328</v>
      </c>
      <c r="E396" s="12">
        <v>10</v>
      </c>
      <c r="F396" s="12">
        <v>24</v>
      </c>
      <c r="G396" s="12">
        <f t="shared" si="27"/>
        <v>34</v>
      </c>
      <c r="H396" s="12"/>
      <c r="I396" s="12"/>
      <c r="J396" s="12">
        <v>47</v>
      </c>
      <c r="K396" s="12">
        <f t="shared" si="28"/>
        <v>81</v>
      </c>
      <c r="L396" t="str">
        <f t="shared" si="25"/>
        <v>A</v>
      </c>
      <c r="M396" t="str">
        <f t="shared" si="29"/>
        <v>Passed</v>
      </c>
    </row>
    <row r="397" spans="1:13" x14ac:dyDescent="0.3">
      <c r="A397" s="12">
        <v>27</v>
      </c>
      <c r="B397" s="12" t="s">
        <v>182</v>
      </c>
      <c r="C397" s="12" t="s">
        <v>105</v>
      </c>
      <c r="D397" s="12" t="s">
        <v>1330</v>
      </c>
      <c r="E397" s="12"/>
      <c r="F397" s="12"/>
      <c r="G397" s="12"/>
      <c r="H397" s="12"/>
      <c r="I397" s="12"/>
      <c r="J397" s="12"/>
      <c r="K397" s="12"/>
    </row>
    <row r="398" spans="1:13" x14ac:dyDescent="0.3">
      <c r="A398" s="12">
        <v>28</v>
      </c>
      <c r="B398" s="12" t="s">
        <v>161</v>
      </c>
      <c r="C398" s="12" t="s">
        <v>111</v>
      </c>
      <c r="D398" s="12" t="s">
        <v>1330</v>
      </c>
      <c r="E398" s="12"/>
      <c r="F398" s="12"/>
      <c r="G398" s="12"/>
      <c r="H398" s="12"/>
      <c r="I398" s="12"/>
      <c r="J398" s="12"/>
      <c r="K398" s="12"/>
    </row>
    <row r="399" spans="1:13" x14ac:dyDescent="0.3">
      <c r="A399" s="12">
        <v>29</v>
      </c>
      <c r="B399" s="12" t="s">
        <v>169</v>
      </c>
      <c r="C399" s="12" t="s">
        <v>122</v>
      </c>
      <c r="D399" s="12" t="s">
        <v>1330</v>
      </c>
      <c r="E399" s="12"/>
      <c r="F399" s="12"/>
      <c r="G399" s="12"/>
      <c r="H399" s="12"/>
      <c r="I399" s="12"/>
      <c r="J399" s="12"/>
      <c r="K399" s="12"/>
    </row>
    <row r="400" spans="1:13" x14ac:dyDescent="0.3">
      <c r="A400" s="12">
        <v>30</v>
      </c>
      <c r="B400" s="12" t="s">
        <v>421</v>
      </c>
      <c r="C400" s="12" t="s">
        <v>129</v>
      </c>
      <c r="D400" s="12" t="s">
        <v>1305</v>
      </c>
      <c r="E400" s="12">
        <v>10</v>
      </c>
      <c r="F400" s="12">
        <v>14</v>
      </c>
      <c r="G400" s="12">
        <f t="shared" si="27"/>
        <v>24</v>
      </c>
      <c r="H400" s="12"/>
      <c r="I400" s="12"/>
      <c r="J400" s="12">
        <v>41</v>
      </c>
      <c r="K400" s="12">
        <f t="shared" si="28"/>
        <v>65</v>
      </c>
      <c r="L400" t="str">
        <f t="shared" si="25"/>
        <v>B</v>
      </c>
      <c r="M400" t="str">
        <f t="shared" si="29"/>
        <v>Passed</v>
      </c>
    </row>
    <row r="401" spans="1:15" x14ac:dyDescent="0.3">
      <c r="A401" s="12">
        <v>31</v>
      </c>
      <c r="B401" s="12" t="s">
        <v>177</v>
      </c>
      <c r="C401" s="12" t="s">
        <v>132</v>
      </c>
      <c r="D401" s="12" t="s">
        <v>1307</v>
      </c>
      <c r="E401" s="12">
        <v>10</v>
      </c>
      <c r="F401" s="12">
        <v>24</v>
      </c>
      <c r="G401" s="12">
        <f t="shared" si="27"/>
        <v>34</v>
      </c>
      <c r="H401" s="12"/>
      <c r="I401" s="12"/>
      <c r="J401" s="12">
        <v>28</v>
      </c>
      <c r="K401" s="12">
        <f t="shared" si="28"/>
        <v>62</v>
      </c>
      <c r="L401" t="str">
        <f t="shared" si="25"/>
        <v>B</v>
      </c>
      <c r="M401" t="str">
        <f t="shared" si="29"/>
        <v>Passed</v>
      </c>
    </row>
    <row r="402" spans="1:15" x14ac:dyDescent="0.3">
      <c r="A402" s="12">
        <v>32</v>
      </c>
      <c r="B402" s="12" t="s">
        <v>179</v>
      </c>
      <c r="C402" s="12" t="s">
        <v>134</v>
      </c>
      <c r="D402" s="12" t="s">
        <v>1304</v>
      </c>
      <c r="E402" s="12">
        <v>10</v>
      </c>
      <c r="F402" s="12">
        <v>23</v>
      </c>
      <c r="G402" s="12">
        <f t="shared" si="27"/>
        <v>33</v>
      </c>
      <c r="H402" s="12"/>
      <c r="I402" s="12"/>
      <c r="J402" s="12">
        <v>16</v>
      </c>
      <c r="K402" s="12">
        <f t="shared" si="28"/>
        <v>49</v>
      </c>
      <c r="L402" t="str">
        <f t="shared" si="25"/>
        <v>D+</v>
      </c>
      <c r="M402" t="str">
        <f t="shared" si="29"/>
        <v>Failed</v>
      </c>
    </row>
    <row r="403" spans="1:15" x14ac:dyDescent="0.3">
      <c r="A403" s="12">
        <v>33</v>
      </c>
      <c r="B403" s="12" t="s">
        <v>180</v>
      </c>
      <c r="C403" s="12" t="s">
        <v>136</v>
      </c>
      <c r="D403" s="12" t="s">
        <v>1311</v>
      </c>
      <c r="E403" s="12">
        <v>10</v>
      </c>
      <c r="F403" s="12">
        <v>18</v>
      </c>
      <c r="G403" s="12">
        <f t="shared" si="27"/>
        <v>28</v>
      </c>
      <c r="H403" s="12"/>
      <c r="I403" s="12"/>
      <c r="J403" s="12">
        <v>20</v>
      </c>
      <c r="K403" s="12">
        <f t="shared" si="28"/>
        <v>48</v>
      </c>
      <c r="L403" t="str">
        <f t="shared" si="25"/>
        <v>D+</v>
      </c>
      <c r="M403" t="str">
        <f t="shared" si="29"/>
        <v>Failed</v>
      </c>
    </row>
    <row r="404" spans="1:15" x14ac:dyDescent="0.3">
      <c r="A404" s="12">
        <v>34</v>
      </c>
      <c r="B404" s="12" t="s">
        <v>183</v>
      </c>
      <c r="C404" s="12" t="s">
        <v>140</v>
      </c>
      <c r="D404" s="12" t="s">
        <v>1306</v>
      </c>
      <c r="E404" s="12">
        <v>10</v>
      </c>
      <c r="F404" s="12">
        <v>23</v>
      </c>
      <c r="G404" s="12">
        <f t="shared" si="27"/>
        <v>33</v>
      </c>
      <c r="H404" s="12"/>
      <c r="I404" s="12"/>
      <c r="J404" s="12">
        <v>34</v>
      </c>
      <c r="K404" s="12">
        <f t="shared" si="28"/>
        <v>67</v>
      </c>
      <c r="L404" t="str">
        <f t="shared" si="25"/>
        <v>B</v>
      </c>
      <c r="M404" t="str">
        <f t="shared" si="29"/>
        <v>Passed</v>
      </c>
    </row>
    <row r="405" spans="1:15" x14ac:dyDescent="0.3">
      <c r="A405" s="12">
        <v>35</v>
      </c>
      <c r="B405" s="12" t="s">
        <v>184</v>
      </c>
      <c r="C405" s="12" t="s">
        <v>142</v>
      </c>
      <c r="D405" s="12" t="s">
        <v>1301</v>
      </c>
      <c r="E405" s="12">
        <v>10</v>
      </c>
      <c r="F405" s="12">
        <v>26</v>
      </c>
      <c r="G405" s="12">
        <f t="shared" si="27"/>
        <v>36</v>
      </c>
      <c r="H405" s="12"/>
      <c r="I405" s="12"/>
      <c r="J405" s="12">
        <v>21</v>
      </c>
      <c r="K405" s="12">
        <f t="shared" si="28"/>
        <v>57</v>
      </c>
      <c r="L405" t="str">
        <f t="shared" si="25"/>
        <v>C+</v>
      </c>
      <c r="M405" t="str">
        <f t="shared" si="29"/>
        <v>Passed</v>
      </c>
    </row>
    <row r="410" spans="1:15" x14ac:dyDescent="0.3">
      <c r="A410" s="450" t="s">
        <v>0</v>
      </c>
      <c r="B410" s="451"/>
      <c r="C410" s="451"/>
      <c r="D410" s="451"/>
      <c r="E410" s="451"/>
      <c r="F410" s="451"/>
      <c r="G410" s="451"/>
      <c r="H410" s="451"/>
      <c r="I410" s="451"/>
      <c r="J410" s="451"/>
      <c r="K410" s="451"/>
      <c r="L410" s="451"/>
    </row>
    <row r="411" spans="1:15" x14ac:dyDescent="0.3">
      <c r="A411" s="14" t="s">
        <v>66</v>
      </c>
      <c r="B411" s="14"/>
      <c r="C411" s="14"/>
      <c r="D411" s="14"/>
      <c r="E411" s="14"/>
      <c r="F411" s="14"/>
      <c r="G411" s="14"/>
      <c r="H411" s="14"/>
      <c r="I411" s="14"/>
    </row>
    <row r="412" spans="1:15" x14ac:dyDescent="0.3">
      <c r="A412" s="460" t="s">
        <v>362</v>
      </c>
      <c r="B412" s="461"/>
      <c r="C412" s="461"/>
      <c r="D412" s="2"/>
      <c r="E412" s="2"/>
      <c r="F412" s="2"/>
      <c r="G412" s="2"/>
      <c r="H412" s="2"/>
      <c r="I412" s="2"/>
      <c r="J412" s="2"/>
      <c r="K412" s="2"/>
      <c r="L412" s="1"/>
      <c r="M412" s="16"/>
      <c r="N412" s="16"/>
      <c r="O412" s="13"/>
    </row>
    <row r="413" spans="1:15" x14ac:dyDescent="0.3">
      <c r="A413" s="450" t="s">
        <v>1</v>
      </c>
      <c r="B413" s="462" t="s">
        <v>546</v>
      </c>
      <c r="C413" s="462"/>
      <c r="D413" s="450"/>
      <c r="E413" s="450"/>
      <c r="F413" s="450"/>
      <c r="G413" s="450"/>
      <c r="H413" s="450"/>
      <c r="I413" s="450"/>
      <c r="J413" s="451"/>
      <c r="K413" s="451"/>
      <c r="L413" s="451"/>
    </row>
    <row r="414" spans="1:15" x14ac:dyDescent="0.3">
      <c r="A414" s="450" t="s">
        <v>3</v>
      </c>
      <c r="B414" s="462" t="s">
        <v>77</v>
      </c>
      <c r="C414" s="462"/>
      <c r="D414" s="450"/>
      <c r="E414" s="450"/>
      <c r="F414" s="450"/>
      <c r="G414" s="450"/>
      <c r="H414" s="450"/>
      <c r="I414" s="450"/>
      <c r="J414" s="451"/>
      <c r="K414" s="451"/>
      <c r="L414" s="451"/>
    </row>
    <row r="415" spans="1:15" x14ac:dyDescent="0.3">
      <c r="A415" s="450" t="s">
        <v>4</v>
      </c>
      <c r="B415" s="462" t="s">
        <v>78</v>
      </c>
      <c r="C415" s="462"/>
      <c r="D415" s="450"/>
      <c r="E415" s="450"/>
      <c r="F415" s="450"/>
      <c r="G415" s="450"/>
      <c r="H415" s="450"/>
      <c r="I415" s="450"/>
      <c r="J415" s="451"/>
      <c r="K415" s="451"/>
      <c r="L415" s="451"/>
    </row>
    <row r="416" spans="1:15" x14ac:dyDescent="0.3">
      <c r="A416" s="450" t="s">
        <v>5</v>
      </c>
      <c r="B416" s="463">
        <v>2</v>
      </c>
      <c r="C416" s="463"/>
      <c r="D416" s="450"/>
      <c r="E416" s="450"/>
      <c r="F416" s="450"/>
      <c r="G416" s="450"/>
      <c r="H416" s="450"/>
      <c r="I416" s="450"/>
      <c r="J416" s="451"/>
      <c r="K416" s="451"/>
      <c r="L416" s="451"/>
    </row>
    <row r="417" spans="1:22" x14ac:dyDescent="0.3">
      <c r="A417" s="450" t="s">
        <v>6</v>
      </c>
      <c r="B417" s="462" t="s">
        <v>425</v>
      </c>
      <c r="C417" s="462"/>
      <c r="D417" s="450"/>
      <c r="E417" s="450"/>
      <c r="F417" s="450"/>
      <c r="G417" s="450"/>
      <c r="H417" s="450"/>
      <c r="I417" s="450"/>
      <c r="J417" s="451"/>
      <c r="K417" s="451"/>
      <c r="L417" s="451"/>
    </row>
    <row r="418" spans="1:22" x14ac:dyDescent="0.3">
      <c r="A418" s="450" t="s">
        <v>68</v>
      </c>
      <c r="B418" s="462" t="s">
        <v>547</v>
      </c>
      <c r="C418" s="462"/>
      <c r="D418" s="450"/>
      <c r="E418" s="450"/>
      <c r="F418" s="450"/>
      <c r="G418" s="450"/>
      <c r="H418" s="450"/>
      <c r="I418" s="450"/>
      <c r="J418" s="451"/>
      <c r="K418" s="451"/>
      <c r="L418" s="451"/>
    </row>
    <row r="419" spans="1:22" x14ac:dyDescent="0.3">
      <c r="A419" s="44"/>
      <c r="B419" s="14"/>
      <c r="C419" s="14"/>
      <c r="D419" s="14"/>
      <c r="E419" s="14"/>
      <c r="F419" s="14"/>
      <c r="G419" s="14"/>
      <c r="H419" s="14"/>
      <c r="I419" s="14"/>
    </row>
    <row r="420" spans="1:22" ht="60" x14ac:dyDescent="0.3">
      <c r="A420" s="452" t="s">
        <v>8</v>
      </c>
      <c r="B420" s="452" t="s">
        <v>9</v>
      </c>
      <c r="C420" s="452" t="s">
        <v>10</v>
      </c>
      <c r="D420" s="43" t="s">
        <v>11</v>
      </c>
      <c r="E420" s="43" t="s">
        <v>12</v>
      </c>
      <c r="F420" s="43" t="s">
        <v>13</v>
      </c>
      <c r="G420" s="43" t="s">
        <v>14</v>
      </c>
      <c r="H420" s="43" t="s">
        <v>208</v>
      </c>
      <c r="I420" s="43" t="s">
        <v>209</v>
      </c>
      <c r="J420" s="43" t="s">
        <v>15</v>
      </c>
      <c r="K420" s="43" t="s">
        <v>16</v>
      </c>
      <c r="L420" s="14" t="s">
        <v>17</v>
      </c>
      <c r="M420" s="14" t="s">
        <v>18</v>
      </c>
      <c r="N420" s="14" t="s">
        <v>19</v>
      </c>
    </row>
    <row r="421" spans="1:22" x14ac:dyDescent="0.3">
      <c r="A421" s="12"/>
      <c r="B421" s="452"/>
      <c r="C421" s="452"/>
      <c r="D421" s="452"/>
      <c r="E421" s="452"/>
      <c r="F421" s="452"/>
      <c r="G421" s="452"/>
      <c r="H421" s="452"/>
      <c r="I421" s="452"/>
      <c r="J421" s="12"/>
      <c r="K421" s="12"/>
      <c r="N421" t="s">
        <v>20</v>
      </c>
      <c r="O421">
        <f>COUNT(G422:G475)</f>
        <v>49</v>
      </c>
    </row>
    <row r="422" spans="1:22" x14ac:dyDescent="0.3">
      <c r="A422" s="12">
        <v>1</v>
      </c>
      <c r="B422" s="45" t="s">
        <v>203</v>
      </c>
      <c r="C422" s="45" t="s">
        <v>92</v>
      </c>
      <c r="D422" s="12" t="s">
        <v>1053</v>
      </c>
      <c r="E422" s="12">
        <v>10</v>
      </c>
      <c r="F422" s="346">
        <v>26.5</v>
      </c>
      <c r="G422" s="12">
        <f>SUM(E422:F422)</f>
        <v>36.5</v>
      </c>
      <c r="H422" s="12"/>
      <c r="I422" s="12"/>
      <c r="J422" s="12">
        <v>46</v>
      </c>
      <c r="K422" s="241">
        <f>SUM(G422:J422)</f>
        <v>82.5</v>
      </c>
      <c r="L422" t="str">
        <f t="shared" ref="L422:L475" si="30">IF(K422&gt;=80,"A",IF(K422&gt;=70,"B+",IF(K422&gt;=60,"B",IF(K422&gt;=55,"C+",IF(K422&gt;=50,"C",IF(K422&gt;=45,"D+",IF(K422&gt;=40,"D","F")))))))</f>
        <v>A</v>
      </c>
      <c r="M422" t="str">
        <f t="shared" ref="M422:M475" si="31">IF(K422&gt;=50,"Passed","Failed")</f>
        <v>Passed</v>
      </c>
      <c r="N422" t="s">
        <v>21</v>
      </c>
      <c r="O422">
        <f>COUNT(J422:J475)</f>
        <v>47</v>
      </c>
    </row>
    <row r="423" spans="1:22" x14ac:dyDescent="0.3">
      <c r="A423" s="12">
        <v>2</v>
      </c>
      <c r="B423" s="45" t="s">
        <v>145</v>
      </c>
      <c r="C423" s="45" t="s">
        <v>93</v>
      </c>
      <c r="D423" s="12" t="s">
        <v>1032</v>
      </c>
      <c r="E423" s="12">
        <v>10</v>
      </c>
      <c r="F423" s="12">
        <v>23</v>
      </c>
      <c r="G423" s="12">
        <f t="shared" ref="G423:G475" si="32">SUM(E423:F423)</f>
        <v>33</v>
      </c>
      <c r="H423" s="12"/>
      <c r="I423" s="12"/>
      <c r="J423" s="12">
        <v>36</v>
      </c>
      <c r="K423" s="241">
        <f t="shared" ref="K423:K475" si="33">SUM(G423:J423)</f>
        <v>69</v>
      </c>
      <c r="L423" t="str">
        <f t="shared" si="30"/>
        <v>B</v>
      </c>
      <c r="M423" t="str">
        <f t="shared" si="31"/>
        <v>Passed</v>
      </c>
      <c r="N423" t="s">
        <v>22</v>
      </c>
      <c r="O423">
        <f>O421-O422</f>
        <v>2</v>
      </c>
    </row>
    <row r="424" spans="1:22" x14ac:dyDescent="0.3">
      <c r="A424" s="12">
        <v>3</v>
      </c>
      <c r="B424" s="45" t="s">
        <v>149</v>
      </c>
      <c r="C424" s="45" t="s">
        <v>97</v>
      </c>
      <c r="D424" s="12" t="s">
        <v>1064</v>
      </c>
      <c r="E424" s="12">
        <v>10</v>
      </c>
      <c r="F424" s="346">
        <v>27.5</v>
      </c>
      <c r="G424" s="12">
        <f t="shared" si="32"/>
        <v>37.5</v>
      </c>
      <c r="H424" s="12"/>
      <c r="I424" s="12"/>
      <c r="J424" s="12">
        <v>55</v>
      </c>
      <c r="K424" s="241">
        <f t="shared" si="33"/>
        <v>92.5</v>
      </c>
      <c r="L424" t="str">
        <f t="shared" si="30"/>
        <v>A</v>
      </c>
      <c r="M424" t="str">
        <f t="shared" si="31"/>
        <v>Passed</v>
      </c>
      <c r="N424" t="s">
        <v>23</v>
      </c>
      <c r="O424">
        <f>COUNTIF(M422:M475,"Passed")</f>
        <v>45</v>
      </c>
    </row>
    <row r="425" spans="1:22" x14ac:dyDescent="0.3">
      <c r="A425" s="12">
        <v>4</v>
      </c>
      <c r="B425" s="45" t="s">
        <v>152</v>
      </c>
      <c r="C425" s="45" t="s">
        <v>100</v>
      </c>
      <c r="D425" s="12" t="s">
        <v>1030</v>
      </c>
      <c r="E425" s="12">
        <v>9</v>
      </c>
      <c r="F425" s="12">
        <v>21</v>
      </c>
      <c r="G425" s="12">
        <f t="shared" si="32"/>
        <v>30</v>
      </c>
      <c r="H425" s="12"/>
      <c r="I425" s="12"/>
      <c r="J425" s="12">
        <v>41</v>
      </c>
      <c r="K425" s="241">
        <f t="shared" si="33"/>
        <v>71</v>
      </c>
      <c r="L425" t="str">
        <f t="shared" si="30"/>
        <v>B+</v>
      </c>
      <c r="M425" t="str">
        <f t="shared" si="31"/>
        <v>Passed</v>
      </c>
      <c r="N425" t="s">
        <v>24</v>
      </c>
      <c r="O425" s="179">
        <f>O424/O422%</f>
        <v>95.744680851063833</v>
      </c>
    </row>
    <row r="426" spans="1:22" x14ac:dyDescent="0.3">
      <c r="A426" s="12">
        <v>5</v>
      </c>
      <c r="B426" s="45" t="s">
        <v>156</v>
      </c>
      <c r="C426" s="45" t="s">
        <v>104</v>
      </c>
      <c r="D426" s="12" t="s">
        <v>1034</v>
      </c>
      <c r="E426" s="12">
        <v>10</v>
      </c>
      <c r="F426" s="12">
        <v>23</v>
      </c>
      <c r="G426" s="12">
        <f t="shared" si="32"/>
        <v>33</v>
      </c>
      <c r="H426" s="12"/>
      <c r="I426" s="12"/>
      <c r="J426" s="12">
        <v>41</v>
      </c>
      <c r="K426" s="241">
        <f t="shared" si="33"/>
        <v>74</v>
      </c>
      <c r="L426" t="str">
        <f t="shared" si="30"/>
        <v>B+</v>
      </c>
      <c r="M426" t="str">
        <f t="shared" si="31"/>
        <v>Passed</v>
      </c>
      <c r="N426" t="s">
        <v>25</v>
      </c>
      <c r="O426">
        <f>COUNTIF(M422:M475,"failed")</f>
        <v>2</v>
      </c>
    </row>
    <row r="427" spans="1:22" x14ac:dyDescent="0.3">
      <c r="A427" s="12">
        <v>6</v>
      </c>
      <c r="B427" s="45" t="s">
        <v>160</v>
      </c>
      <c r="C427" s="45" t="s">
        <v>109</v>
      </c>
      <c r="D427" s="12" t="s">
        <v>1063</v>
      </c>
      <c r="E427" s="12">
        <v>10</v>
      </c>
      <c r="F427" s="12">
        <v>30</v>
      </c>
      <c r="G427" s="12">
        <f t="shared" si="32"/>
        <v>40</v>
      </c>
      <c r="H427" s="12"/>
      <c r="I427" s="12"/>
      <c r="J427" s="12">
        <v>50</v>
      </c>
      <c r="K427" s="241">
        <f t="shared" si="33"/>
        <v>90</v>
      </c>
      <c r="L427" t="str">
        <f t="shared" si="30"/>
        <v>A</v>
      </c>
      <c r="M427" t="str">
        <f t="shared" si="31"/>
        <v>Passed</v>
      </c>
      <c r="N427" t="s">
        <v>26</v>
      </c>
      <c r="O427" s="179">
        <f>O426/O422%</f>
        <v>4.2553191489361701</v>
      </c>
    </row>
    <row r="428" spans="1:22" x14ac:dyDescent="0.3">
      <c r="A428" s="12">
        <v>7</v>
      </c>
      <c r="B428" s="45" t="s">
        <v>207</v>
      </c>
      <c r="C428" s="45" t="s">
        <v>110</v>
      </c>
      <c r="D428" s="12" t="s">
        <v>1020</v>
      </c>
      <c r="E428" s="12"/>
      <c r="F428" s="12"/>
      <c r="G428" s="12"/>
      <c r="H428" s="12"/>
      <c r="I428" s="12"/>
      <c r="J428" s="12"/>
      <c r="K428" s="241"/>
      <c r="N428" t="s">
        <v>27</v>
      </c>
      <c r="O428" s="179">
        <f>AVERAGE(K422:K475)</f>
        <v>71.670212765957444</v>
      </c>
    </row>
    <row r="429" spans="1:22" x14ac:dyDescent="0.3">
      <c r="A429" s="50">
        <v>8</v>
      </c>
      <c r="B429" s="45" t="s">
        <v>163</v>
      </c>
      <c r="C429" s="45" t="s">
        <v>113</v>
      </c>
      <c r="D429" s="12" t="s">
        <v>1045</v>
      </c>
      <c r="E429" s="12">
        <v>10</v>
      </c>
      <c r="F429" s="12">
        <v>25</v>
      </c>
      <c r="G429" s="12">
        <f t="shared" si="32"/>
        <v>35</v>
      </c>
      <c r="H429" s="12"/>
      <c r="I429" s="12"/>
      <c r="J429" s="12">
        <v>34</v>
      </c>
      <c r="K429" s="241">
        <f t="shared" si="33"/>
        <v>69</v>
      </c>
      <c r="L429" t="str">
        <f t="shared" si="30"/>
        <v>B</v>
      </c>
      <c r="M429" t="str">
        <f t="shared" si="31"/>
        <v>Passed</v>
      </c>
    </row>
    <row r="430" spans="1:22" x14ac:dyDescent="0.3">
      <c r="A430" s="50">
        <v>9</v>
      </c>
      <c r="B430" s="45" t="s">
        <v>480</v>
      </c>
      <c r="C430" s="45" t="s">
        <v>115</v>
      </c>
      <c r="D430" s="12" t="s">
        <v>1041</v>
      </c>
      <c r="E430" s="12">
        <v>10</v>
      </c>
      <c r="F430" s="346">
        <v>27.5</v>
      </c>
      <c r="G430" s="12">
        <f t="shared" si="32"/>
        <v>37.5</v>
      </c>
      <c r="H430" s="12"/>
      <c r="I430" s="12"/>
      <c r="J430" s="12">
        <v>55</v>
      </c>
      <c r="K430" s="241">
        <f t="shared" si="33"/>
        <v>92.5</v>
      </c>
      <c r="L430" t="str">
        <f t="shared" si="30"/>
        <v>A</v>
      </c>
      <c r="M430" t="str">
        <f t="shared" si="31"/>
        <v>Passed</v>
      </c>
    </row>
    <row r="431" spans="1:22" x14ac:dyDescent="0.3">
      <c r="A431" s="50">
        <v>10</v>
      </c>
      <c r="B431" s="45" t="s">
        <v>200</v>
      </c>
      <c r="C431" s="45" t="s">
        <v>119</v>
      </c>
      <c r="D431" s="12" t="s">
        <v>1066</v>
      </c>
      <c r="E431" s="12">
        <v>8</v>
      </c>
      <c r="F431" s="12">
        <v>5</v>
      </c>
      <c r="G431" s="12">
        <f t="shared" si="32"/>
        <v>13</v>
      </c>
      <c r="H431" s="12"/>
      <c r="I431" s="12"/>
      <c r="J431" s="12">
        <v>16</v>
      </c>
      <c r="K431" s="241">
        <f t="shared" si="33"/>
        <v>29</v>
      </c>
      <c r="L431" t="str">
        <f t="shared" si="30"/>
        <v>F</v>
      </c>
      <c r="M431" t="str">
        <f t="shared" si="31"/>
        <v>Failed</v>
      </c>
    </row>
    <row r="432" spans="1:22" x14ac:dyDescent="0.3">
      <c r="A432" s="50">
        <v>11</v>
      </c>
      <c r="B432" s="45" t="s">
        <v>205</v>
      </c>
      <c r="C432" s="45" t="s">
        <v>120</v>
      </c>
      <c r="D432" s="12" t="s">
        <v>1020</v>
      </c>
      <c r="E432" s="12"/>
      <c r="F432" s="12"/>
      <c r="G432" s="12"/>
      <c r="H432" s="12"/>
      <c r="I432" s="12"/>
      <c r="J432" s="12"/>
      <c r="K432" s="241"/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 t="s">
        <v>33</v>
      </c>
      <c r="U432" t="s">
        <v>34</v>
      </c>
      <c r="V432" t="s">
        <v>35</v>
      </c>
    </row>
    <row r="433" spans="1:22" x14ac:dyDescent="0.3">
      <c r="A433" s="50">
        <v>12</v>
      </c>
      <c r="B433" s="45" t="s">
        <v>168</v>
      </c>
      <c r="C433" s="45" t="s">
        <v>121</v>
      </c>
      <c r="D433" s="12" t="s">
        <v>1023</v>
      </c>
      <c r="E433" s="12">
        <v>9</v>
      </c>
      <c r="F433" s="12">
        <v>19</v>
      </c>
      <c r="G433" s="12">
        <f t="shared" si="32"/>
        <v>28</v>
      </c>
      <c r="H433" s="12"/>
      <c r="I433" s="12"/>
      <c r="J433" s="12">
        <v>43</v>
      </c>
      <c r="K433" s="241">
        <f t="shared" si="33"/>
        <v>71</v>
      </c>
      <c r="L433" t="str">
        <f t="shared" si="30"/>
        <v>B+</v>
      </c>
      <c r="M433" t="str">
        <f t="shared" si="31"/>
        <v>Passed</v>
      </c>
      <c r="O433">
        <f>COUNTIF(L422:L475,"A")</f>
        <v>15</v>
      </c>
      <c r="P433">
        <f>COUNTIF(L422:L475,"B+")</f>
        <v>13</v>
      </c>
      <c r="Q433">
        <f>COUNTIF(L422:L475,"B")</f>
        <v>9</v>
      </c>
      <c r="R433">
        <f>COUNTIF(L422:L475,"C+")</f>
        <v>4</v>
      </c>
      <c r="S433">
        <f>COUNTIF(L422:L475,"C")</f>
        <v>4</v>
      </c>
      <c r="T433">
        <f>COUNTIF(L422:L475,"D+")</f>
        <v>1</v>
      </c>
      <c r="U433">
        <f>COUNTIF(L422:L475,"D")</f>
        <v>0</v>
      </c>
      <c r="V433">
        <f>COUNTIF(L422:L475,"F")</f>
        <v>1</v>
      </c>
    </row>
    <row r="434" spans="1:22" x14ac:dyDescent="0.3">
      <c r="A434" s="50">
        <v>13</v>
      </c>
      <c r="B434" s="45" t="s">
        <v>170</v>
      </c>
      <c r="C434" s="45" t="s">
        <v>124</v>
      </c>
      <c r="D434" s="12" t="s">
        <v>1051</v>
      </c>
      <c r="E434" s="12">
        <v>9</v>
      </c>
      <c r="F434" s="12">
        <v>23</v>
      </c>
      <c r="G434" s="12">
        <f t="shared" si="32"/>
        <v>32</v>
      </c>
      <c r="H434" s="12"/>
      <c r="I434" s="12"/>
      <c r="J434" s="12">
        <v>44</v>
      </c>
      <c r="K434" s="241">
        <f t="shared" si="33"/>
        <v>76</v>
      </c>
      <c r="L434" t="str">
        <f t="shared" si="30"/>
        <v>B+</v>
      </c>
      <c r="M434" t="str">
        <f t="shared" si="31"/>
        <v>Passed</v>
      </c>
    </row>
    <row r="435" spans="1:22" x14ac:dyDescent="0.3">
      <c r="A435" s="50">
        <v>14</v>
      </c>
      <c r="B435" s="45" t="s">
        <v>172</v>
      </c>
      <c r="C435" s="45" t="s">
        <v>126</v>
      </c>
      <c r="D435" s="12" t="s">
        <v>1022</v>
      </c>
      <c r="E435" s="12">
        <v>10</v>
      </c>
      <c r="F435" s="346">
        <v>17.5</v>
      </c>
      <c r="G435" s="12">
        <f t="shared" si="32"/>
        <v>27.5</v>
      </c>
      <c r="H435" s="12"/>
      <c r="I435" s="12"/>
      <c r="J435" s="12">
        <v>28</v>
      </c>
      <c r="K435" s="241">
        <f t="shared" si="33"/>
        <v>55.5</v>
      </c>
      <c r="L435" t="str">
        <f t="shared" si="30"/>
        <v>C+</v>
      </c>
      <c r="M435" t="str">
        <f t="shared" si="31"/>
        <v>Passed</v>
      </c>
    </row>
    <row r="436" spans="1:22" x14ac:dyDescent="0.3">
      <c r="A436" s="50">
        <v>15</v>
      </c>
      <c r="B436" s="45" t="s">
        <v>173</v>
      </c>
      <c r="C436" s="45" t="s">
        <v>127</v>
      </c>
      <c r="D436" s="12" t="s">
        <v>1024</v>
      </c>
      <c r="E436" s="12">
        <v>10</v>
      </c>
      <c r="F436" s="12">
        <v>19</v>
      </c>
      <c r="G436" s="12">
        <f t="shared" si="32"/>
        <v>29</v>
      </c>
      <c r="H436" s="12"/>
      <c r="I436" s="12"/>
      <c r="J436" s="12">
        <v>39</v>
      </c>
      <c r="K436" s="241">
        <f t="shared" si="33"/>
        <v>68</v>
      </c>
      <c r="L436" t="str">
        <f t="shared" si="30"/>
        <v>B</v>
      </c>
      <c r="M436" t="str">
        <f t="shared" si="31"/>
        <v>Passed</v>
      </c>
    </row>
    <row r="437" spans="1:22" x14ac:dyDescent="0.3">
      <c r="A437" s="50">
        <v>16</v>
      </c>
      <c r="B437" s="45" t="s">
        <v>175</v>
      </c>
      <c r="C437" s="45" t="s">
        <v>131</v>
      </c>
      <c r="D437" s="12" t="s">
        <v>1025</v>
      </c>
      <c r="E437" s="12">
        <v>9</v>
      </c>
      <c r="F437" s="12">
        <v>25</v>
      </c>
      <c r="G437" s="12">
        <f t="shared" si="32"/>
        <v>34</v>
      </c>
      <c r="H437" s="12"/>
      <c r="I437" s="12"/>
      <c r="J437" s="12">
        <v>49</v>
      </c>
      <c r="K437" s="241">
        <f t="shared" si="33"/>
        <v>83</v>
      </c>
      <c r="L437" t="str">
        <f t="shared" si="30"/>
        <v>A</v>
      </c>
      <c r="M437" t="str">
        <f t="shared" si="31"/>
        <v>Passed</v>
      </c>
    </row>
    <row r="438" spans="1:22" x14ac:dyDescent="0.3">
      <c r="A438" s="50">
        <v>17</v>
      </c>
      <c r="B438" s="277" t="s">
        <v>178</v>
      </c>
      <c r="C438" s="45" t="s">
        <v>133</v>
      </c>
      <c r="D438" s="12" t="s">
        <v>1046</v>
      </c>
      <c r="E438" s="12">
        <v>10</v>
      </c>
      <c r="F438" s="346">
        <v>22.5</v>
      </c>
      <c r="G438" s="12">
        <f t="shared" si="32"/>
        <v>32.5</v>
      </c>
      <c r="H438" s="12"/>
      <c r="I438" s="12"/>
      <c r="J438" s="12">
        <v>50</v>
      </c>
      <c r="K438" s="241">
        <f t="shared" si="33"/>
        <v>82.5</v>
      </c>
      <c r="L438" t="str">
        <f t="shared" si="30"/>
        <v>A</v>
      </c>
      <c r="M438" t="str">
        <f t="shared" si="31"/>
        <v>Passed</v>
      </c>
    </row>
    <row r="439" spans="1:22" x14ac:dyDescent="0.3">
      <c r="A439" s="50">
        <v>18</v>
      </c>
      <c r="B439" s="45" t="s">
        <v>534</v>
      </c>
      <c r="C439" s="303" t="s">
        <v>363</v>
      </c>
      <c r="D439" s="12" t="s">
        <v>1020</v>
      </c>
      <c r="E439" s="12"/>
      <c r="F439" s="12"/>
      <c r="G439" s="12"/>
      <c r="H439" s="12"/>
      <c r="I439" s="12"/>
      <c r="J439" s="12"/>
      <c r="K439" s="241"/>
    </row>
    <row r="440" spans="1:22" x14ac:dyDescent="0.3">
      <c r="A440" s="50">
        <v>19</v>
      </c>
      <c r="B440" s="389" t="s">
        <v>144</v>
      </c>
      <c r="C440" s="304" t="s">
        <v>137</v>
      </c>
      <c r="D440" s="12" t="s">
        <v>1027</v>
      </c>
      <c r="E440" s="12">
        <v>4</v>
      </c>
      <c r="F440" s="12">
        <v>5</v>
      </c>
      <c r="G440" s="12">
        <f t="shared" si="32"/>
        <v>9</v>
      </c>
      <c r="H440" s="12"/>
      <c r="I440" s="12"/>
      <c r="J440" s="12">
        <v>42</v>
      </c>
      <c r="K440" s="241">
        <f t="shared" si="33"/>
        <v>51</v>
      </c>
      <c r="L440" t="str">
        <f t="shared" si="30"/>
        <v>C</v>
      </c>
      <c r="M440" t="str">
        <f t="shared" si="31"/>
        <v>Passed</v>
      </c>
    </row>
    <row r="441" spans="1:22" x14ac:dyDescent="0.3">
      <c r="A441" s="50">
        <v>20</v>
      </c>
      <c r="B441" s="390" t="s">
        <v>204</v>
      </c>
      <c r="C441" s="390" t="s">
        <v>138</v>
      </c>
      <c r="D441" s="12" t="s">
        <v>1023</v>
      </c>
      <c r="E441" s="12">
        <v>10</v>
      </c>
      <c r="F441" s="346">
        <v>19.5</v>
      </c>
      <c r="G441" s="12">
        <f t="shared" si="32"/>
        <v>29.5</v>
      </c>
      <c r="H441" s="12"/>
      <c r="I441" s="12"/>
      <c r="J441" s="12">
        <v>43</v>
      </c>
      <c r="K441" s="241">
        <f t="shared" si="33"/>
        <v>72.5</v>
      </c>
      <c r="L441" t="str">
        <f t="shared" si="30"/>
        <v>B+</v>
      </c>
      <c r="M441" t="str">
        <f t="shared" si="31"/>
        <v>Passed</v>
      </c>
    </row>
    <row r="442" spans="1:22" x14ac:dyDescent="0.3">
      <c r="A442" s="50">
        <v>21</v>
      </c>
      <c r="B442" s="305" t="s">
        <v>181</v>
      </c>
      <c r="C442" s="45" t="s">
        <v>139</v>
      </c>
      <c r="D442" s="12" t="s">
        <v>1059</v>
      </c>
      <c r="E442" s="12">
        <v>10</v>
      </c>
      <c r="F442" s="12">
        <v>23</v>
      </c>
      <c r="G442" s="12">
        <f t="shared" si="32"/>
        <v>33</v>
      </c>
      <c r="H442" s="12"/>
      <c r="I442" s="12"/>
      <c r="J442" s="12">
        <v>36</v>
      </c>
      <c r="K442" s="241">
        <f t="shared" si="33"/>
        <v>69</v>
      </c>
      <c r="L442" t="str">
        <f t="shared" si="30"/>
        <v>B</v>
      </c>
      <c r="M442" t="str">
        <f t="shared" si="31"/>
        <v>Passed</v>
      </c>
    </row>
    <row r="443" spans="1:22" x14ac:dyDescent="0.3">
      <c r="A443" s="50">
        <v>22</v>
      </c>
      <c r="B443" s="391" t="s">
        <v>201</v>
      </c>
      <c r="C443" s="45" t="s">
        <v>141</v>
      </c>
      <c r="D443" s="12" t="s">
        <v>1042</v>
      </c>
      <c r="E443" s="12">
        <v>10</v>
      </c>
      <c r="F443" s="346">
        <v>26.5</v>
      </c>
      <c r="G443" s="12">
        <f t="shared" si="32"/>
        <v>36.5</v>
      </c>
      <c r="H443" s="12"/>
      <c r="I443" s="12"/>
      <c r="J443" s="12">
        <v>46</v>
      </c>
      <c r="K443" s="241">
        <f t="shared" si="33"/>
        <v>82.5</v>
      </c>
      <c r="L443" t="str">
        <f t="shared" si="30"/>
        <v>A</v>
      </c>
      <c r="M443" t="str">
        <f t="shared" si="31"/>
        <v>Passed</v>
      </c>
    </row>
    <row r="444" spans="1:22" x14ac:dyDescent="0.3">
      <c r="A444" s="50">
        <v>23</v>
      </c>
      <c r="B444" s="45" t="s">
        <v>176</v>
      </c>
      <c r="C444" s="45" t="s">
        <v>481</v>
      </c>
      <c r="D444" s="12" t="s">
        <v>1040</v>
      </c>
      <c r="E444" s="12">
        <v>9</v>
      </c>
      <c r="F444" s="12">
        <v>16</v>
      </c>
      <c r="G444" s="12">
        <f t="shared" si="32"/>
        <v>25</v>
      </c>
      <c r="H444" s="12"/>
      <c r="I444" s="12"/>
      <c r="J444" s="12">
        <v>32</v>
      </c>
      <c r="K444" s="241">
        <f t="shared" si="33"/>
        <v>57</v>
      </c>
      <c r="L444" t="str">
        <f t="shared" si="30"/>
        <v>C+</v>
      </c>
      <c r="M444" t="str">
        <f t="shared" si="31"/>
        <v>Passed</v>
      </c>
    </row>
    <row r="445" spans="1:22" x14ac:dyDescent="0.3">
      <c r="A445" s="50">
        <v>24</v>
      </c>
      <c r="B445" s="45" t="s">
        <v>148</v>
      </c>
      <c r="C445" s="45" t="s">
        <v>96</v>
      </c>
      <c r="D445" s="12" t="s">
        <v>1065</v>
      </c>
      <c r="E445" s="12">
        <v>9</v>
      </c>
      <c r="F445" s="12">
        <v>23</v>
      </c>
      <c r="G445" s="12">
        <f t="shared" si="32"/>
        <v>32</v>
      </c>
      <c r="H445" s="12"/>
      <c r="I445" s="12"/>
      <c r="J445" s="12">
        <v>29</v>
      </c>
      <c r="K445" s="241">
        <f t="shared" si="33"/>
        <v>61</v>
      </c>
      <c r="L445" t="str">
        <f t="shared" si="30"/>
        <v>B</v>
      </c>
      <c r="M445" t="str">
        <f t="shared" si="31"/>
        <v>Passed</v>
      </c>
    </row>
    <row r="446" spans="1:22" x14ac:dyDescent="0.3">
      <c r="A446" s="50">
        <v>25</v>
      </c>
      <c r="B446" s="45" t="s">
        <v>153</v>
      </c>
      <c r="C446" s="45" t="s">
        <v>101</v>
      </c>
      <c r="D446" s="12" t="s">
        <v>1050</v>
      </c>
      <c r="E446" s="12">
        <v>2</v>
      </c>
      <c r="F446" s="12">
        <v>19</v>
      </c>
      <c r="G446" s="12">
        <f t="shared" si="32"/>
        <v>21</v>
      </c>
      <c r="H446" s="12"/>
      <c r="I446" s="12"/>
      <c r="J446" s="12">
        <v>39</v>
      </c>
      <c r="K446" s="241">
        <f t="shared" si="33"/>
        <v>60</v>
      </c>
      <c r="L446" t="str">
        <f t="shared" si="30"/>
        <v>B</v>
      </c>
      <c r="M446" t="str">
        <f t="shared" si="31"/>
        <v>Passed</v>
      </c>
    </row>
    <row r="447" spans="1:22" x14ac:dyDescent="0.3">
      <c r="A447" s="50">
        <v>26</v>
      </c>
      <c r="B447" s="45" t="s">
        <v>154</v>
      </c>
      <c r="C447" s="45" t="s">
        <v>102</v>
      </c>
      <c r="D447" s="12" t="s">
        <v>1057</v>
      </c>
      <c r="E447" s="12">
        <v>9</v>
      </c>
      <c r="F447" s="346">
        <v>27.5</v>
      </c>
      <c r="G447" s="12">
        <f t="shared" si="32"/>
        <v>36.5</v>
      </c>
      <c r="H447" s="12"/>
      <c r="I447" s="12"/>
      <c r="J447" s="12">
        <v>38</v>
      </c>
      <c r="K447" s="241">
        <f t="shared" si="33"/>
        <v>74.5</v>
      </c>
      <c r="L447" t="str">
        <f t="shared" si="30"/>
        <v>B+</v>
      </c>
      <c r="M447" t="str">
        <f t="shared" si="31"/>
        <v>Passed</v>
      </c>
    </row>
    <row r="448" spans="1:22" x14ac:dyDescent="0.3">
      <c r="A448" s="50">
        <v>27</v>
      </c>
      <c r="B448" s="45" t="s">
        <v>162</v>
      </c>
      <c r="C448" s="45" t="s">
        <v>112</v>
      </c>
      <c r="D448" s="12" t="s">
        <v>1055</v>
      </c>
      <c r="E448" s="12">
        <v>9</v>
      </c>
      <c r="F448" s="12">
        <v>22</v>
      </c>
      <c r="G448" s="12">
        <f t="shared" si="32"/>
        <v>31</v>
      </c>
      <c r="H448" s="12"/>
      <c r="I448" s="12"/>
      <c r="J448" s="12">
        <v>20</v>
      </c>
      <c r="K448" s="241">
        <f t="shared" si="33"/>
        <v>51</v>
      </c>
      <c r="L448" t="str">
        <f t="shared" si="30"/>
        <v>C</v>
      </c>
      <c r="M448" t="str">
        <f t="shared" si="31"/>
        <v>Passed</v>
      </c>
    </row>
    <row r="449" spans="1:13" x14ac:dyDescent="0.3">
      <c r="A449" s="12">
        <v>28</v>
      </c>
      <c r="B449" s="45" t="s">
        <v>164</v>
      </c>
      <c r="C449" s="45" t="s">
        <v>114</v>
      </c>
      <c r="D449" s="12" t="s">
        <v>1028</v>
      </c>
      <c r="E449" s="12">
        <v>10</v>
      </c>
      <c r="F449" s="346">
        <v>24.5</v>
      </c>
      <c r="G449" s="12">
        <f t="shared" si="32"/>
        <v>34.5</v>
      </c>
      <c r="H449" s="12"/>
      <c r="I449" s="12"/>
      <c r="J449" s="12">
        <v>49</v>
      </c>
      <c r="K449" s="241">
        <f t="shared" si="33"/>
        <v>83.5</v>
      </c>
      <c r="L449" t="str">
        <f t="shared" si="30"/>
        <v>A</v>
      </c>
      <c r="M449" t="str">
        <f t="shared" si="31"/>
        <v>Passed</v>
      </c>
    </row>
    <row r="450" spans="1:13" x14ac:dyDescent="0.3">
      <c r="A450" s="12">
        <v>29</v>
      </c>
      <c r="B450" s="277" t="s">
        <v>165</v>
      </c>
      <c r="C450" s="45" t="s">
        <v>116</v>
      </c>
      <c r="D450" s="12" t="s">
        <v>1038</v>
      </c>
      <c r="E450" s="12">
        <v>10</v>
      </c>
      <c r="F450" s="12">
        <v>29</v>
      </c>
      <c r="G450" s="12">
        <f t="shared" si="32"/>
        <v>39</v>
      </c>
      <c r="H450" s="12"/>
      <c r="I450" s="12"/>
      <c r="J450" s="12">
        <v>54</v>
      </c>
      <c r="K450" s="241">
        <f t="shared" si="33"/>
        <v>93</v>
      </c>
      <c r="L450" t="str">
        <f t="shared" si="30"/>
        <v>A</v>
      </c>
      <c r="M450" t="str">
        <f t="shared" si="31"/>
        <v>Passed</v>
      </c>
    </row>
    <row r="451" spans="1:13" x14ac:dyDescent="0.3">
      <c r="A451" s="12">
        <v>30</v>
      </c>
      <c r="B451" s="45" t="s">
        <v>206</v>
      </c>
      <c r="C451" s="45" t="s">
        <v>123</v>
      </c>
      <c r="D451" s="12" t="s">
        <v>1036</v>
      </c>
      <c r="E451" s="12">
        <v>10</v>
      </c>
      <c r="F451" s="12">
        <v>19</v>
      </c>
      <c r="G451" s="12">
        <f t="shared" si="32"/>
        <v>29</v>
      </c>
      <c r="H451" s="12"/>
      <c r="I451" s="12"/>
      <c r="J451" s="12">
        <v>44</v>
      </c>
      <c r="K451" s="241">
        <f t="shared" si="33"/>
        <v>73</v>
      </c>
      <c r="L451" t="str">
        <f t="shared" si="30"/>
        <v>B+</v>
      </c>
      <c r="M451" t="str">
        <f t="shared" si="31"/>
        <v>Passed</v>
      </c>
    </row>
    <row r="452" spans="1:13" x14ac:dyDescent="0.3">
      <c r="A452" s="50">
        <v>31</v>
      </c>
      <c r="B452" s="452" t="s">
        <v>202</v>
      </c>
      <c r="C452" s="452" t="s">
        <v>135</v>
      </c>
      <c r="D452" s="452" t="s">
        <v>1020</v>
      </c>
      <c r="E452" s="452">
        <v>4</v>
      </c>
      <c r="F452" s="452">
        <v>5</v>
      </c>
      <c r="G452" s="452">
        <f t="shared" si="32"/>
        <v>9</v>
      </c>
      <c r="H452" s="452"/>
      <c r="I452" s="452"/>
      <c r="J452" s="452" t="s">
        <v>1938</v>
      </c>
      <c r="K452" s="241"/>
    </row>
    <row r="453" spans="1:13" x14ac:dyDescent="0.3">
      <c r="A453" s="50">
        <v>32</v>
      </c>
      <c r="B453" s="45" t="s">
        <v>1249</v>
      </c>
      <c r="C453" s="45" t="s">
        <v>422</v>
      </c>
      <c r="D453" s="12" t="s">
        <v>1029</v>
      </c>
      <c r="E453" s="12">
        <v>8</v>
      </c>
      <c r="F453" s="12">
        <v>24</v>
      </c>
      <c r="G453" s="12">
        <f t="shared" si="32"/>
        <v>32</v>
      </c>
      <c r="H453" s="12"/>
      <c r="I453" s="12"/>
      <c r="J453" s="12">
        <v>32</v>
      </c>
      <c r="K453" s="241">
        <f t="shared" si="33"/>
        <v>64</v>
      </c>
      <c r="L453" t="str">
        <f t="shared" si="30"/>
        <v>B</v>
      </c>
      <c r="M453" t="str">
        <f t="shared" si="31"/>
        <v>Passed</v>
      </c>
    </row>
    <row r="454" spans="1:13" x14ac:dyDescent="0.3">
      <c r="A454" s="50">
        <v>33</v>
      </c>
      <c r="B454" s="45" t="s">
        <v>150</v>
      </c>
      <c r="C454" s="45" t="s">
        <v>98</v>
      </c>
      <c r="D454" s="12" t="s">
        <v>1062</v>
      </c>
      <c r="E454" s="12">
        <v>10</v>
      </c>
      <c r="F454" s="346">
        <v>13.5</v>
      </c>
      <c r="G454" s="12">
        <f t="shared" si="32"/>
        <v>23.5</v>
      </c>
      <c r="H454" s="12"/>
      <c r="I454" s="12"/>
      <c r="J454" s="12">
        <v>26</v>
      </c>
      <c r="K454" s="241">
        <f t="shared" si="33"/>
        <v>49.5</v>
      </c>
      <c r="L454" t="str">
        <f t="shared" si="30"/>
        <v>D+</v>
      </c>
      <c r="M454" t="str">
        <f t="shared" si="31"/>
        <v>Failed</v>
      </c>
    </row>
    <row r="455" spans="1:13" x14ac:dyDescent="0.3">
      <c r="A455" s="50">
        <v>34</v>
      </c>
      <c r="B455" s="45" t="s">
        <v>151</v>
      </c>
      <c r="C455" s="45" t="s">
        <v>99</v>
      </c>
      <c r="D455" s="12" t="s">
        <v>1061</v>
      </c>
      <c r="E455" s="12">
        <v>8</v>
      </c>
      <c r="F455" s="12">
        <v>30</v>
      </c>
      <c r="G455" s="12">
        <f t="shared" si="32"/>
        <v>38</v>
      </c>
      <c r="H455" s="12"/>
      <c r="I455" s="12"/>
      <c r="J455" s="12">
        <v>44</v>
      </c>
      <c r="K455" s="241">
        <f t="shared" si="33"/>
        <v>82</v>
      </c>
      <c r="L455" t="str">
        <f t="shared" si="30"/>
        <v>A</v>
      </c>
      <c r="M455" t="str">
        <f t="shared" si="31"/>
        <v>Passed</v>
      </c>
    </row>
    <row r="456" spans="1:13" x14ac:dyDescent="0.3">
      <c r="A456" s="50">
        <v>35</v>
      </c>
      <c r="B456" s="45" t="s">
        <v>157</v>
      </c>
      <c r="C456" s="45" t="s">
        <v>106</v>
      </c>
      <c r="D456" s="12" t="s">
        <v>1060</v>
      </c>
      <c r="E456" s="12">
        <v>10</v>
      </c>
      <c r="F456" s="12">
        <v>25</v>
      </c>
      <c r="G456" s="12">
        <f t="shared" si="32"/>
        <v>35</v>
      </c>
      <c r="H456" s="12"/>
      <c r="I456" s="12"/>
      <c r="J456" s="12">
        <v>23</v>
      </c>
      <c r="K456" s="241">
        <f t="shared" si="33"/>
        <v>58</v>
      </c>
      <c r="L456" t="str">
        <f t="shared" si="30"/>
        <v>C+</v>
      </c>
      <c r="M456" t="str">
        <f t="shared" si="31"/>
        <v>Passed</v>
      </c>
    </row>
    <row r="457" spans="1:13" x14ac:dyDescent="0.3">
      <c r="A457" s="50">
        <v>36</v>
      </c>
      <c r="B457" s="45" t="s">
        <v>158</v>
      </c>
      <c r="C457" s="45" t="s">
        <v>107</v>
      </c>
      <c r="D457" s="12" t="s">
        <v>1049</v>
      </c>
      <c r="E457" s="12">
        <v>10</v>
      </c>
      <c r="F457" s="346">
        <v>24.5</v>
      </c>
      <c r="G457" s="12">
        <f t="shared" si="32"/>
        <v>34.5</v>
      </c>
      <c r="H457" s="12"/>
      <c r="I457" s="12"/>
      <c r="J457" s="12">
        <v>40</v>
      </c>
      <c r="K457" s="241">
        <f t="shared" si="33"/>
        <v>74.5</v>
      </c>
      <c r="L457" t="str">
        <f t="shared" si="30"/>
        <v>B+</v>
      </c>
      <c r="M457" t="str">
        <f t="shared" si="31"/>
        <v>Passed</v>
      </c>
    </row>
    <row r="458" spans="1:13" x14ac:dyDescent="0.3">
      <c r="A458" s="50">
        <v>37</v>
      </c>
      <c r="B458" s="45" t="s">
        <v>159</v>
      </c>
      <c r="C458" s="45" t="s">
        <v>108</v>
      </c>
      <c r="D458" s="12" t="s">
        <v>1044</v>
      </c>
      <c r="E458" s="12">
        <v>10</v>
      </c>
      <c r="F458" s="346">
        <v>22.5</v>
      </c>
      <c r="G458" s="12">
        <f t="shared" si="32"/>
        <v>32.5</v>
      </c>
      <c r="H458" s="12"/>
      <c r="I458" s="12"/>
      <c r="J458" s="12">
        <v>44</v>
      </c>
      <c r="K458" s="241">
        <f t="shared" si="33"/>
        <v>76.5</v>
      </c>
      <c r="L458" t="str">
        <f t="shared" si="30"/>
        <v>B+</v>
      </c>
      <c r="M458" t="str">
        <f t="shared" si="31"/>
        <v>Passed</v>
      </c>
    </row>
    <row r="459" spans="1:13" x14ac:dyDescent="0.3">
      <c r="A459" s="50">
        <v>38</v>
      </c>
      <c r="B459" s="45" t="s">
        <v>167</v>
      </c>
      <c r="C459" s="45" t="s">
        <v>118</v>
      </c>
      <c r="D459" s="12" t="s">
        <v>1021</v>
      </c>
      <c r="E459" s="12">
        <v>9</v>
      </c>
      <c r="F459" s="12">
        <v>17</v>
      </c>
      <c r="G459" s="12">
        <f t="shared" si="32"/>
        <v>26</v>
      </c>
      <c r="H459" s="12"/>
      <c r="I459" s="12"/>
      <c r="J459" s="12">
        <v>25</v>
      </c>
      <c r="K459" s="241">
        <f t="shared" si="33"/>
        <v>51</v>
      </c>
      <c r="L459" t="str">
        <f t="shared" si="30"/>
        <v>C</v>
      </c>
      <c r="M459" t="str">
        <f t="shared" si="31"/>
        <v>Passed</v>
      </c>
    </row>
    <row r="460" spans="1:13" x14ac:dyDescent="0.3">
      <c r="A460" s="12">
        <v>39</v>
      </c>
      <c r="B460" s="45" t="s">
        <v>171</v>
      </c>
      <c r="C460" s="45" t="s">
        <v>125</v>
      </c>
      <c r="D460" s="12" t="s">
        <v>1043</v>
      </c>
      <c r="E460" s="12">
        <v>9</v>
      </c>
      <c r="F460" s="12">
        <v>17</v>
      </c>
      <c r="G460" s="12">
        <f t="shared" si="32"/>
        <v>26</v>
      </c>
      <c r="H460" s="12"/>
      <c r="I460" s="12"/>
      <c r="J460" s="12">
        <v>30</v>
      </c>
      <c r="K460" s="241">
        <f t="shared" si="33"/>
        <v>56</v>
      </c>
      <c r="L460" t="str">
        <f t="shared" si="30"/>
        <v>C+</v>
      </c>
      <c r="M460" t="str">
        <f t="shared" si="31"/>
        <v>Passed</v>
      </c>
    </row>
    <row r="461" spans="1:13" x14ac:dyDescent="0.3">
      <c r="A461" s="12">
        <v>40</v>
      </c>
      <c r="B461" s="45" t="s">
        <v>174</v>
      </c>
      <c r="C461" s="45" t="s">
        <v>128</v>
      </c>
      <c r="D461" s="12" t="s">
        <v>1047</v>
      </c>
      <c r="E461" s="12">
        <v>10</v>
      </c>
      <c r="F461" s="12">
        <v>19</v>
      </c>
      <c r="G461" s="12">
        <f t="shared" si="32"/>
        <v>29</v>
      </c>
      <c r="H461" s="12"/>
      <c r="I461" s="12"/>
      <c r="J461" s="12">
        <v>41</v>
      </c>
      <c r="K461" s="241">
        <f t="shared" si="33"/>
        <v>70</v>
      </c>
      <c r="L461" t="str">
        <f t="shared" si="30"/>
        <v>B+</v>
      </c>
      <c r="M461" t="str">
        <f t="shared" si="31"/>
        <v>Passed</v>
      </c>
    </row>
    <row r="462" spans="1:13" x14ac:dyDescent="0.3">
      <c r="A462" s="12">
        <v>41</v>
      </c>
      <c r="B462" s="45" t="s">
        <v>220</v>
      </c>
      <c r="C462" s="45" t="s">
        <v>130</v>
      </c>
      <c r="D462" s="12" t="s">
        <v>1048</v>
      </c>
      <c r="E462" s="12">
        <v>9</v>
      </c>
      <c r="F462" s="346">
        <v>24.5</v>
      </c>
      <c r="G462" s="12">
        <f t="shared" si="32"/>
        <v>33.5</v>
      </c>
      <c r="H462" s="12"/>
      <c r="I462" s="12"/>
      <c r="J462" s="12">
        <v>35</v>
      </c>
      <c r="K462" s="241">
        <f t="shared" si="33"/>
        <v>68.5</v>
      </c>
      <c r="L462" t="str">
        <f t="shared" si="30"/>
        <v>B</v>
      </c>
      <c r="M462" t="str">
        <f t="shared" si="31"/>
        <v>Passed</v>
      </c>
    </row>
    <row r="463" spans="1:13" x14ac:dyDescent="0.3">
      <c r="A463" s="50">
        <v>42</v>
      </c>
      <c r="B463" s="45" t="s">
        <v>659</v>
      </c>
      <c r="C463" s="45" t="s">
        <v>117</v>
      </c>
      <c r="D463" s="12" t="s">
        <v>1052</v>
      </c>
      <c r="E463" s="12">
        <v>10</v>
      </c>
      <c r="F463" s="346">
        <v>25.5</v>
      </c>
      <c r="G463" s="12">
        <f t="shared" si="32"/>
        <v>35.5</v>
      </c>
      <c r="H463" s="12"/>
      <c r="I463" s="12"/>
      <c r="J463" s="12">
        <v>57</v>
      </c>
      <c r="K463" s="241">
        <f t="shared" si="33"/>
        <v>92.5</v>
      </c>
      <c r="L463" t="str">
        <f t="shared" si="30"/>
        <v>A</v>
      </c>
      <c r="M463" t="str">
        <f t="shared" si="31"/>
        <v>Passed</v>
      </c>
    </row>
    <row r="464" spans="1:13" x14ac:dyDescent="0.3">
      <c r="A464" s="50">
        <v>43</v>
      </c>
      <c r="B464" s="45" t="s">
        <v>146</v>
      </c>
      <c r="C464" s="45" t="s">
        <v>94</v>
      </c>
      <c r="D464" s="12" t="s">
        <v>1056</v>
      </c>
      <c r="E464" s="12">
        <v>9</v>
      </c>
      <c r="F464" s="346">
        <v>22.5</v>
      </c>
      <c r="G464" s="12">
        <f t="shared" si="32"/>
        <v>31.5</v>
      </c>
      <c r="H464" s="12"/>
      <c r="I464" s="12"/>
      <c r="J464" s="12">
        <v>43</v>
      </c>
      <c r="K464" s="241">
        <f t="shared" si="33"/>
        <v>74.5</v>
      </c>
      <c r="L464" t="str">
        <f t="shared" si="30"/>
        <v>B+</v>
      </c>
      <c r="M464" t="str">
        <f t="shared" si="31"/>
        <v>Passed</v>
      </c>
    </row>
    <row r="465" spans="1:13" x14ac:dyDescent="0.3">
      <c r="A465" s="50">
        <v>44</v>
      </c>
      <c r="B465" s="277" t="s">
        <v>147</v>
      </c>
      <c r="C465" s="45" t="s">
        <v>95</v>
      </c>
      <c r="D465" s="12" t="s">
        <v>1031</v>
      </c>
      <c r="E465" s="12">
        <v>9</v>
      </c>
      <c r="F465" s="12">
        <v>24</v>
      </c>
      <c r="G465" s="12">
        <f t="shared" si="32"/>
        <v>33</v>
      </c>
      <c r="H465" s="12"/>
      <c r="I465" s="12"/>
      <c r="J465" s="12">
        <v>52</v>
      </c>
      <c r="K465" s="241">
        <f t="shared" si="33"/>
        <v>85</v>
      </c>
      <c r="L465" t="str">
        <f t="shared" si="30"/>
        <v>A</v>
      </c>
      <c r="M465" t="str">
        <f t="shared" si="31"/>
        <v>Passed</v>
      </c>
    </row>
    <row r="466" spans="1:13" x14ac:dyDescent="0.3">
      <c r="A466" s="50">
        <v>45</v>
      </c>
      <c r="B466" s="45" t="s">
        <v>155</v>
      </c>
      <c r="C466" s="45" t="s">
        <v>103</v>
      </c>
      <c r="D466" s="12" t="s">
        <v>1058</v>
      </c>
      <c r="E466" s="12">
        <v>8</v>
      </c>
      <c r="F466" s="346">
        <v>18.5</v>
      </c>
      <c r="G466" s="12">
        <f t="shared" si="32"/>
        <v>26.5</v>
      </c>
      <c r="H466" s="12"/>
      <c r="I466" s="12"/>
      <c r="J466" s="12">
        <v>26</v>
      </c>
      <c r="K466" s="241">
        <f t="shared" si="33"/>
        <v>52.5</v>
      </c>
      <c r="L466" t="str">
        <f t="shared" si="30"/>
        <v>C</v>
      </c>
      <c r="M466" t="str">
        <f t="shared" si="31"/>
        <v>Passed</v>
      </c>
    </row>
    <row r="467" spans="1:13" x14ac:dyDescent="0.3">
      <c r="A467" s="50">
        <v>46</v>
      </c>
      <c r="B467" s="452" t="s">
        <v>182</v>
      </c>
      <c r="C467" s="452" t="s">
        <v>105</v>
      </c>
      <c r="D467" s="452" t="s">
        <v>1020</v>
      </c>
      <c r="E467" s="452">
        <v>4</v>
      </c>
      <c r="F467" s="452"/>
      <c r="G467" s="452">
        <f t="shared" si="32"/>
        <v>4</v>
      </c>
      <c r="H467" s="452"/>
      <c r="I467" s="452"/>
      <c r="J467" s="452" t="s">
        <v>1938</v>
      </c>
      <c r="K467" s="241"/>
    </row>
    <row r="468" spans="1:13" x14ac:dyDescent="0.3">
      <c r="A468" s="50">
        <v>47</v>
      </c>
      <c r="B468" s="45" t="s">
        <v>161</v>
      </c>
      <c r="C468" s="45" t="s">
        <v>111</v>
      </c>
      <c r="D468" s="12" t="s">
        <v>1020</v>
      </c>
      <c r="E468" s="12"/>
      <c r="F468" s="12"/>
      <c r="G468" s="12"/>
      <c r="H468" s="12"/>
      <c r="I468" s="12"/>
      <c r="J468" s="12"/>
      <c r="K468" s="241"/>
    </row>
    <row r="469" spans="1:13" x14ac:dyDescent="0.3">
      <c r="A469" s="50">
        <v>48</v>
      </c>
      <c r="B469" s="45" t="s">
        <v>169</v>
      </c>
      <c r="C469" s="45" t="s">
        <v>122</v>
      </c>
      <c r="D469" s="12" t="s">
        <v>1020</v>
      </c>
      <c r="E469" s="12"/>
      <c r="F469" s="12"/>
      <c r="G469" s="12"/>
      <c r="H469" s="12"/>
      <c r="I469" s="12"/>
      <c r="J469" s="12"/>
      <c r="K469" s="241"/>
    </row>
    <row r="470" spans="1:13" x14ac:dyDescent="0.3">
      <c r="A470" s="50">
        <v>49</v>
      </c>
      <c r="B470" s="45" t="s">
        <v>648</v>
      </c>
      <c r="C470" s="45" t="s">
        <v>129</v>
      </c>
      <c r="D470" s="12" t="s">
        <v>1033</v>
      </c>
      <c r="E470" s="12">
        <v>9</v>
      </c>
      <c r="F470" s="12">
        <v>29</v>
      </c>
      <c r="G470" s="12">
        <f t="shared" si="32"/>
        <v>38</v>
      </c>
      <c r="H470" s="12"/>
      <c r="I470" s="12"/>
      <c r="J470" s="12">
        <v>49</v>
      </c>
      <c r="K470" s="241">
        <f t="shared" si="33"/>
        <v>87</v>
      </c>
      <c r="L470" t="str">
        <f t="shared" si="30"/>
        <v>A</v>
      </c>
      <c r="M470" t="str">
        <f t="shared" si="31"/>
        <v>Passed</v>
      </c>
    </row>
    <row r="471" spans="1:13" x14ac:dyDescent="0.3">
      <c r="A471" s="12">
        <v>50</v>
      </c>
      <c r="B471" s="45" t="s">
        <v>177</v>
      </c>
      <c r="C471" s="45" t="s">
        <v>132</v>
      </c>
      <c r="D471" s="12" t="s">
        <v>1039</v>
      </c>
      <c r="E471" s="12">
        <v>9</v>
      </c>
      <c r="F471" s="12">
        <v>30</v>
      </c>
      <c r="G471" s="12">
        <f t="shared" si="32"/>
        <v>39</v>
      </c>
      <c r="H471" s="12"/>
      <c r="I471" s="12"/>
      <c r="J471" s="12">
        <v>54</v>
      </c>
      <c r="K471" s="241">
        <f t="shared" si="33"/>
        <v>93</v>
      </c>
      <c r="L471" t="str">
        <f t="shared" si="30"/>
        <v>A</v>
      </c>
      <c r="M471" t="str">
        <f t="shared" si="31"/>
        <v>Passed</v>
      </c>
    </row>
    <row r="472" spans="1:13" x14ac:dyDescent="0.3">
      <c r="A472" s="12">
        <v>51</v>
      </c>
      <c r="B472" s="45" t="s">
        <v>179</v>
      </c>
      <c r="C472" s="45" t="s">
        <v>665</v>
      </c>
      <c r="D472" s="12" t="s">
        <v>1035</v>
      </c>
      <c r="E472" s="12">
        <v>10</v>
      </c>
      <c r="F472" s="12">
        <v>22</v>
      </c>
      <c r="G472" s="12">
        <f t="shared" si="32"/>
        <v>32</v>
      </c>
      <c r="H472" s="12"/>
      <c r="I472" s="12"/>
      <c r="J472" s="12">
        <v>38</v>
      </c>
      <c r="K472" s="241">
        <f t="shared" si="33"/>
        <v>70</v>
      </c>
      <c r="L472" t="str">
        <f t="shared" si="30"/>
        <v>B+</v>
      </c>
      <c r="M472" t="str">
        <f t="shared" si="31"/>
        <v>Passed</v>
      </c>
    </row>
    <row r="473" spans="1:13" x14ac:dyDescent="0.3">
      <c r="A473" s="12">
        <v>52</v>
      </c>
      <c r="B473" s="45" t="s">
        <v>180</v>
      </c>
      <c r="C473" s="45" t="s">
        <v>136</v>
      </c>
      <c r="D473" s="12" t="s">
        <v>1026</v>
      </c>
      <c r="E473" s="12">
        <v>9</v>
      </c>
      <c r="F473" s="12">
        <v>23</v>
      </c>
      <c r="G473" s="12">
        <f t="shared" si="32"/>
        <v>32</v>
      </c>
      <c r="H473" s="12"/>
      <c r="I473" s="12"/>
      <c r="J473" s="12">
        <v>45</v>
      </c>
      <c r="K473" s="241">
        <f t="shared" si="33"/>
        <v>77</v>
      </c>
      <c r="L473" t="str">
        <f t="shared" si="30"/>
        <v>B+</v>
      </c>
      <c r="M473" t="str">
        <f t="shared" si="31"/>
        <v>Passed</v>
      </c>
    </row>
    <row r="474" spans="1:13" x14ac:dyDescent="0.3">
      <c r="A474" s="50">
        <v>53</v>
      </c>
      <c r="B474" s="45" t="s">
        <v>183</v>
      </c>
      <c r="C474" s="45" t="s">
        <v>140</v>
      </c>
      <c r="D474" s="12" t="s">
        <v>1054</v>
      </c>
      <c r="E474" s="12">
        <v>10</v>
      </c>
      <c r="F474" s="346">
        <v>23.5</v>
      </c>
      <c r="G474" s="12">
        <f t="shared" si="32"/>
        <v>33.5</v>
      </c>
      <c r="H474" s="12"/>
      <c r="I474" s="12"/>
      <c r="J474" s="12">
        <v>51</v>
      </c>
      <c r="K474" s="241">
        <f t="shared" si="33"/>
        <v>84.5</v>
      </c>
      <c r="L474" t="str">
        <f t="shared" si="30"/>
        <v>A</v>
      </c>
      <c r="M474" t="str">
        <f t="shared" si="31"/>
        <v>Passed</v>
      </c>
    </row>
    <row r="475" spans="1:13" x14ac:dyDescent="0.3">
      <c r="A475" s="50">
        <v>54</v>
      </c>
      <c r="B475" s="45" t="s">
        <v>184</v>
      </c>
      <c r="C475" s="45" t="s">
        <v>142</v>
      </c>
      <c r="D475" s="12" t="s">
        <v>1037</v>
      </c>
      <c r="E475" s="12">
        <v>8</v>
      </c>
      <c r="F475" s="12">
        <v>19</v>
      </c>
      <c r="G475" s="12">
        <f t="shared" si="32"/>
        <v>27</v>
      </c>
      <c r="H475" s="12"/>
      <c r="I475" s="12"/>
      <c r="J475" s="12">
        <v>42</v>
      </c>
      <c r="K475" s="241">
        <f t="shared" si="33"/>
        <v>69</v>
      </c>
      <c r="L475" t="str">
        <f t="shared" si="30"/>
        <v>B</v>
      </c>
      <c r="M475" t="str">
        <f t="shared" si="31"/>
        <v>Passed</v>
      </c>
    </row>
    <row r="476" spans="1:13" x14ac:dyDescent="0.3">
      <c r="A476" s="312"/>
      <c r="B476" s="56"/>
      <c r="C476" s="56"/>
      <c r="D476" s="56"/>
      <c r="E476" s="56"/>
      <c r="F476" s="56"/>
      <c r="G476" s="56"/>
      <c r="H476" s="56"/>
      <c r="I476" s="56"/>
      <c r="J476" s="56"/>
      <c r="K476" s="56"/>
    </row>
    <row r="477" spans="1:13" x14ac:dyDescent="0.3">
      <c r="A477" s="312"/>
      <c r="B477" s="56"/>
      <c r="C477" s="56"/>
      <c r="D477" s="56"/>
      <c r="E477" s="56"/>
      <c r="F477" s="56"/>
      <c r="G477" s="56"/>
      <c r="H477" s="56"/>
      <c r="I477" s="56"/>
      <c r="J477" s="56"/>
      <c r="K477" s="56"/>
    </row>
    <row r="478" spans="1:13" x14ac:dyDescent="0.3">
      <c r="A478" s="312"/>
      <c r="B478" s="56"/>
      <c r="C478" s="56"/>
      <c r="D478" s="56"/>
      <c r="E478" s="56"/>
      <c r="F478" s="56"/>
      <c r="G478" s="56"/>
      <c r="H478" s="56"/>
      <c r="I478" s="56"/>
      <c r="J478" s="56"/>
      <c r="K478" s="56"/>
    </row>
    <row r="479" spans="1:13" x14ac:dyDescent="0.3">
      <c r="A479" s="312"/>
      <c r="B479" s="56"/>
      <c r="C479" s="56"/>
      <c r="D479" s="56"/>
      <c r="E479" s="56"/>
      <c r="F479" s="56"/>
      <c r="G479" s="56"/>
      <c r="H479" s="56"/>
      <c r="I479" s="56"/>
      <c r="J479" s="56"/>
      <c r="K479" s="56"/>
    </row>
    <row r="480" spans="1:13" x14ac:dyDescent="0.3">
      <c r="A480" s="312"/>
      <c r="B480" s="56"/>
      <c r="C480" s="56"/>
      <c r="D480" s="56"/>
      <c r="E480" s="56"/>
      <c r="F480" s="56"/>
      <c r="G480" s="56"/>
      <c r="H480" s="56"/>
      <c r="I480" s="56"/>
      <c r="J480" s="56"/>
      <c r="K480" s="56"/>
    </row>
    <row r="481" spans="1:15" x14ac:dyDescent="0.3">
      <c r="A481" s="312"/>
      <c r="B481" s="56"/>
      <c r="C481" s="56"/>
      <c r="D481" s="56"/>
      <c r="E481" s="56"/>
      <c r="F481" s="56"/>
      <c r="G481" s="56"/>
      <c r="H481" s="56"/>
      <c r="I481" s="56"/>
      <c r="J481" s="56"/>
      <c r="K481" s="56"/>
    </row>
    <row r="485" spans="1:15" x14ac:dyDescent="0.3">
      <c r="A485" s="450" t="s">
        <v>0</v>
      </c>
      <c r="B485" s="451"/>
      <c r="C485" s="451"/>
      <c r="D485" s="451"/>
      <c r="E485" s="451"/>
      <c r="F485" s="451"/>
      <c r="G485" s="451"/>
      <c r="H485" s="451"/>
      <c r="I485" s="451"/>
      <c r="J485" s="451"/>
      <c r="K485" s="451"/>
      <c r="L485" s="451"/>
    </row>
    <row r="486" spans="1:15" x14ac:dyDescent="0.3">
      <c r="A486" s="14" t="s">
        <v>66</v>
      </c>
      <c r="B486" s="14"/>
      <c r="C486" s="14"/>
      <c r="D486" s="14"/>
    </row>
    <row r="487" spans="1:15" x14ac:dyDescent="0.3">
      <c r="A487" s="460" t="s">
        <v>362</v>
      </c>
      <c r="B487" s="461"/>
      <c r="C487" s="461"/>
      <c r="D487" s="2"/>
      <c r="E487" s="2"/>
      <c r="F487" s="2"/>
      <c r="G487" s="2"/>
      <c r="H487" s="2"/>
      <c r="I487" s="2"/>
      <c r="J487" s="2"/>
      <c r="K487" s="2"/>
      <c r="L487" s="1"/>
      <c r="M487" s="16"/>
      <c r="N487" s="16"/>
      <c r="O487" s="13"/>
    </row>
    <row r="488" spans="1:15" x14ac:dyDescent="0.3">
      <c r="A488" s="450" t="s">
        <v>1</v>
      </c>
      <c r="B488" s="462" t="s">
        <v>676</v>
      </c>
      <c r="C488" s="462"/>
      <c r="D488" s="450"/>
      <c r="E488" s="451"/>
      <c r="F488" s="451"/>
      <c r="G488" s="451"/>
      <c r="H488" s="451"/>
      <c r="I488" s="451"/>
      <c r="J488" s="451"/>
      <c r="K488" s="451"/>
      <c r="L488" s="451"/>
    </row>
    <row r="489" spans="1:15" x14ac:dyDescent="0.3">
      <c r="A489" s="450" t="s">
        <v>3</v>
      </c>
      <c r="B489" s="462" t="s">
        <v>79</v>
      </c>
      <c r="C489" s="462"/>
      <c r="D489" s="450"/>
      <c r="E489" s="451"/>
      <c r="F489" s="451"/>
      <c r="G489" s="451"/>
      <c r="H489" s="451"/>
      <c r="I489" s="451"/>
      <c r="J489" s="451"/>
      <c r="K489" s="451"/>
      <c r="L489" s="451"/>
    </row>
    <row r="490" spans="1:15" x14ac:dyDescent="0.3">
      <c r="A490" s="450" t="s">
        <v>4</v>
      </c>
      <c r="B490" s="462" t="s">
        <v>80</v>
      </c>
      <c r="C490" s="462"/>
      <c r="D490" s="450"/>
      <c r="E490" s="451"/>
      <c r="F490" s="451"/>
      <c r="G490" s="451"/>
      <c r="H490" s="451"/>
      <c r="I490" s="451"/>
      <c r="J490" s="451"/>
      <c r="K490" s="451"/>
      <c r="L490" s="451"/>
    </row>
    <row r="491" spans="1:15" x14ac:dyDescent="0.3">
      <c r="A491" s="450" t="s">
        <v>5</v>
      </c>
      <c r="B491" s="463">
        <v>3</v>
      </c>
      <c r="C491" s="463"/>
      <c r="D491" s="450"/>
      <c r="E491" s="451"/>
      <c r="F491" s="451"/>
      <c r="G491" s="451"/>
      <c r="H491" s="451"/>
      <c r="I491" s="451"/>
      <c r="J491" s="451"/>
      <c r="K491" s="451"/>
      <c r="L491" s="451"/>
    </row>
    <row r="492" spans="1:15" x14ac:dyDescent="0.3">
      <c r="A492" s="450" t="s">
        <v>6</v>
      </c>
      <c r="B492" s="462" t="s">
        <v>40</v>
      </c>
      <c r="C492" s="462"/>
      <c r="D492" s="450"/>
      <c r="E492" s="451"/>
      <c r="F492" s="451"/>
      <c r="G492" s="451"/>
      <c r="H492" s="451"/>
      <c r="I492" s="451"/>
      <c r="J492" s="451"/>
      <c r="K492" s="451"/>
      <c r="L492" s="451"/>
    </row>
    <row r="493" spans="1:15" x14ac:dyDescent="0.3">
      <c r="A493" s="450" t="s">
        <v>68</v>
      </c>
      <c r="B493" s="462" t="s">
        <v>540</v>
      </c>
      <c r="C493" s="462"/>
      <c r="D493" s="450"/>
      <c r="E493" s="451"/>
      <c r="F493" s="451"/>
      <c r="G493" s="451"/>
      <c r="H493" s="451"/>
      <c r="I493" s="451"/>
      <c r="J493" s="451"/>
      <c r="K493" s="451"/>
      <c r="L493" s="451"/>
    </row>
    <row r="494" spans="1:15" x14ac:dyDescent="0.3">
      <c r="A494" s="44"/>
      <c r="B494" s="14"/>
      <c r="C494" s="14"/>
      <c r="D494" s="14"/>
    </row>
    <row r="495" spans="1:15" ht="60" x14ac:dyDescent="0.3">
      <c r="A495" s="452" t="s">
        <v>8</v>
      </c>
      <c r="B495" s="452" t="s">
        <v>9</v>
      </c>
      <c r="C495" s="452" t="s">
        <v>10</v>
      </c>
      <c r="D495" s="43" t="s">
        <v>11</v>
      </c>
      <c r="E495" s="43" t="s">
        <v>12</v>
      </c>
      <c r="F495" s="43" t="s">
        <v>13</v>
      </c>
      <c r="G495" s="43" t="s">
        <v>14</v>
      </c>
      <c r="H495" s="43" t="s">
        <v>208</v>
      </c>
      <c r="I495" s="43" t="s">
        <v>209</v>
      </c>
      <c r="J495" s="43" t="s">
        <v>15</v>
      </c>
      <c r="K495" s="43" t="s">
        <v>16</v>
      </c>
      <c r="L495" s="14" t="s">
        <v>17</v>
      </c>
      <c r="M495" s="14" t="s">
        <v>18</v>
      </c>
      <c r="N495" s="14" t="s">
        <v>19</v>
      </c>
    </row>
    <row r="496" spans="1:15" x14ac:dyDescent="0.3">
      <c r="A496" s="12"/>
      <c r="B496" s="452"/>
      <c r="C496" s="452"/>
      <c r="D496" s="452"/>
      <c r="E496" s="12"/>
      <c r="F496" s="12"/>
      <c r="G496" s="12"/>
      <c r="H496" s="12"/>
      <c r="I496" s="12"/>
      <c r="J496" s="12"/>
      <c r="K496" s="12"/>
      <c r="N496" t="s">
        <v>20</v>
      </c>
      <c r="O496">
        <f>COUNT(G497:G550)</f>
        <v>49</v>
      </c>
    </row>
    <row r="497" spans="1:22" x14ac:dyDescent="0.3">
      <c r="A497" s="12">
        <v>1</v>
      </c>
      <c r="B497" s="45" t="s">
        <v>203</v>
      </c>
      <c r="C497" s="45" t="s">
        <v>92</v>
      </c>
      <c r="D497" s="448" t="s">
        <v>832</v>
      </c>
      <c r="E497" s="12">
        <v>10</v>
      </c>
      <c r="F497" s="12">
        <v>23</v>
      </c>
      <c r="G497" s="12">
        <f>SUM(E497:F497)</f>
        <v>33</v>
      </c>
      <c r="H497" s="12"/>
      <c r="I497" s="12"/>
      <c r="J497" s="12">
        <v>49</v>
      </c>
      <c r="K497" s="12">
        <f>SUM(G497:J497)</f>
        <v>82</v>
      </c>
      <c r="L497" t="str">
        <f t="shared" ref="L497:L550" si="34">IF(K497&gt;=80,"A",IF(K497&gt;=70,"B+",IF(K497&gt;=60,"B",IF(K497&gt;=55,"C+",IF(K497&gt;=50,"C",IF(K497&gt;=45,"D+",IF(K497&gt;=40,"D","F")))))))</f>
        <v>A</v>
      </c>
      <c r="M497" t="str">
        <f t="shared" ref="M497:M550" si="35">IF(K497&gt;=50,"Passed","Failed")</f>
        <v>Passed</v>
      </c>
      <c r="N497" t="s">
        <v>21</v>
      </c>
      <c r="O497">
        <f>COUNT(J497:J550)</f>
        <v>48</v>
      </c>
    </row>
    <row r="498" spans="1:22" x14ac:dyDescent="0.3">
      <c r="A498" s="12">
        <v>2</v>
      </c>
      <c r="B498" s="45" t="s">
        <v>145</v>
      </c>
      <c r="C498" s="45" t="s">
        <v>93</v>
      </c>
      <c r="D498" s="448" t="s">
        <v>800</v>
      </c>
      <c r="E498" s="12">
        <v>9</v>
      </c>
      <c r="F498" s="12">
        <v>19</v>
      </c>
      <c r="G498" s="12">
        <f t="shared" ref="G498:G550" si="36">SUM(E498:F498)</f>
        <v>28</v>
      </c>
      <c r="H498" s="12"/>
      <c r="I498" s="12"/>
      <c r="J498" s="12">
        <v>30</v>
      </c>
      <c r="K498" s="12">
        <f t="shared" ref="K498:K550" si="37">SUM(G498:J498)</f>
        <v>58</v>
      </c>
      <c r="L498" t="str">
        <f t="shared" si="34"/>
        <v>C+</v>
      </c>
      <c r="M498" t="str">
        <f t="shared" si="35"/>
        <v>Passed</v>
      </c>
      <c r="N498" t="s">
        <v>22</v>
      </c>
      <c r="O498">
        <f>O496-O497</f>
        <v>1</v>
      </c>
    </row>
    <row r="499" spans="1:22" x14ac:dyDescent="0.3">
      <c r="A499" s="12">
        <v>3</v>
      </c>
      <c r="B499" s="45" t="s">
        <v>149</v>
      </c>
      <c r="C499" s="45" t="s">
        <v>97</v>
      </c>
      <c r="D499" s="448" t="s">
        <v>831</v>
      </c>
      <c r="E499" s="12">
        <v>10</v>
      </c>
      <c r="F499" s="12">
        <v>25</v>
      </c>
      <c r="G499" s="12">
        <f t="shared" si="36"/>
        <v>35</v>
      </c>
      <c r="H499" s="12"/>
      <c r="I499" s="12"/>
      <c r="J499" s="12">
        <v>58</v>
      </c>
      <c r="K499" s="12">
        <f t="shared" si="37"/>
        <v>93</v>
      </c>
      <c r="L499" t="str">
        <f t="shared" si="34"/>
        <v>A</v>
      </c>
      <c r="M499" t="str">
        <f t="shared" si="35"/>
        <v>Passed</v>
      </c>
      <c r="N499" t="s">
        <v>23</v>
      </c>
      <c r="O499">
        <f>COUNTIF(M497:M550,"Passed")</f>
        <v>38</v>
      </c>
    </row>
    <row r="500" spans="1:22" x14ac:dyDescent="0.3">
      <c r="A500" s="12">
        <v>4</v>
      </c>
      <c r="B500" s="45" t="s">
        <v>152</v>
      </c>
      <c r="C500" s="45" t="s">
        <v>100</v>
      </c>
      <c r="D500" s="448" t="s">
        <v>785</v>
      </c>
      <c r="E500" s="12">
        <v>10</v>
      </c>
      <c r="F500" s="12">
        <v>22</v>
      </c>
      <c r="G500" s="12">
        <f t="shared" si="36"/>
        <v>32</v>
      </c>
      <c r="H500" s="12"/>
      <c r="I500" s="12"/>
      <c r="J500" s="12">
        <v>8</v>
      </c>
      <c r="K500" s="12">
        <f t="shared" si="37"/>
        <v>40</v>
      </c>
      <c r="L500" t="str">
        <f t="shared" si="34"/>
        <v>D</v>
      </c>
      <c r="M500" t="str">
        <f t="shared" si="35"/>
        <v>Failed</v>
      </c>
      <c r="N500" t="s">
        <v>24</v>
      </c>
      <c r="O500" s="179">
        <f>O499/O497%</f>
        <v>79.166666666666671</v>
      </c>
    </row>
    <row r="501" spans="1:22" x14ac:dyDescent="0.3">
      <c r="A501" s="12">
        <v>5</v>
      </c>
      <c r="B501" s="45" t="s">
        <v>156</v>
      </c>
      <c r="C501" s="45" t="s">
        <v>104</v>
      </c>
      <c r="D501" s="448" t="s">
        <v>797</v>
      </c>
      <c r="E501" s="12">
        <v>10</v>
      </c>
      <c r="F501" s="12">
        <v>27</v>
      </c>
      <c r="G501" s="12">
        <f t="shared" si="36"/>
        <v>37</v>
      </c>
      <c r="H501" s="12"/>
      <c r="I501" s="12"/>
      <c r="J501" s="12">
        <v>52</v>
      </c>
      <c r="K501" s="12">
        <f t="shared" si="37"/>
        <v>89</v>
      </c>
      <c r="L501" t="str">
        <f t="shared" si="34"/>
        <v>A</v>
      </c>
      <c r="M501" t="str">
        <f t="shared" si="35"/>
        <v>Passed</v>
      </c>
      <c r="N501" t="s">
        <v>25</v>
      </c>
      <c r="O501">
        <f>COUNTIF(M497:M550,"failed")</f>
        <v>10</v>
      </c>
    </row>
    <row r="502" spans="1:22" x14ac:dyDescent="0.3">
      <c r="A502" s="12">
        <v>6</v>
      </c>
      <c r="B502" s="45" t="s">
        <v>160</v>
      </c>
      <c r="C502" s="45" t="s">
        <v>109</v>
      </c>
      <c r="D502" s="448" t="s">
        <v>828</v>
      </c>
      <c r="E502" s="12">
        <v>10</v>
      </c>
      <c r="F502" s="12">
        <v>25</v>
      </c>
      <c r="G502" s="12">
        <f t="shared" si="36"/>
        <v>35</v>
      </c>
      <c r="H502" s="12"/>
      <c r="I502" s="12"/>
      <c r="J502" s="12">
        <v>48</v>
      </c>
      <c r="K502" s="12">
        <f t="shared" si="37"/>
        <v>83</v>
      </c>
      <c r="L502" t="str">
        <f t="shared" si="34"/>
        <v>A</v>
      </c>
      <c r="M502" t="str">
        <f t="shared" si="35"/>
        <v>Passed</v>
      </c>
      <c r="N502" t="s">
        <v>26</v>
      </c>
      <c r="O502" s="179">
        <f>O501/O497%</f>
        <v>20.833333333333336</v>
      </c>
    </row>
    <row r="503" spans="1:22" x14ac:dyDescent="0.3">
      <c r="A503" s="12">
        <v>7</v>
      </c>
      <c r="B503" s="45" t="s">
        <v>207</v>
      </c>
      <c r="C503" s="45" t="s">
        <v>110</v>
      </c>
      <c r="D503" s="448" t="s">
        <v>784</v>
      </c>
      <c r="E503" s="12"/>
      <c r="F503" s="12"/>
      <c r="G503" s="12"/>
      <c r="H503" s="12"/>
      <c r="I503" s="12"/>
      <c r="J503" s="12"/>
      <c r="K503" s="12"/>
      <c r="N503" t="s">
        <v>27</v>
      </c>
      <c r="O503" s="179">
        <f>AVERAGE(K497:K550)</f>
        <v>64.802083333333329</v>
      </c>
    </row>
    <row r="504" spans="1:22" x14ac:dyDescent="0.3">
      <c r="A504" s="12">
        <v>8</v>
      </c>
      <c r="B504" s="45" t="s">
        <v>163</v>
      </c>
      <c r="C504" s="45" t="s">
        <v>113</v>
      </c>
      <c r="D504" s="448" t="s">
        <v>819</v>
      </c>
      <c r="E504" s="12">
        <v>10</v>
      </c>
      <c r="F504" s="12">
        <v>25</v>
      </c>
      <c r="G504" s="12">
        <f t="shared" si="36"/>
        <v>35</v>
      </c>
      <c r="H504" s="12"/>
      <c r="I504" s="12"/>
      <c r="J504" s="12">
        <v>43</v>
      </c>
      <c r="K504" s="12">
        <f t="shared" si="37"/>
        <v>78</v>
      </c>
      <c r="L504" t="str">
        <f t="shared" si="34"/>
        <v>B+</v>
      </c>
      <c r="M504" t="str">
        <f t="shared" si="35"/>
        <v>Passed</v>
      </c>
    </row>
    <row r="505" spans="1:22" x14ac:dyDescent="0.3">
      <c r="A505" s="12">
        <v>9</v>
      </c>
      <c r="B505" s="45" t="s">
        <v>480</v>
      </c>
      <c r="C505" s="45" t="s">
        <v>115</v>
      </c>
      <c r="D505" s="448" t="s">
        <v>798</v>
      </c>
      <c r="E505" s="12">
        <v>10</v>
      </c>
      <c r="F505" s="12">
        <v>25</v>
      </c>
      <c r="G505" s="12">
        <f t="shared" si="36"/>
        <v>35</v>
      </c>
      <c r="H505" s="12"/>
      <c r="I505" s="12"/>
      <c r="J505" s="12">
        <v>54</v>
      </c>
      <c r="K505" s="12">
        <f t="shared" si="37"/>
        <v>89</v>
      </c>
      <c r="L505" t="str">
        <f t="shared" si="34"/>
        <v>A</v>
      </c>
      <c r="M505" t="str">
        <f t="shared" si="35"/>
        <v>Passed</v>
      </c>
    </row>
    <row r="506" spans="1:22" x14ac:dyDescent="0.3">
      <c r="A506" s="12">
        <v>10</v>
      </c>
      <c r="B506" s="45" t="s">
        <v>200</v>
      </c>
      <c r="C506" s="45" t="s">
        <v>119</v>
      </c>
      <c r="D506" s="448" t="s">
        <v>824</v>
      </c>
      <c r="E506" s="12">
        <v>10</v>
      </c>
      <c r="F506" s="12">
        <v>15</v>
      </c>
      <c r="G506" s="12">
        <f t="shared" si="36"/>
        <v>25</v>
      </c>
      <c r="H506" s="12"/>
      <c r="I506" s="12"/>
      <c r="J506" s="12">
        <v>15</v>
      </c>
      <c r="K506" s="12">
        <f t="shared" si="37"/>
        <v>40</v>
      </c>
      <c r="L506" t="str">
        <f t="shared" si="34"/>
        <v>D</v>
      </c>
      <c r="M506" t="str">
        <f t="shared" si="35"/>
        <v>Failed</v>
      </c>
    </row>
    <row r="507" spans="1:22" x14ac:dyDescent="0.3">
      <c r="A507" s="12">
        <v>11</v>
      </c>
      <c r="B507" s="45" t="s">
        <v>205</v>
      </c>
      <c r="C507" s="45" t="s">
        <v>120</v>
      </c>
      <c r="D507" s="448" t="s">
        <v>784</v>
      </c>
      <c r="E507" s="12"/>
      <c r="F507" s="12"/>
      <c r="G507" s="12"/>
      <c r="H507" s="12"/>
      <c r="I507" s="12"/>
      <c r="J507" s="12"/>
      <c r="K507" s="12"/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 t="s">
        <v>33</v>
      </c>
      <c r="U507" t="s">
        <v>34</v>
      </c>
      <c r="V507" t="s">
        <v>35</v>
      </c>
    </row>
    <row r="508" spans="1:22" x14ac:dyDescent="0.3">
      <c r="A508" s="12">
        <v>12</v>
      </c>
      <c r="B508" s="45" t="s">
        <v>168</v>
      </c>
      <c r="C508" s="45" t="s">
        <v>121</v>
      </c>
      <c r="D508" s="448" t="s">
        <v>826</v>
      </c>
      <c r="E508" s="12">
        <v>9</v>
      </c>
      <c r="F508" s="12">
        <v>20</v>
      </c>
      <c r="G508" s="12">
        <f t="shared" si="36"/>
        <v>29</v>
      </c>
      <c r="H508" s="12"/>
      <c r="I508" s="12"/>
      <c r="J508" s="12">
        <v>24</v>
      </c>
      <c r="K508" s="12">
        <f t="shared" si="37"/>
        <v>53</v>
      </c>
      <c r="L508" t="str">
        <f t="shared" si="34"/>
        <v>C</v>
      </c>
      <c r="M508" t="str">
        <f t="shared" si="35"/>
        <v>Passed</v>
      </c>
      <c r="O508">
        <f>COUNTIF(L497:L550,"A")</f>
        <v>11</v>
      </c>
      <c r="P508">
        <f>COUNTIF(L497:L550,"B+")</f>
        <v>9</v>
      </c>
      <c r="Q508">
        <f>COUNTIF(L497:L550,"B")</f>
        <v>10</v>
      </c>
      <c r="R508">
        <f>COUNTIF(L497:L550,"C+")</f>
        <v>5</v>
      </c>
      <c r="S508">
        <f>COUNTIF(L497:L550,"C")</f>
        <v>3</v>
      </c>
      <c r="T508">
        <f>COUNTIF(L497:L550,"D+")</f>
        <v>4</v>
      </c>
      <c r="U508">
        <f>COUNTIF(L497:L550,"D")</f>
        <v>5</v>
      </c>
      <c r="V508">
        <f>COUNTIF(L497:L550,"F")</f>
        <v>1</v>
      </c>
    </row>
    <row r="509" spans="1:22" x14ac:dyDescent="0.3">
      <c r="A509" s="12">
        <v>13</v>
      </c>
      <c r="B509" s="45" t="s">
        <v>170</v>
      </c>
      <c r="C509" s="45" t="s">
        <v>124</v>
      </c>
      <c r="D509" s="448" t="s">
        <v>827</v>
      </c>
      <c r="E509" s="12">
        <v>10</v>
      </c>
      <c r="F509" s="12">
        <v>20</v>
      </c>
      <c r="G509" s="12">
        <f t="shared" si="36"/>
        <v>30</v>
      </c>
      <c r="H509" s="12"/>
      <c r="I509" s="12"/>
      <c r="J509" s="12">
        <v>45</v>
      </c>
      <c r="K509" s="12">
        <f t="shared" si="37"/>
        <v>75</v>
      </c>
      <c r="L509" t="str">
        <f t="shared" si="34"/>
        <v>B+</v>
      </c>
      <c r="M509" t="str">
        <f t="shared" si="35"/>
        <v>Passed</v>
      </c>
    </row>
    <row r="510" spans="1:22" x14ac:dyDescent="0.3">
      <c r="A510" s="12">
        <v>14</v>
      </c>
      <c r="B510" s="45" t="s">
        <v>172</v>
      </c>
      <c r="C510" s="45" t="s">
        <v>126</v>
      </c>
      <c r="D510" s="448" t="s">
        <v>794</v>
      </c>
      <c r="E510" s="12">
        <v>10</v>
      </c>
      <c r="F510" s="12">
        <v>16</v>
      </c>
      <c r="G510" s="12">
        <f t="shared" si="36"/>
        <v>26</v>
      </c>
      <c r="H510" s="12"/>
      <c r="I510" s="12"/>
      <c r="J510" s="12">
        <v>19</v>
      </c>
      <c r="K510" s="12">
        <f t="shared" si="37"/>
        <v>45</v>
      </c>
      <c r="L510" t="str">
        <f t="shared" si="34"/>
        <v>D+</v>
      </c>
      <c r="M510" t="str">
        <f t="shared" si="35"/>
        <v>Failed</v>
      </c>
    </row>
    <row r="511" spans="1:22" x14ac:dyDescent="0.3">
      <c r="A511" s="12">
        <v>15</v>
      </c>
      <c r="B511" s="45" t="s">
        <v>173</v>
      </c>
      <c r="C511" s="45" t="s">
        <v>127</v>
      </c>
      <c r="D511" s="448" t="s">
        <v>818</v>
      </c>
      <c r="E511" s="12">
        <v>10</v>
      </c>
      <c r="F511" s="12">
        <v>22</v>
      </c>
      <c r="G511" s="12">
        <f t="shared" si="36"/>
        <v>32</v>
      </c>
      <c r="H511" s="12"/>
      <c r="I511" s="12"/>
      <c r="J511" s="12">
        <v>22</v>
      </c>
      <c r="K511" s="12">
        <f t="shared" si="37"/>
        <v>54</v>
      </c>
      <c r="L511" t="str">
        <f t="shared" si="34"/>
        <v>C</v>
      </c>
      <c r="M511" t="str">
        <f t="shared" si="35"/>
        <v>Passed</v>
      </c>
    </row>
    <row r="512" spans="1:22" x14ac:dyDescent="0.3">
      <c r="A512" s="12">
        <v>16</v>
      </c>
      <c r="B512" s="45" t="s">
        <v>175</v>
      </c>
      <c r="C512" s="45" t="s">
        <v>131</v>
      </c>
      <c r="D512" s="448" t="s">
        <v>820</v>
      </c>
      <c r="E512" s="12">
        <v>10</v>
      </c>
      <c r="F512" s="12">
        <v>20</v>
      </c>
      <c r="G512" s="12">
        <f t="shared" si="36"/>
        <v>30</v>
      </c>
      <c r="H512" s="12"/>
      <c r="I512" s="12"/>
      <c r="J512" s="12">
        <v>55</v>
      </c>
      <c r="K512" s="12">
        <f t="shared" si="37"/>
        <v>85</v>
      </c>
      <c r="L512" t="str">
        <f t="shared" si="34"/>
        <v>A</v>
      </c>
      <c r="M512" t="str">
        <f t="shared" si="35"/>
        <v>Passed</v>
      </c>
    </row>
    <row r="513" spans="1:13" x14ac:dyDescent="0.3">
      <c r="A513" s="12">
        <v>17</v>
      </c>
      <c r="B513" s="277" t="s">
        <v>178</v>
      </c>
      <c r="C513" s="45" t="s">
        <v>133</v>
      </c>
      <c r="D513" s="448" t="s">
        <v>829</v>
      </c>
      <c r="E513" s="12">
        <v>10</v>
      </c>
      <c r="F513" s="12">
        <v>21</v>
      </c>
      <c r="G513" s="12">
        <f t="shared" si="36"/>
        <v>31</v>
      </c>
      <c r="H513" s="12"/>
      <c r="I513" s="12"/>
      <c r="J513" s="12">
        <v>51</v>
      </c>
      <c r="K513" s="12">
        <f t="shared" si="37"/>
        <v>82</v>
      </c>
      <c r="L513" t="str">
        <f t="shared" si="34"/>
        <v>A</v>
      </c>
      <c r="M513" t="str">
        <f t="shared" si="35"/>
        <v>Passed</v>
      </c>
    </row>
    <row r="514" spans="1:13" x14ac:dyDescent="0.3">
      <c r="A514" s="12">
        <v>18</v>
      </c>
      <c r="B514" s="45" t="s">
        <v>534</v>
      </c>
      <c r="C514" s="303" t="s">
        <v>363</v>
      </c>
      <c r="D514" s="448" t="s">
        <v>815</v>
      </c>
      <c r="E514" s="12">
        <v>7.5</v>
      </c>
      <c r="F514" s="12">
        <v>10</v>
      </c>
      <c r="G514" s="12">
        <f t="shared" si="36"/>
        <v>17.5</v>
      </c>
      <c r="H514" s="12"/>
      <c r="I514" s="12"/>
      <c r="J514" s="12">
        <v>2</v>
      </c>
      <c r="K514" s="241">
        <f t="shared" si="37"/>
        <v>19.5</v>
      </c>
      <c r="L514" t="str">
        <f t="shared" si="34"/>
        <v>F</v>
      </c>
      <c r="M514" t="str">
        <f t="shared" si="35"/>
        <v>Failed</v>
      </c>
    </row>
    <row r="515" spans="1:13" x14ac:dyDescent="0.3">
      <c r="A515" s="12">
        <v>19</v>
      </c>
      <c r="B515" s="389" t="s">
        <v>144</v>
      </c>
      <c r="C515" s="304" t="s">
        <v>137</v>
      </c>
      <c r="D515" s="448" t="s">
        <v>803</v>
      </c>
      <c r="E515" s="12">
        <v>9</v>
      </c>
      <c r="F515" s="12">
        <v>17</v>
      </c>
      <c r="G515" s="12">
        <f t="shared" si="36"/>
        <v>26</v>
      </c>
      <c r="H515" s="12"/>
      <c r="I515" s="12"/>
      <c r="J515" s="12">
        <v>20</v>
      </c>
      <c r="K515" s="12">
        <f t="shared" si="37"/>
        <v>46</v>
      </c>
      <c r="L515" t="str">
        <f t="shared" si="34"/>
        <v>D+</v>
      </c>
      <c r="M515" t="str">
        <f t="shared" si="35"/>
        <v>Failed</v>
      </c>
    </row>
    <row r="516" spans="1:13" x14ac:dyDescent="0.3">
      <c r="A516" s="12">
        <v>20</v>
      </c>
      <c r="B516" s="390" t="s">
        <v>204</v>
      </c>
      <c r="C516" s="390" t="s">
        <v>138</v>
      </c>
      <c r="D516" s="448" t="s">
        <v>817</v>
      </c>
      <c r="E516" s="12">
        <v>10</v>
      </c>
      <c r="F516" s="12">
        <v>20</v>
      </c>
      <c r="G516" s="12">
        <f t="shared" si="36"/>
        <v>30</v>
      </c>
      <c r="H516" s="12"/>
      <c r="I516" s="12"/>
      <c r="J516" s="12">
        <v>37</v>
      </c>
      <c r="K516" s="12">
        <f t="shared" si="37"/>
        <v>67</v>
      </c>
      <c r="L516" t="str">
        <f t="shared" si="34"/>
        <v>B</v>
      </c>
      <c r="M516" t="str">
        <f t="shared" si="35"/>
        <v>Passed</v>
      </c>
    </row>
    <row r="517" spans="1:13" x14ac:dyDescent="0.3">
      <c r="A517" s="12">
        <v>21</v>
      </c>
      <c r="B517" s="305" t="s">
        <v>181</v>
      </c>
      <c r="C517" s="45" t="s">
        <v>139</v>
      </c>
      <c r="D517" s="448" t="s">
        <v>823</v>
      </c>
      <c r="E517" s="12">
        <v>10</v>
      </c>
      <c r="F517" s="12">
        <v>25</v>
      </c>
      <c r="G517" s="12">
        <f t="shared" si="36"/>
        <v>35</v>
      </c>
      <c r="H517" s="12"/>
      <c r="I517" s="12"/>
      <c r="J517" s="12">
        <v>44</v>
      </c>
      <c r="K517" s="12">
        <f t="shared" si="37"/>
        <v>79</v>
      </c>
      <c r="L517" t="str">
        <f t="shared" si="34"/>
        <v>B+</v>
      </c>
      <c r="M517" t="str">
        <f t="shared" si="35"/>
        <v>Passed</v>
      </c>
    </row>
    <row r="518" spans="1:13" x14ac:dyDescent="0.3">
      <c r="A518" s="12">
        <v>22</v>
      </c>
      <c r="B518" s="391" t="s">
        <v>201</v>
      </c>
      <c r="C518" s="45" t="s">
        <v>141</v>
      </c>
      <c r="D518" s="448" t="s">
        <v>801</v>
      </c>
      <c r="E518" s="12">
        <v>10</v>
      </c>
      <c r="F518" s="12">
        <v>16</v>
      </c>
      <c r="G518" s="12">
        <f t="shared" si="36"/>
        <v>26</v>
      </c>
      <c r="H518" s="12"/>
      <c r="I518" s="12"/>
      <c r="J518" s="12">
        <v>26</v>
      </c>
      <c r="K518" s="12">
        <f t="shared" si="37"/>
        <v>52</v>
      </c>
      <c r="L518" t="str">
        <f t="shared" si="34"/>
        <v>C</v>
      </c>
      <c r="M518" t="str">
        <f t="shared" si="35"/>
        <v>Passed</v>
      </c>
    </row>
    <row r="519" spans="1:13" x14ac:dyDescent="0.3">
      <c r="A519" s="12">
        <v>23</v>
      </c>
      <c r="B519" s="45" t="s">
        <v>176</v>
      </c>
      <c r="C519" s="45" t="s">
        <v>481</v>
      </c>
      <c r="D519" s="448" t="s">
        <v>816</v>
      </c>
      <c r="E519" s="12">
        <v>9</v>
      </c>
      <c r="F519" s="12">
        <v>17</v>
      </c>
      <c r="G519" s="12">
        <f t="shared" si="36"/>
        <v>26</v>
      </c>
      <c r="H519" s="12"/>
      <c r="I519" s="12"/>
      <c r="J519" s="12">
        <v>31</v>
      </c>
      <c r="K519" s="12">
        <f t="shared" si="37"/>
        <v>57</v>
      </c>
      <c r="L519" t="str">
        <f t="shared" si="34"/>
        <v>C+</v>
      </c>
      <c r="M519" t="str">
        <f t="shared" si="35"/>
        <v>Passed</v>
      </c>
    </row>
    <row r="520" spans="1:13" x14ac:dyDescent="0.3">
      <c r="A520" s="12">
        <v>24</v>
      </c>
      <c r="B520" s="45" t="s">
        <v>148</v>
      </c>
      <c r="C520" s="45" t="s">
        <v>96</v>
      </c>
      <c r="D520" s="448" t="s">
        <v>825</v>
      </c>
      <c r="E520" s="12">
        <v>10</v>
      </c>
      <c r="F520" s="12">
        <v>17</v>
      </c>
      <c r="G520" s="12">
        <f t="shared" si="36"/>
        <v>27</v>
      </c>
      <c r="H520" s="12"/>
      <c r="I520" s="12"/>
      <c r="J520" s="12">
        <v>15</v>
      </c>
      <c r="K520" s="12">
        <f t="shared" si="37"/>
        <v>42</v>
      </c>
      <c r="L520" t="str">
        <f t="shared" si="34"/>
        <v>D</v>
      </c>
      <c r="M520" t="str">
        <f t="shared" si="35"/>
        <v>Failed</v>
      </c>
    </row>
    <row r="521" spans="1:13" x14ac:dyDescent="0.3">
      <c r="A521" s="12">
        <v>25</v>
      </c>
      <c r="B521" s="45" t="s">
        <v>153</v>
      </c>
      <c r="C521" s="45" t="s">
        <v>101</v>
      </c>
      <c r="D521" s="448" t="s">
        <v>813</v>
      </c>
      <c r="E521" s="12">
        <v>9</v>
      </c>
      <c r="F521" s="12">
        <v>17</v>
      </c>
      <c r="G521" s="12">
        <f t="shared" si="36"/>
        <v>26</v>
      </c>
      <c r="H521" s="12"/>
      <c r="I521" s="12"/>
      <c r="J521" s="12">
        <v>19</v>
      </c>
      <c r="K521" s="12">
        <f t="shared" si="37"/>
        <v>45</v>
      </c>
      <c r="L521" t="str">
        <f t="shared" si="34"/>
        <v>D+</v>
      </c>
      <c r="M521" t="str">
        <f t="shared" si="35"/>
        <v>Failed</v>
      </c>
    </row>
    <row r="522" spans="1:13" x14ac:dyDescent="0.3">
      <c r="A522" s="12">
        <v>26</v>
      </c>
      <c r="B522" s="45" t="s">
        <v>154</v>
      </c>
      <c r="C522" s="45" t="s">
        <v>102</v>
      </c>
      <c r="D522" s="448" t="s">
        <v>830</v>
      </c>
      <c r="E522" s="12">
        <v>10</v>
      </c>
      <c r="F522" s="12">
        <v>20</v>
      </c>
      <c r="G522" s="12">
        <f t="shared" si="36"/>
        <v>30</v>
      </c>
      <c r="H522" s="12"/>
      <c r="I522" s="12"/>
      <c r="J522" s="12">
        <v>31</v>
      </c>
      <c r="K522" s="12">
        <f t="shared" si="37"/>
        <v>61</v>
      </c>
      <c r="L522" t="str">
        <f t="shared" si="34"/>
        <v>B</v>
      </c>
      <c r="M522" t="str">
        <f t="shared" si="35"/>
        <v>Passed</v>
      </c>
    </row>
    <row r="523" spans="1:13" x14ac:dyDescent="0.3">
      <c r="A523" s="12">
        <v>27</v>
      </c>
      <c r="B523" s="45" t="s">
        <v>162</v>
      </c>
      <c r="C523" s="45" t="s">
        <v>112</v>
      </c>
      <c r="D523" s="448" t="s">
        <v>808</v>
      </c>
      <c r="E523" s="12">
        <v>9</v>
      </c>
      <c r="F523" s="12">
        <v>21</v>
      </c>
      <c r="G523" s="12">
        <f t="shared" si="36"/>
        <v>30</v>
      </c>
      <c r="H523" s="12"/>
      <c r="I523" s="12"/>
      <c r="J523" s="12">
        <v>13</v>
      </c>
      <c r="K523" s="12">
        <f t="shared" si="37"/>
        <v>43</v>
      </c>
      <c r="L523" t="str">
        <f t="shared" si="34"/>
        <v>D</v>
      </c>
      <c r="M523" t="str">
        <f t="shared" si="35"/>
        <v>Failed</v>
      </c>
    </row>
    <row r="524" spans="1:13" x14ac:dyDescent="0.3">
      <c r="A524" s="12">
        <v>28</v>
      </c>
      <c r="B524" s="45" t="s">
        <v>164</v>
      </c>
      <c r="C524" s="45" t="s">
        <v>114</v>
      </c>
      <c r="D524" s="448" t="s">
        <v>822</v>
      </c>
      <c r="E524" s="12">
        <v>10</v>
      </c>
      <c r="F524" s="12">
        <v>17</v>
      </c>
      <c r="G524" s="12">
        <f t="shared" si="36"/>
        <v>27</v>
      </c>
      <c r="H524" s="12"/>
      <c r="I524" s="12"/>
      <c r="J524" s="12">
        <v>37</v>
      </c>
      <c r="K524" s="12">
        <f t="shared" si="37"/>
        <v>64</v>
      </c>
      <c r="L524" t="str">
        <f t="shared" si="34"/>
        <v>B</v>
      </c>
      <c r="M524" t="str">
        <f t="shared" si="35"/>
        <v>Passed</v>
      </c>
    </row>
    <row r="525" spans="1:13" x14ac:dyDescent="0.3">
      <c r="A525" s="12">
        <v>29</v>
      </c>
      <c r="B525" s="277" t="s">
        <v>165</v>
      </c>
      <c r="C525" s="45" t="s">
        <v>116</v>
      </c>
      <c r="D525" s="448" t="s">
        <v>788</v>
      </c>
      <c r="E525" s="12">
        <v>10</v>
      </c>
      <c r="F525" s="12">
        <v>23</v>
      </c>
      <c r="G525" s="12">
        <f t="shared" si="36"/>
        <v>33</v>
      </c>
      <c r="H525" s="12"/>
      <c r="I525" s="12"/>
      <c r="J525" s="12">
        <v>50</v>
      </c>
      <c r="K525" s="12">
        <f t="shared" si="37"/>
        <v>83</v>
      </c>
      <c r="L525" t="str">
        <f t="shared" si="34"/>
        <v>A</v>
      </c>
      <c r="M525" t="str">
        <f t="shared" si="35"/>
        <v>Passed</v>
      </c>
    </row>
    <row r="526" spans="1:13" x14ac:dyDescent="0.3">
      <c r="A526" s="12">
        <v>30</v>
      </c>
      <c r="B526" s="45" t="s">
        <v>206</v>
      </c>
      <c r="C526" s="45" t="s">
        <v>123</v>
      </c>
      <c r="D526" s="448" t="s">
        <v>791</v>
      </c>
      <c r="E526" s="12">
        <v>10</v>
      </c>
      <c r="F526" s="12">
        <v>17</v>
      </c>
      <c r="G526" s="12">
        <f t="shared" si="36"/>
        <v>27</v>
      </c>
      <c r="H526" s="12"/>
      <c r="I526" s="12"/>
      <c r="J526" s="12">
        <v>39</v>
      </c>
      <c r="K526" s="12">
        <f t="shared" si="37"/>
        <v>66</v>
      </c>
      <c r="L526" t="str">
        <f t="shared" si="34"/>
        <v>B</v>
      </c>
      <c r="M526" t="str">
        <f t="shared" si="35"/>
        <v>Passed</v>
      </c>
    </row>
    <row r="527" spans="1:13" x14ac:dyDescent="0.3">
      <c r="A527" s="12">
        <v>31</v>
      </c>
      <c r="B527" s="452" t="s">
        <v>202</v>
      </c>
      <c r="C527" s="452" t="s">
        <v>135</v>
      </c>
      <c r="D527" s="442" t="s">
        <v>784</v>
      </c>
      <c r="E527" s="452">
        <v>9</v>
      </c>
      <c r="F527" s="452">
        <v>16</v>
      </c>
      <c r="G527" s="452">
        <f t="shared" si="36"/>
        <v>25</v>
      </c>
      <c r="H527" s="452"/>
      <c r="I527" s="452"/>
      <c r="J527" s="452" t="s">
        <v>1938</v>
      </c>
      <c r="K527" s="12"/>
    </row>
    <row r="528" spans="1:13" x14ac:dyDescent="0.3">
      <c r="A528" s="12">
        <v>32</v>
      </c>
      <c r="B528" s="45" t="s">
        <v>1249</v>
      </c>
      <c r="C528" s="45" t="s">
        <v>422</v>
      </c>
      <c r="D528" s="448" t="s">
        <v>821</v>
      </c>
      <c r="E528" s="12">
        <v>10</v>
      </c>
      <c r="F528" s="12">
        <v>26</v>
      </c>
      <c r="G528" s="12">
        <f t="shared" si="36"/>
        <v>36</v>
      </c>
      <c r="H528" s="12"/>
      <c r="I528" s="12"/>
      <c r="J528" s="12">
        <v>24</v>
      </c>
      <c r="K528" s="12">
        <f t="shared" si="37"/>
        <v>60</v>
      </c>
      <c r="L528" t="str">
        <f t="shared" si="34"/>
        <v>B</v>
      </c>
      <c r="M528" t="str">
        <f t="shared" si="35"/>
        <v>Passed</v>
      </c>
    </row>
    <row r="529" spans="1:13" x14ac:dyDescent="0.3">
      <c r="A529" s="12">
        <v>33</v>
      </c>
      <c r="B529" s="45" t="s">
        <v>150</v>
      </c>
      <c r="C529" s="45" t="s">
        <v>98</v>
      </c>
      <c r="D529" s="448" t="s">
        <v>786</v>
      </c>
      <c r="E529" s="12">
        <v>10</v>
      </c>
      <c r="F529" s="12">
        <v>25</v>
      </c>
      <c r="G529" s="12">
        <f t="shared" si="36"/>
        <v>35</v>
      </c>
      <c r="H529" s="12"/>
      <c r="I529" s="12"/>
      <c r="J529" s="12">
        <v>30</v>
      </c>
      <c r="K529" s="12">
        <f t="shared" si="37"/>
        <v>65</v>
      </c>
      <c r="L529" t="str">
        <f t="shared" si="34"/>
        <v>B</v>
      </c>
      <c r="M529" t="str">
        <f t="shared" si="35"/>
        <v>Passed</v>
      </c>
    </row>
    <row r="530" spans="1:13" x14ac:dyDescent="0.3">
      <c r="A530" s="12">
        <v>34</v>
      </c>
      <c r="B530" s="45" t="s">
        <v>151</v>
      </c>
      <c r="C530" s="45" t="s">
        <v>99</v>
      </c>
      <c r="D530" s="448" t="s">
        <v>811</v>
      </c>
      <c r="E530" s="12">
        <v>8</v>
      </c>
      <c r="F530" s="12">
        <v>25</v>
      </c>
      <c r="G530" s="12">
        <f t="shared" si="36"/>
        <v>33</v>
      </c>
      <c r="H530" s="12"/>
      <c r="I530" s="12"/>
      <c r="J530" s="12">
        <v>37</v>
      </c>
      <c r="K530" s="12">
        <f t="shared" si="37"/>
        <v>70</v>
      </c>
      <c r="L530" t="str">
        <f t="shared" si="34"/>
        <v>B+</v>
      </c>
      <c r="M530" t="str">
        <f t="shared" si="35"/>
        <v>Passed</v>
      </c>
    </row>
    <row r="531" spans="1:13" x14ac:dyDescent="0.3">
      <c r="A531" s="12">
        <v>35</v>
      </c>
      <c r="B531" s="45" t="s">
        <v>157</v>
      </c>
      <c r="C531" s="45" t="s">
        <v>106</v>
      </c>
      <c r="D531" s="448" t="s">
        <v>812</v>
      </c>
      <c r="E531" s="12">
        <v>10</v>
      </c>
      <c r="F531" s="12">
        <v>25</v>
      </c>
      <c r="G531" s="12">
        <f t="shared" si="36"/>
        <v>35</v>
      </c>
      <c r="H531" s="12"/>
      <c r="I531" s="12"/>
      <c r="J531" s="12">
        <v>35</v>
      </c>
      <c r="K531" s="12">
        <f t="shared" si="37"/>
        <v>70</v>
      </c>
      <c r="L531" t="str">
        <f t="shared" si="34"/>
        <v>B+</v>
      </c>
      <c r="M531" t="str">
        <f t="shared" si="35"/>
        <v>Passed</v>
      </c>
    </row>
    <row r="532" spans="1:13" x14ac:dyDescent="0.3">
      <c r="A532" s="12">
        <v>36</v>
      </c>
      <c r="B532" s="45" t="s">
        <v>158</v>
      </c>
      <c r="C532" s="45" t="s">
        <v>107</v>
      </c>
      <c r="D532" s="448" t="s">
        <v>790</v>
      </c>
      <c r="E532" s="12">
        <v>10</v>
      </c>
      <c r="F532" s="12">
        <v>25</v>
      </c>
      <c r="G532" s="12">
        <f t="shared" si="36"/>
        <v>35</v>
      </c>
      <c r="H532" s="12"/>
      <c r="I532" s="12"/>
      <c r="J532" s="12">
        <v>38</v>
      </c>
      <c r="K532" s="12">
        <f t="shared" si="37"/>
        <v>73</v>
      </c>
      <c r="L532" t="str">
        <f t="shared" si="34"/>
        <v>B+</v>
      </c>
      <c r="M532" t="str">
        <f t="shared" si="35"/>
        <v>Passed</v>
      </c>
    </row>
    <row r="533" spans="1:13" x14ac:dyDescent="0.3">
      <c r="A533" s="12">
        <v>37</v>
      </c>
      <c r="B533" s="45" t="s">
        <v>159</v>
      </c>
      <c r="C533" s="45" t="s">
        <v>108</v>
      </c>
      <c r="D533" s="448" t="s">
        <v>809</v>
      </c>
      <c r="E533" s="12">
        <v>10</v>
      </c>
      <c r="F533" s="12">
        <v>20</v>
      </c>
      <c r="G533" s="12">
        <f t="shared" si="36"/>
        <v>30</v>
      </c>
      <c r="H533" s="12"/>
      <c r="I533" s="12"/>
      <c r="J533" s="12">
        <v>57</v>
      </c>
      <c r="K533" s="12">
        <f t="shared" si="37"/>
        <v>87</v>
      </c>
      <c r="L533" t="str">
        <f t="shared" si="34"/>
        <v>A</v>
      </c>
      <c r="M533" t="str">
        <f t="shared" si="35"/>
        <v>Passed</v>
      </c>
    </row>
    <row r="534" spans="1:13" x14ac:dyDescent="0.3">
      <c r="A534" s="12">
        <v>38</v>
      </c>
      <c r="B534" s="45" t="s">
        <v>167</v>
      </c>
      <c r="C534" s="45" t="s">
        <v>118</v>
      </c>
      <c r="D534" s="448" t="s">
        <v>796</v>
      </c>
      <c r="E534" s="12">
        <v>10</v>
      </c>
      <c r="F534" s="12">
        <v>20</v>
      </c>
      <c r="G534" s="12">
        <f t="shared" si="36"/>
        <v>30</v>
      </c>
      <c r="H534" s="12"/>
      <c r="I534" s="12"/>
      <c r="J534" s="12">
        <v>25</v>
      </c>
      <c r="K534" s="12">
        <f t="shared" si="37"/>
        <v>55</v>
      </c>
      <c r="L534" t="str">
        <f t="shared" si="34"/>
        <v>C+</v>
      </c>
      <c r="M534" t="str">
        <f t="shared" si="35"/>
        <v>Passed</v>
      </c>
    </row>
    <row r="535" spans="1:13" x14ac:dyDescent="0.3">
      <c r="A535" s="12">
        <v>39</v>
      </c>
      <c r="B535" s="45" t="s">
        <v>171</v>
      </c>
      <c r="C535" s="45" t="s">
        <v>125</v>
      </c>
      <c r="D535" s="448" t="s">
        <v>793</v>
      </c>
      <c r="E535" s="12">
        <v>10</v>
      </c>
      <c r="F535" s="12">
        <v>22</v>
      </c>
      <c r="G535" s="12">
        <f t="shared" si="36"/>
        <v>32</v>
      </c>
      <c r="H535" s="12"/>
      <c r="I535" s="12"/>
      <c r="J535" s="12">
        <v>8</v>
      </c>
      <c r="K535" s="12">
        <f t="shared" si="37"/>
        <v>40</v>
      </c>
      <c r="L535" t="str">
        <f t="shared" si="34"/>
        <v>D</v>
      </c>
      <c r="M535" t="str">
        <f t="shared" si="35"/>
        <v>Failed</v>
      </c>
    </row>
    <row r="536" spans="1:13" x14ac:dyDescent="0.3">
      <c r="A536" s="12">
        <v>40</v>
      </c>
      <c r="B536" s="45" t="s">
        <v>174</v>
      </c>
      <c r="C536" s="45" t="s">
        <v>128</v>
      </c>
      <c r="D536" s="448" t="s">
        <v>799</v>
      </c>
      <c r="E536" s="12">
        <v>10</v>
      </c>
      <c r="F536" s="12">
        <v>17</v>
      </c>
      <c r="G536" s="12">
        <f t="shared" si="36"/>
        <v>27</v>
      </c>
      <c r="H536" s="12"/>
      <c r="I536" s="12"/>
      <c r="J536" s="12">
        <v>38</v>
      </c>
      <c r="K536" s="12">
        <f t="shared" si="37"/>
        <v>65</v>
      </c>
      <c r="L536" t="str">
        <f t="shared" si="34"/>
        <v>B</v>
      </c>
      <c r="M536" t="str">
        <f t="shared" si="35"/>
        <v>Passed</v>
      </c>
    </row>
    <row r="537" spans="1:13" x14ac:dyDescent="0.3">
      <c r="A537" s="12">
        <v>41</v>
      </c>
      <c r="B537" s="45" t="s">
        <v>220</v>
      </c>
      <c r="C537" s="45" t="s">
        <v>130</v>
      </c>
      <c r="D537" s="448" t="s">
        <v>802</v>
      </c>
      <c r="E537" s="12">
        <v>9</v>
      </c>
      <c r="F537" s="12">
        <v>16</v>
      </c>
      <c r="G537" s="12">
        <f t="shared" si="36"/>
        <v>25</v>
      </c>
      <c r="H537" s="12"/>
      <c r="I537" s="12"/>
      <c r="J537" s="12">
        <v>34</v>
      </c>
      <c r="K537" s="12">
        <f t="shared" si="37"/>
        <v>59</v>
      </c>
      <c r="L537" t="str">
        <f t="shared" si="34"/>
        <v>C+</v>
      </c>
      <c r="M537" t="str">
        <f t="shared" si="35"/>
        <v>Passed</v>
      </c>
    </row>
    <row r="538" spans="1:13" x14ac:dyDescent="0.3">
      <c r="A538" s="12">
        <v>42</v>
      </c>
      <c r="B538" s="45" t="s">
        <v>659</v>
      </c>
      <c r="C538" s="45" t="s">
        <v>117</v>
      </c>
      <c r="D538" s="448" t="s">
        <v>792</v>
      </c>
      <c r="E538" s="12">
        <v>10</v>
      </c>
      <c r="F538" s="12">
        <v>24</v>
      </c>
      <c r="G538" s="12">
        <f t="shared" si="36"/>
        <v>34</v>
      </c>
      <c r="H538" s="12"/>
      <c r="I538" s="12"/>
      <c r="J538" s="12">
        <v>45</v>
      </c>
      <c r="K538" s="12">
        <f t="shared" si="37"/>
        <v>79</v>
      </c>
      <c r="L538" t="str">
        <f t="shared" si="34"/>
        <v>B+</v>
      </c>
      <c r="M538" t="str">
        <f t="shared" si="35"/>
        <v>Passed</v>
      </c>
    </row>
    <row r="539" spans="1:13" x14ac:dyDescent="0.3">
      <c r="A539" s="12">
        <v>43</v>
      </c>
      <c r="B539" s="45" t="s">
        <v>146</v>
      </c>
      <c r="C539" s="45" t="s">
        <v>94</v>
      </c>
      <c r="D539" s="448" t="s">
        <v>804</v>
      </c>
      <c r="E539" s="12">
        <v>10</v>
      </c>
      <c r="F539" s="12">
        <v>16</v>
      </c>
      <c r="G539" s="12">
        <f t="shared" si="36"/>
        <v>26</v>
      </c>
      <c r="H539" s="12"/>
      <c r="I539" s="12"/>
      <c r="J539" s="12">
        <v>34</v>
      </c>
      <c r="K539" s="12">
        <f t="shared" si="37"/>
        <v>60</v>
      </c>
      <c r="L539" t="str">
        <f t="shared" si="34"/>
        <v>B</v>
      </c>
      <c r="M539" t="str">
        <f t="shared" si="35"/>
        <v>Passed</v>
      </c>
    </row>
    <row r="540" spans="1:13" x14ac:dyDescent="0.3">
      <c r="A540" s="12">
        <v>44</v>
      </c>
      <c r="B540" s="277" t="s">
        <v>147</v>
      </c>
      <c r="C540" s="45" t="s">
        <v>95</v>
      </c>
      <c r="D540" s="448" t="s">
        <v>789</v>
      </c>
      <c r="E540" s="12">
        <v>10</v>
      </c>
      <c r="F540" s="12">
        <v>20</v>
      </c>
      <c r="G540" s="12">
        <f t="shared" si="36"/>
        <v>30</v>
      </c>
      <c r="H540" s="12"/>
      <c r="I540" s="12"/>
      <c r="J540" s="12">
        <v>49</v>
      </c>
      <c r="K540" s="12">
        <f t="shared" si="37"/>
        <v>79</v>
      </c>
      <c r="L540" t="str">
        <f t="shared" si="34"/>
        <v>B+</v>
      </c>
      <c r="M540" t="str">
        <f t="shared" si="35"/>
        <v>Passed</v>
      </c>
    </row>
    <row r="541" spans="1:13" x14ac:dyDescent="0.3">
      <c r="A541" s="12">
        <v>45</v>
      </c>
      <c r="B541" s="45" t="s">
        <v>155</v>
      </c>
      <c r="C541" s="45" t="s">
        <v>103</v>
      </c>
      <c r="D541" s="448" t="s">
        <v>795</v>
      </c>
      <c r="E541" s="12">
        <v>10</v>
      </c>
      <c r="F541" s="12">
        <v>20</v>
      </c>
      <c r="G541" s="12">
        <f t="shared" si="36"/>
        <v>30</v>
      </c>
      <c r="H541" s="12"/>
      <c r="I541" s="12"/>
      <c r="J541" s="12">
        <v>37</v>
      </c>
      <c r="K541" s="12">
        <f t="shared" si="37"/>
        <v>67</v>
      </c>
      <c r="L541" t="str">
        <f t="shared" si="34"/>
        <v>B</v>
      </c>
      <c r="M541" t="str">
        <f t="shared" si="35"/>
        <v>Passed</v>
      </c>
    </row>
    <row r="542" spans="1:13" x14ac:dyDescent="0.3">
      <c r="A542" s="12">
        <v>46</v>
      </c>
      <c r="B542" s="45" t="s">
        <v>182</v>
      </c>
      <c r="C542" s="45" t="s">
        <v>105</v>
      </c>
      <c r="D542" s="448" t="s">
        <v>784</v>
      </c>
      <c r="E542" s="12"/>
      <c r="F542" s="12"/>
      <c r="G542" s="12"/>
      <c r="H542" s="12"/>
      <c r="I542" s="12"/>
      <c r="J542" s="12"/>
      <c r="K542" s="12"/>
    </row>
    <row r="543" spans="1:13" x14ac:dyDescent="0.3">
      <c r="A543" s="12">
        <v>47</v>
      </c>
      <c r="B543" s="45" t="s">
        <v>161</v>
      </c>
      <c r="C543" s="45" t="s">
        <v>111</v>
      </c>
      <c r="D543" s="448" t="s">
        <v>784</v>
      </c>
      <c r="E543" s="12"/>
      <c r="F543" s="12"/>
      <c r="G543" s="12"/>
      <c r="H543" s="12"/>
      <c r="I543" s="12"/>
      <c r="J543" s="12"/>
      <c r="K543" s="12"/>
    </row>
    <row r="544" spans="1:13" x14ac:dyDescent="0.3">
      <c r="A544" s="12">
        <v>48</v>
      </c>
      <c r="B544" s="45" t="s">
        <v>169</v>
      </c>
      <c r="C544" s="45" t="s">
        <v>122</v>
      </c>
      <c r="D544" s="448" t="s">
        <v>784</v>
      </c>
      <c r="E544" s="12"/>
      <c r="F544" s="12"/>
      <c r="G544" s="12"/>
      <c r="H544" s="12"/>
      <c r="I544" s="12"/>
      <c r="J544" s="12"/>
      <c r="K544" s="12"/>
    </row>
    <row r="545" spans="1:13" x14ac:dyDescent="0.3">
      <c r="A545" s="12">
        <v>49</v>
      </c>
      <c r="B545" s="45" t="s">
        <v>648</v>
      </c>
      <c r="C545" s="45" t="s">
        <v>129</v>
      </c>
      <c r="D545" s="448" t="s">
        <v>787</v>
      </c>
      <c r="E545" s="12">
        <v>10</v>
      </c>
      <c r="F545" s="12">
        <v>22</v>
      </c>
      <c r="G545" s="12">
        <f t="shared" si="36"/>
        <v>32</v>
      </c>
      <c r="H545" s="12"/>
      <c r="I545" s="12"/>
      <c r="J545" s="12">
        <v>27</v>
      </c>
      <c r="K545" s="12">
        <f t="shared" si="37"/>
        <v>59</v>
      </c>
      <c r="L545" t="str">
        <f t="shared" si="34"/>
        <v>C+</v>
      </c>
      <c r="M545" t="str">
        <f t="shared" si="35"/>
        <v>Passed</v>
      </c>
    </row>
    <row r="546" spans="1:13" x14ac:dyDescent="0.3">
      <c r="A546" s="12">
        <v>50</v>
      </c>
      <c r="B546" s="45" t="s">
        <v>177</v>
      </c>
      <c r="C546" s="45" t="s">
        <v>132</v>
      </c>
      <c r="D546" s="448" t="s">
        <v>807</v>
      </c>
      <c r="E546" s="12">
        <v>10</v>
      </c>
      <c r="F546" s="12">
        <v>22</v>
      </c>
      <c r="G546" s="12">
        <f t="shared" si="36"/>
        <v>32</v>
      </c>
      <c r="H546" s="12"/>
      <c r="I546" s="12"/>
      <c r="J546" s="12">
        <v>53</v>
      </c>
      <c r="K546" s="12">
        <f t="shared" si="37"/>
        <v>85</v>
      </c>
      <c r="L546" t="str">
        <f t="shared" si="34"/>
        <v>A</v>
      </c>
      <c r="M546" t="str">
        <f t="shared" si="35"/>
        <v>Passed</v>
      </c>
    </row>
    <row r="547" spans="1:13" x14ac:dyDescent="0.3">
      <c r="A547" s="12">
        <v>51</v>
      </c>
      <c r="B547" s="45" t="s">
        <v>179</v>
      </c>
      <c r="C547" s="45" t="s">
        <v>665</v>
      </c>
      <c r="D547" s="448" t="s">
        <v>805</v>
      </c>
      <c r="E547" s="12">
        <v>10</v>
      </c>
      <c r="F547" s="12">
        <v>25</v>
      </c>
      <c r="G547" s="12">
        <f t="shared" si="36"/>
        <v>35</v>
      </c>
      <c r="H547" s="12"/>
      <c r="I547" s="12"/>
      <c r="J547" s="12">
        <v>50</v>
      </c>
      <c r="K547" s="12">
        <f t="shared" si="37"/>
        <v>85</v>
      </c>
      <c r="L547" t="str">
        <f t="shared" si="34"/>
        <v>A</v>
      </c>
      <c r="M547" t="str">
        <f t="shared" si="35"/>
        <v>Passed</v>
      </c>
    </row>
    <row r="548" spans="1:13" x14ac:dyDescent="0.3">
      <c r="A548" s="12">
        <v>52</v>
      </c>
      <c r="B548" s="45" t="s">
        <v>180</v>
      </c>
      <c r="C548" s="45" t="s">
        <v>136</v>
      </c>
      <c r="D548" s="448" t="s">
        <v>806</v>
      </c>
      <c r="E548" s="12">
        <v>10</v>
      </c>
      <c r="F548" s="12">
        <v>24</v>
      </c>
      <c r="G548" s="12">
        <f t="shared" si="36"/>
        <v>34</v>
      </c>
      <c r="H548" s="12"/>
      <c r="I548" s="12"/>
      <c r="J548" s="12">
        <v>11</v>
      </c>
      <c r="K548" s="12">
        <f t="shared" si="37"/>
        <v>45</v>
      </c>
      <c r="L548" t="str">
        <f t="shared" si="34"/>
        <v>D+</v>
      </c>
      <c r="M548" t="str">
        <f t="shared" si="35"/>
        <v>Failed</v>
      </c>
    </row>
    <row r="549" spans="1:13" x14ac:dyDescent="0.3">
      <c r="A549" s="12">
        <v>53</v>
      </c>
      <c r="B549" s="45" t="s">
        <v>183</v>
      </c>
      <c r="C549" s="45" t="s">
        <v>140</v>
      </c>
      <c r="D549" s="448" t="s">
        <v>814</v>
      </c>
      <c r="E549" s="12">
        <v>10</v>
      </c>
      <c r="F549" s="12">
        <v>23</v>
      </c>
      <c r="G549" s="12">
        <f t="shared" si="36"/>
        <v>33</v>
      </c>
      <c r="H549" s="12"/>
      <c r="I549" s="12"/>
      <c r="J549" s="12">
        <v>37</v>
      </c>
      <c r="K549" s="12">
        <f t="shared" si="37"/>
        <v>70</v>
      </c>
      <c r="L549" t="str">
        <f t="shared" si="34"/>
        <v>B+</v>
      </c>
      <c r="M549" t="str">
        <f t="shared" si="35"/>
        <v>Passed</v>
      </c>
    </row>
    <row r="550" spans="1:13" x14ac:dyDescent="0.3">
      <c r="A550" s="12">
        <v>54</v>
      </c>
      <c r="B550" s="45" t="s">
        <v>184</v>
      </c>
      <c r="C550" s="45" t="s">
        <v>142</v>
      </c>
      <c r="D550" s="448" t="s">
        <v>810</v>
      </c>
      <c r="E550" s="12">
        <v>10</v>
      </c>
      <c r="F550" s="12">
        <v>17</v>
      </c>
      <c r="G550" s="12">
        <f t="shared" si="36"/>
        <v>27</v>
      </c>
      <c r="H550" s="12"/>
      <c r="I550" s="12"/>
      <c r="J550" s="12">
        <v>40</v>
      </c>
      <c r="K550" s="12">
        <f t="shared" si="37"/>
        <v>67</v>
      </c>
      <c r="L550" t="str">
        <f t="shared" si="34"/>
        <v>B</v>
      </c>
      <c r="M550" t="str">
        <f t="shared" si="35"/>
        <v>Passed</v>
      </c>
    </row>
    <row r="551" spans="1:13" x14ac:dyDescent="0.3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</row>
    <row r="552" spans="1:13" x14ac:dyDescent="0.3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</row>
    <row r="553" spans="1:13" x14ac:dyDescent="0.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</row>
    <row r="554" spans="1:13" x14ac:dyDescent="0.3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</row>
    <row r="555" spans="1:13" x14ac:dyDescent="0.3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</row>
    <row r="556" spans="1:13" x14ac:dyDescent="0.3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</row>
    <row r="557" spans="1:13" x14ac:dyDescent="0.3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</row>
    <row r="558" spans="1:13" x14ac:dyDescent="0.3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</row>
    <row r="559" spans="1:13" x14ac:dyDescent="0.3">
      <c r="A559" s="56"/>
      <c r="B559" s="56"/>
      <c r="C559" s="56"/>
    </row>
    <row r="560" spans="1:13" x14ac:dyDescent="0.3">
      <c r="A560" s="56"/>
      <c r="B560" s="56"/>
      <c r="C560" s="56"/>
    </row>
    <row r="561" spans="1:15" x14ac:dyDescent="0.3">
      <c r="A561" s="56"/>
      <c r="B561" s="56"/>
      <c r="C561" s="56"/>
    </row>
    <row r="562" spans="1:15" x14ac:dyDescent="0.3">
      <c r="A562" s="56"/>
      <c r="B562" s="56"/>
      <c r="C562" s="56"/>
    </row>
    <row r="563" spans="1:15" x14ac:dyDescent="0.3">
      <c r="A563" s="452" t="s">
        <v>0</v>
      </c>
      <c r="B563" s="12"/>
      <c r="C563" s="12"/>
      <c r="D563" s="451"/>
      <c r="E563" s="451"/>
      <c r="F563" s="451"/>
      <c r="G563" s="451"/>
      <c r="H563" s="451"/>
      <c r="I563" s="451"/>
      <c r="J563" s="451"/>
      <c r="K563" s="451"/>
      <c r="L563" s="451"/>
    </row>
    <row r="564" spans="1:15" x14ac:dyDescent="0.3">
      <c r="A564" s="452" t="s">
        <v>66</v>
      </c>
      <c r="B564" s="452"/>
      <c r="C564" s="452"/>
      <c r="D564" s="14"/>
    </row>
    <row r="565" spans="1:15" x14ac:dyDescent="0.3">
      <c r="A565" s="467" t="s">
        <v>362</v>
      </c>
      <c r="B565" s="467"/>
      <c r="C565" s="467"/>
      <c r="D565" s="2"/>
      <c r="E565" s="2"/>
      <c r="F565" s="2"/>
      <c r="G565" s="2"/>
      <c r="H565" s="2"/>
      <c r="I565" s="2"/>
      <c r="J565" s="2"/>
      <c r="K565" s="2"/>
      <c r="L565" s="1"/>
      <c r="M565" s="16"/>
      <c r="N565" s="16"/>
      <c r="O565" s="13"/>
    </row>
    <row r="566" spans="1:15" x14ac:dyDescent="0.3">
      <c r="A566" s="452" t="s">
        <v>1</v>
      </c>
      <c r="B566" s="468" t="s">
        <v>69</v>
      </c>
      <c r="C566" s="468"/>
      <c r="D566" s="450"/>
      <c r="E566" s="451"/>
      <c r="F566" s="451"/>
      <c r="G566" s="451"/>
      <c r="H566" s="451"/>
      <c r="I566" s="451"/>
      <c r="J566" s="451"/>
      <c r="K566" s="451"/>
      <c r="L566" s="451"/>
    </row>
    <row r="567" spans="1:15" x14ac:dyDescent="0.3">
      <c r="A567" s="452" t="s">
        <v>3</v>
      </c>
      <c r="B567" s="468" t="s">
        <v>1610</v>
      </c>
      <c r="C567" s="468"/>
      <c r="D567" s="450"/>
      <c r="E567" s="451"/>
      <c r="F567" s="451"/>
      <c r="G567" s="451"/>
      <c r="H567" s="451"/>
      <c r="I567" s="451"/>
      <c r="J567" s="451"/>
      <c r="K567" s="451"/>
      <c r="L567" s="451"/>
    </row>
    <row r="568" spans="1:15" x14ac:dyDescent="0.3">
      <c r="A568" s="452" t="s">
        <v>4</v>
      </c>
      <c r="B568" s="468" t="s">
        <v>196</v>
      </c>
      <c r="C568" s="468"/>
      <c r="D568" s="450"/>
      <c r="E568" s="451"/>
      <c r="F568" s="451"/>
      <c r="G568" s="451"/>
      <c r="H568" s="451"/>
      <c r="I568" s="451"/>
      <c r="J568" s="451"/>
      <c r="K568" s="451"/>
      <c r="L568" s="451"/>
    </row>
    <row r="569" spans="1:15" x14ac:dyDescent="0.3">
      <c r="A569" s="452" t="s">
        <v>5</v>
      </c>
      <c r="B569" s="469">
        <v>3</v>
      </c>
      <c r="C569" s="469"/>
      <c r="D569" s="450"/>
      <c r="E569" s="451"/>
      <c r="F569" s="451"/>
      <c r="G569" s="451"/>
      <c r="H569" s="451"/>
      <c r="I569" s="451"/>
      <c r="J569" s="451"/>
      <c r="K569" s="451"/>
      <c r="L569" s="451"/>
    </row>
    <row r="570" spans="1:15" x14ac:dyDescent="0.3">
      <c r="A570" s="452" t="s">
        <v>6</v>
      </c>
      <c r="B570" s="468" t="s">
        <v>426</v>
      </c>
      <c r="C570" s="468"/>
      <c r="D570" s="450"/>
      <c r="E570" s="451"/>
      <c r="F570" s="451"/>
      <c r="G570" s="451"/>
      <c r="H570" s="451"/>
      <c r="I570" s="451"/>
      <c r="J570" s="451"/>
      <c r="K570" s="451"/>
      <c r="L570" s="451"/>
    </row>
    <row r="571" spans="1:15" x14ac:dyDescent="0.3">
      <c r="A571" s="452" t="s">
        <v>68</v>
      </c>
      <c r="B571" s="468"/>
      <c r="C571" s="468"/>
      <c r="D571" s="450"/>
      <c r="E571" s="451"/>
      <c r="F571" s="451"/>
      <c r="G571" s="451"/>
      <c r="H571" s="451"/>
      <c r="I571" s="451"/>
      <c r="J571" s="451"/>
      <c r="K571" s="451"/>
      <c r="L571" s="451"/>
    </row>
    <row r="572" spans="1:15" x14ac:dyDescent="0.3">
      <c r="A572" s="452"/>
      <c r="B572" s="452"/>
      <c r="C572" s="452"/>
      <c r="D572" s="14"/>
    </row>
    <row r="573" spans="1:15" ht="60" x14ac:dyDescent="0.3">
      <c r="A573" s="452" t="s">
        <v>8</v>
      </c>
      <c r="B573" s="452" t="s">
        <v>9</v>
      </c>
      <c r="C573" s="452" t="s">
        <v>10</v>
      </c>
      <c r="D573" s="43" t="s">
        <v>11</v>
      </c>
      <c r="E573" s="43" t="s">
        <v>12</v>
      </c>
      <c r="F573" s="43" t="s">
        <v>13</v>
      </c>
      <c r="G573" s="43" t="s">
        <v>14</v>
      </c>
      <c r="H573" s="43" t="s">
        <v>208</v>
      </c>
      <c r="I573" s="43" t="s">
        <v>209</v>
      </c>
      <c r="J573" s="43" t="s">
        <v>15</v>
      </c>
      <c r="K573" s="43" t="s">
        <v>16</v>
      </c>
      <c r="L573" s="14" t="s">
        <v>17</v>
      </c>
      <c r="M573" s="14" t="s">
        <v>18</v>
      </c>
      <c r="N573" s="14" t="s">
        <v>19</v>
      </c>
    </row>
    <row r="574" spans="1:15" x14ac:dyDescent="0.3">
      <c r="A574" s="12"/>
      <c r="B574" s="452"/>
      <c r="C574" s="452"/>
      <c r="D574" s="452"/>
      <c r="E574" s="12"/>
      <c r="F574" s="12"/>
      <c r="G574" s="12"/>
      <c r="H574" s="12"/>
      <c r="I574" s="12"/>
      <c r="J574" s="12"/>
      <c r="K574" s="12"/>
      <c r="N574" t="s">
        <v>20</v>
      </c>
      <c r="O574">
        <f>COUNT(G575:G628)</f>
        <v>49</v>
      </c>
    </row>
    <row r="575" spans="1:15" x14ac:dyDescent="0.3">
      <c r="A575" s="12">
        <v>1</v>
      </c>
      <c r="B575" s="45" t="s">
        <v>203</v>
      </c>
      <c r="C575" s="45" t="s">
        <v>92</v>
      </c>
      <c r="D575" s="12" t="s">
        <v>1618</v>
      </c>
      <c r="E575" s="12">
        <v>10</v>
      </c>
      <c r="F575" s="346">
        <v>23.5</v>
      </c>
      <c r="G575" s="241">
        <f>SUM(E575:F575)</f>
        <v>33.5</v>
      </c>
      <c r="H575" s="12"/>
      <c r="I575" s="12"/>
      <c r="J575" s="12">
        <v>49</v>
      </c>
      <c r="K575" s="241">
        <f>SUM(G575:J575)</f>
        <v>82.5</v>
      </c>
      <c r="L575" t="str">
        <f t="shared" ref="L575:L628" si="38">IF(K575&gt;=80,"A",IF(K575&gt;=70,"B+",IF(K575&gt;=60,"B",IF(K575&gt;=55,"C+",IF(K575&gt;=50,"C",IF(K575&gt;=45,"D+",IF(K575&gt;=40,"D","F")))))))</f>
        <v>A</v>
      </c>
      <c r="M575" t="str">
        <f t="shared" ref="M575:M628" si="39">IF(K575&gt;=50,"Passed","Failed")</f>
        <v>Passed</v>
      </c>
      <c r="N575" t="s">
        <v>21</v>
      </c>
      <c r="O575">
        <f>COUNT(J575:J628)</f>
        <v>49</v>
      </c>
    </row>
    <row r="576" spans="1:15" x14ac:dyDescent="0.3">
      <c r="A576" s="12">
        <v>2</v>
      </c>
      <c r="B576" s="45" t="s">
        <v>145</v>
      </c>
      <c r="C576" s="45" t="s">
        <v>93</v>
      </c>
      <c r="D576" s="12" t="s">
        <v>1644</v>
      </c>
      <c r="E576" s="12">
        <v>8</v>
      </c>
      <c r="F576" s="346">
        <v>22.5</v>
      </c>
      <c r="G576" s="241">
        <f t="shared" ref="G576:G628" si="40">SUM(E576:F576)</f>
        <v>30.5</v>
      </c>
      <c r="H576" s="12"/>
      <c r="I576" s="12"/>
      <c r="J576" s="12">
        <v>51</v>
      </c>
      <c r="K576" s="241">
        <f t="shared" ref="K576:K628" si="41">SUM(G576:J576)</f>
        <v>81.5</v>
      </c>
      <c r="L576" t="str">
        <f t="shared" si="38"/>
        <v>A</v>
      </c>
      <c r="M576" t="str">
        <f t="shared" si="39"/>
        <v>Passed</v>
      </c>
      <c r="N576" t="s">
        <v>22</v>
      </c>
      <c r="O576">
        <f>O574-O575</f>
        <v>0</v>
      </c>
    </row>
    <row r="577" spans="1:22" x14ac:dyDescent="0.3">
      <c r="A577" s="12">
        <v>3</v>
      </c>
      <c r="B577" s="45" t="s">
        <v>149</v>
      </c>
      <c r="C577" s="45" t="s">
        <v>97</v>
      </c>
      <c r="D577" s="12" t="s">
        <v>1617</v>
      </c>
      <c r="E577" s="12">
        <v>10</v>
      </c>
      <c r="F577" s="346">
        <v>25.5</v>
      </c>
      <c r="G577" s="241">
        <f t="shared" si="40"/>
        <v>35.5</v>
      </c>
      <c r="H577" s="12"/>
      <c r="I577" s="12"/>
      <c r="J577" s="12">
        <v>48</v>
      </c>
      <c r="K577" s="241">
        <f t="shared" si="41"/>
        <v>83.5</v>
      </c>
      <c r="L577" t="str">
        <f t="shared" si="38"/>
        <v>A</v>
      </c>
      <c r="M577" t="str">
        <f t="shared" si="39"/>
        <v>Passed</v>
      </c>
      <c r="N577" t="s">
        <v>23</v>
      </c>
      <c r="O577">
        <f>COUNTIF(M575:M628,"Passed")</f>
        <v>45</v>
      </c>
    </row>
    <row r="578" spans="1:22" x14ac:dyDescent="0.3">
      <c r="A578" s="12">
        <v>4</v>
      </c>
      <c r="B578" s="45" t="s">
        <v>152</v>
      </c>
      <c r="C578" s="45" t="s">
        <v>100</v>
      </c>
      <c r="D578" s="12" t="s">
        <v>1638</v>
      </c>
      <c r="E578" s="12">
        <v>8</v>
      </c>
      <c r="F578" s="346">
        <v>22.5</v>
      </c>
      <c r="G578" s="241">
        <f t="shared" si="40"/>
        <v>30.5</v>
      </c>
      <c r="H578" s="12"/>
      <c r="I578" s="12"/>
      <c r="J578" s="12">
        <v>40</v>
      </c>
      <c r="K578" s="241">
        <f t="shared" si="41"/>
        <v>70.5</v>
      </c>
      <c r="L578" t="str">
        <f t="shared" si="38"/>
        <v>B+</v>
      </c>
      <c r="M578" t="str">
        <f t="shared" si="39"/>
        <v>Passed</v>
      </c>
      <c r="N578" t="s">
        <v>24</v>
      </c>
      <c r="O578">
        <f>O577/O575%</f>
        <v>91.83673469387756</v>
      </c>
    </row>
    <row r="579" spans="1:22" x14ac:dyDescent="0.3">
      <c r="A579" s="12">
        <v>5</v>
      </c>
      <c r="B579" s="45" t="s">
        <v>156</v>
      </c>
      <c r="C579" s="45" t="s">
        <v>104</v>
      </c>
      <c r="D579" s="12" t="s">
        <v>1634</v>
      </c>
      <c r="E579" s="12">
        <v>10</v>
      </c>
      <c r="F579" s="346">
        <v>21.75</v>
      </c>
      <c r="G579" s="241">
        <f t="shared" si="40"/>
        <v>31.75</v>
      </c>
      <c r="H579" s="12"/>
      <c r="I579" s="12"/>
      <c r="J579" s="12">
        <v>57</v>
      </c>
      <c r="K579" s="241">
        <f t="shared" si="41"/>
        <v>88.75</v>
      </c>
      <c r="L579" t="str">
        <f t="shared" si="38"/>
        <v>A</v>
      </c>
      <c r="M579" t="str">
        <f t="shared" si="39"/>
        <v>Passed</v>
      </c>
      <c r="N579" t="s">
        <v>25</v>
      </c>
      <c r="O579">
        <f>COUNTIF(M575:M628,"failed")</f>
        <v>4</v>
      </c>
    </row>
    <row r="580" spans="1:22" x14ac:dyDescent="0.3">
      <c r="A580" s="12">
        <v>6</v>
      </c>
      <c r="B580" s="45" t="s">
        <v>160</v>
      </c>
      <c r="C580" s="45" t="s">
        <v>109</v>
      </c>
      <c r="D580" s="12" t="s">
        <v>1615</v>
      </c>
      <c r="E580" s="12">
        <v>10</v>
      </c>
      <c r="F580" s="346">
        <v>23.25</v>
      </c>
      <c r="G580" s="241">
        <f t="shared" si="40"/>
        <v>33.25</v>
      </c>
      <c r="H580" s="12"/>
      <c r="I580" s="12"/>
      <c r="J580" s="12">
        <v>55</v>
      </c>
      <c r="K580" s="241">
        <f t="shared" si="41"/>
        <v>88.25</v>
      </c>
      <c r="L580" t="str">
        <f t="shared" si="38"/>
        <v>A</v>
      </c>
      <c r="M580" t="str">
        <f t="shared" si="39"/>
        <v>Passed</v>
      </c>
      <c r="N580" t="s">
        <v>26</v>
      </c>
      <c r="O580">
        <f>O579/O575%</f>
        <v>8.1632653061224492</v>
      </c>
    </row>
    <row r="581" spans="1:22" x14ac:dyDescent="0.3">
      <c r="A581" s="12">
        <v>7</v>
      </c>
      <c r="B581" s="45" t="s">
        <v>207</v>
      </c>
      <c r="C581" s="45" t="s">
        <v>110</v>
      </c>
      <c r="D581" s="12" t="s">
        <v>1611</v>
      </c>
      <c r="E581" s="12"/>
      <c r="F581" s="12"/>
      <c r="G581" s="241"/>
      <c r="H581" s="12"/>
      <c r="I581" s="12"/>
      <c r="J581" s="12"/>
      <c r="K581" s="241"/>
      <c r="N581" t="s">
        <v>27</v>
      </c>
      <c r="O581" s="179">
        <f>AVERAGE(K575:K628)</f>
        <v>72.974387755102043</v>
      </c>
    </row>
    <row r="582" spans="1:22" x14ac:dyDescent="0.3">
      <c r="A582" s="50">
        <v>8</v>
      </c>
      <c r="B582" s="45" t="s">
        <v>163</v>
      </c>
      <c r="C582" s="45" t="s">
        <v>113</v>
      </c>
      <c r="D582" s="12" t="s">
        <v>1630</v>
      </c>
      <c r="E582" s="12">
        <v>10</v>
      </c>
      <c r="F582" s="12">
        <v>21</v>
      </c>
      <c r="G582" s="241">
        <f t="shared" si="40"/>
        <v>31</v>
      </c>
      <c r="H582" s="12"/>
      <c r="I582" s="12"/>
      <c r="J582" s="12">
        <v>48</v>
      </c>
      <c r="K582" s="241">
        <f t="shared" si="41"/>
        <v>79</v>
      </c>
      <c r="L582" t="str">
        <f t="shared" si="38"/>
        <v>B+</v>
      </c>
      <c r="M582" t="str">
        <f t="shared" si="39"/>
        <v>Passed</v>
      </c>
    </row>
    <row r="583" spans="1:22" x14ac:dyDescent="0.3">
      <c r="A583" s="50">
        <v>9</v>
      </c>
      <c r="B583" s="45" t="s">
        <v>480</v>
      </c>
      <c r="C583" s="45" t="s">
        <v>115</v>
      </c>
      <c r="D583" s="12" t="s">
        <v>1635</v>
      </c>
      <c r="E583" s="12">
        <v>9</v>
      </c>
      <c r="F583" s="12">
        <v>24</v>
      </c>
      <c r="G583" s="241">
        <f t="shared" si="40"/>
        <v>33</v>
      </c>
      <c r="H583" s="12"/>
      <c r="I583" s="12"/>
      <c r="J583" s="12">
        <v>49</v>
      </c>
      <c r="K583" s="241">
        <f t="shared" si="41"/>
        <v>82</v>
      </c>
      <c r="L583" t="str">
        <f t="shared" si="38"/>
        <v>A</v>
      </c>
      <c r="M583" t="str">
        <f t="shared" si="39"/>
        <v>Passed</v>
      </c>
    </row>
    <row r="584" spans="1:22" x14ac:dyDescent="0.3">
      <c r="A584" s="50">
        <v>10</v>
      </c>
      <c r="B584" s="45" t="s">
        <v>200</v>
      </c>
      <c r="C584" s="45" t="s">
        <v>119</v>
      </c>
      <c r="D584" s="12" t="s">
        <v>1651</v>
      </c>
      <c r="E584" s="12">
        <v>8</v>
      </c>
      <c r="F584" s="12">
        <v>6</v>
      </c>
      <c r="G584" s="241">
        <f t="shared" si="40"/>
        <v>14</v>
      </c>
      <c r="H584" s="12"/>
      <c r="I584" s="12"/>
      <c r="J584" s="12">
        <v>20</v>
      </c>
      <c r="K584" s="241">
        <f t="shared" si="41"/>
        <v>34</v>
      </c>
      <c r="L584" t="str">
        <f t="shared" si="38"/>
        <v>F</v>
      </c>
      <c r="M584" t="str">
        <f t="shared" si="39"/>
        <v>Failed</v>
      </c>
    </row>
    <row r="585" spans="1:22" x14ac:dyDescent="0.3">
      <c r="A585" s="50">
        <v>11</v>
      </c>
      <c r="B585" s="45" t="s">
        <v>205</v>
      </c>
      <c r="C585" s="45" t="s">
        <v>120</v>
      </c>
      <c r="D585" s="12" t="s">
        <v>1611</v>
      </c>
      <c r="E585" s="12"/>
      <c r="F585" s="12"/>
      <c r="G585" s="241"/>
      <c r="H585" s="12"/>
      <c r="I585" s="12"/>
      <c r="J585" s="12"/>
      <c r="K585" s="241"/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 t="s">
        <v>33</v>
      </c>
      <c r="U585" t="s">
        <v>34</v>
      </c>
      <c r="V585" t="s">
        <v>35</v>
      </c>
    </row>
    <row r="586" spans="1:22" x14ac:dyDescent="0.3">
      <c r="A586" s="50">
        <v>12</v>
      </c>
      <c r="B586" s="45" t="s">
        <v>168</v>
      </c>
      <c r="C586" s="45" t="s">
        <v>121</v>
      </c>
      <c r="D586" s="12" t="s">
        <v>1631</v>
      </c>
      <c r="E586" s="12">
        <v>8</v>
      </c>
      <c r="F586" s="346">
        <v>15.75</v>
      </c>
      <c r="G586" s="241">
        <f t="shared" si="40"/>
        <v>23.75</v>
      </c>
      <c r="H586" s="12"/>
      <c r="I586" s="12"/>
      <c r="J586" s="12">
        <v>53</v>
      </c>
      <c r="K586" s="241">
        <f t="shared" si="41"/>
        <v>76.75</v>
      </c>
      <c r="L586" t="str">
        <f t="shared" si="38"/>
        <v>B+</v>
      </c>
      <c r="M586" t="str">
        <f t="shared" si="39"/>
        <v>Passed</v>
      </c>
      <c r="O586">
        <f>COUNTIF(L575:L628,"A")</f>
        <v>20</v>
      </c>
      <c r="P586">
        <f>COUNTIF(L575:L628,"B+")</f>
        <v>14</v>
      </c>
      <c r="Q586">
        <f>COUNTIF(L575:L628,"B")</f>
        <v>8</v>
      </c>
      <c r="R586">
        <f>COUNTIF(L575:L628,"C+")</f>
        <v>3</v>
      </c>
      <c r="S586">
        <f>COUNTIF(L575:L628,"C")</f>
        <v>0</v>
      </c>
      <c r="T586">
        <f>COUNTIF(L575:L628,"D+")</f>
        <v>0</v>
      </c>
      <c r="U586">
        <f>COUNTIF(L575:L628,"D")</f>
        <v>2</v>
      </c>
      <c r="V586">
        <f>COUNTIF(L575:L628,"F")</f>
        <v>2</v>
      </c>
    </row>
    <row r="587" spans="1:22" x14ac:dyDescent="0.3">
      <c r="A587" s="50">
        <v>13</v>
      </c>
      <c r="B587" s="45" t="s">
        <v>170</v>
      </c>
      <c r="C587" s="45" t="s">
        <v>124</v>
      </c>
      <c r="D587" s="12" t="s">
        <v>1614</v>
      </c>
      <c r="E587" s="12">
        <v>10</v>
      </c>
      <c r="F587" s="346">
        <v>22.12</v>
      </c>
      <c r="G587" s="241">
        <f t="shared" si="40"/>
        <v>32.120000000000005</v>
      </c>
      <c r="H587" s="12"/>
      <c r="I587" s="12"/>
      <c r="J587" s="12">
        <v>47</v>
      </c>
      <c r="K587" s="241">
        <f t="shared" si="41"/>
        <v>79.12</v>
      </c>
      <c r="L587" t="str">
        <f t="shared" si="38"/>
        <v>B+</v>
      </c>
      <c r="M587" t="str">
        <f t="shared" si="39"/>
        <v>Passed</v>
      </c>
    </row>
    <row r="588" spans="1:22" x14ac:dyDescent="0.3">
      <c r="A588" s="50">
        <v>14</v>
      </c>
      <c r="B588" s="45" t="s">
        <v>172</v>
      </c>
      <c r="C588" s="45" t="s">
        <v>126</v>
      </c>
      <c r="D588" s="12" t="s">
        <v>1643</v>
      </c>
      <c r="E588" s="12">
        <v>10</v>
      </c>
      <c r="F588" s="346">
        <v>19.125</v>
      </c>
      <c r="G588" s="241">
        <f t="shared" si="40"/>
        <v>29.125</v>
      </c>
      <c r="H588" s="12"/>
      <c r="I588" s="12"/>
      <c r="J588" s="12">
        <v>27</v>
      </c>
      <c r="K588" s="241">
        <f t="shared" si="41"/>
        <v>56.125</v>
      </c>
      <c r="L588" t="str">
        <f t="shared" si="38"/>
        <v>C+</v>
      </c>
      <c r="M588" t="str">
        <f t="shared" si="39"/>
        <v>Passed</v>
      </c>
    </row>
    <row r="589" spans="1:22" x14ac:dyDescent="0.3">
      <c r="A589" s="50">
        <v>15</v>
      </c>
      <c r="B589" s="45" t="s">
        <v>173</v>
      </c>
      <c r="C589" s="45" t="s">
        <v>127</v>
      </c>
      <c r="D589" s="12" t="s">
        <v>1639</v>
      </c>
      <c r="E589" s="12">
        <v>10</v>
      </c>
      <c r="F589" s="12">
        <v>23</v>
      </c>
      <c r="G589" s="241">
        <f t="shared" si="40"/>
        <v>33</v>
      </c>
      <c r="H589" s="12"/>
      <c r="I589" s="12"/>
      <c r="J589" s="12">
        <v>47</v>
      </c>
      <c r="K589" s="241">
        <f t="shared" si="41"/>
        <v>80</v>
      </c>
      <c r="L589" t="str">
        <f t="shared" si="38"/>
        <v>A</v>
      </c>
      <c r="M589" t="str">
        <f t="shared" si="39"/>
        <v>Passed</v>
      </c>
    </row>
    <row r="590" spans="1:22" x14ac:dyDescent="0.3">
      <c r="A590" s="50">
        <v>16</v>
      </c>
      <c r="B590" s="45" t="s">
        <v>175</v>
      </c>
      <c r="C590" s="45" t="s">
        <v>131</v>
      </c>
      <c r="D590" s="12" t="s">
        <v>1622</v>
      </c>
      <c r="E590" s="12">
        <v>10</v>
      </c>
      <c r="F590" s="12">
        <v>24</v>
      </c>
      <c r="G590" s="241">
        <f t="shared" si="40"/>
        <v>34</v>
      </c>
      <c r="H590" s="12"/>
      <c r="I590" s="12"/>
      <c r="J590" s="12">
        <v>52</v>
      </c>
      <c r="K590" s="241">
        <f t="shared" si="41"/>
        <v>86</v>
      </c>
      <c r="L590" t="str">
        <f t="shared" si="38"/>
        <v>A</v>
      </c>
      <c r="M590" t="str">
        <f t="shared" si="39"/>
        <v>Passed</v>
      </c>
    </row>
    <row r="591" spans="1:22" x14ac:dyDescent="0.3">
      <c r="A591" s="50">
        <v>17</v>
      </c>
      <c r="B591" s="277" t="s">
        <v>178</v>
      </c>
      <c r="C591" s="45" t="s">
        <v>133</v>
      </c>
      <c r="D591" s="12" t="s">
        <v>1620</v>
      </c>
      <c r="E591" s="12">
        <v>10</v>
      </c>
      <c r="F591" s="12">
        <v>23</v>
      </c>
      <c r="G591" s="241">
        <f t="shared" si="40"/>
        <v>33</v>
      </c>
      <c r="H591" s="12"/>
      <c r="I591" s="12"/>
      <c r="J591" s="12">
        <v>54</v>
      </c>
      <c r="K591" s="241">
        <f t="shared" si="41"/>
        <v>87</v>
      </c>
      <c r="L591" t="str">
        <f t="shared" si="38"/>
        <v>A</v>
      </c>
      <c r="M591" t="str">
        <f t="shared" si="39"/>
        <v>Passed</v>
      </c>
    </row>
    <row r="592" spans="1:22" x14ac:dyDescent="0.3">
      <c r="A592" s="50">
        <v>18</v>
      </c>
      <c r="B592" s="45" t="s">
        <v>534</v>
      </c>
      <c r="C592" s="303" t="s">
        <v>363</v>
      </c>
      <c r="D592" s="12" t="s">
        <v>1659</v>
      </c>
      <c r="E592" s="12">
        <v>4</v>
      </c>
      <c r="F592" s="12">
        <v>6</v>
      </c>
      <c r="G592" s="241">
        <f t="shared" si="40"/>
        <v>10</v>
      </c>
      <c r="H592" s="12"/>
      <c r="I592" s="12"/>
      <c r="J592" s="12">
        <v>30</v>
      </c>
      <c r="K592" s="241">
        <f t="shared" si="41"/>
        <v>40</v>
      </c>
      <c r="L592" t="str">
        <f t="shared" si="38"/>
        <v>D</v>
      </c>
      <c r="M592" t="str">
        <f t="shared" si="39"/>
        <v>Failed</v>
      </c>
    </row>
    <row r="593" spans="1:13" x14ac:dyDescent="0.3">
      <c r="A593" s="50">
        <v>19</v>
      </c>
      <c r="B593" s="389" t="s">
        <v>144</v>
      </c>
      <c r="C593" s="304" t="s">
        <v>137</v>
      </c>
      <c r="D593" s="12" t="s">
        <v>1640</v>
      </c>
      <c r="E593" s="12">
        <v>7.5</v>
      </c>
      <c r="F593" s="12">
        <v>23</v>
      </c>
      <c r="G593" s="241">
        <f t="shared" si="40"/>
        <v>30.5</v>
      </c>
      <c r="H593" s="12"/>
      <c r="I593" s="12"/>
      <c r="J593" s="12">
        <v>50</v>
      </c>
      <c r="K593" s="241">
        <f t="shared" si="41"/>
        <v>80.5</v>
      </c>
      <c r="L593" t="str">
        <f t="shared" si="38"/>
        <v>A</v>
      </c>
      <c r="M593" t="str">
        <f t="shared" si="39"/>
        <v>Passed</v>
      </c>
    </row>
    <row r="594" spans="1:13" x14ac:dyDescent="0.3">
      <c r="A594" s="50">
        <v>20</v>
      </c>
      <c r="B594" s="390" t="s">
        <v>204</v>
      </c>
      <c r="C594" s="390" t="s">
        <v>138</v>
      </c>
      <c r="D594" s="12" t="s">
        <v>1623</v>
      </c>
      <c r="E594" s="12">
        <v>10</v>
      </c>
      <c r="F594" s="12">
        <v>24</v>
      </c>
      <c r="G594" s="241">
        <f t="shared" si="40"/>
        <v>34</v>
      </c>
      <c r="H594" s="12"/>
      <c r="I594" s="12"/>
      <c r="J594" s="12">
        <v>58</v>
      </c>
      <c r="K594" s="241">
        <f t="shared" si="41"/>
        <v>92</v>
      </c>
      <c r="L594" t="str">
        <f t="shared" si="38"/>
        <v>A</v>
      </c>
      <c r="M594" t="str">
        <f t="shared" si="39"/>
        <v>Passed</v>
      </c>
    </row>
    <row r="595" spans="1:13" x14ac:dyDescent="0.3">
      <c r="A595" s="50">
        <v>21</v>
      </c>
      <c r="B595" s="305" t="s">
        <v>181</v>
      </c>
      <c r="C595" s="45" t="s">
        <v>139</v>
      </c>
      <c r="D595" s="12" t="s">
        <v>1613</v>
      </c>
      <c r="E595" s="12">
        <v>10</v>
      </c>
      <c r="F595" s="12">
        <v>23</v>
      </c>
      <c r="G595" s="241">
        <f t="shared" si="40"/>
        <v>33</v>
      </c>
      <c r="H595" s="12"/>
      <c r="I595" s="12"/>
      <c r="J595" s="12">
        <v>41</v>
      </c>
      <c r="K595" s="241">
        <f t="shared" si="41"/>
        <v>74</v>
      </c>
      <c r="L595" t="str">
        <f t="shared" si="38"/>
        <v>B+</v>
      </c>
      <c r="M595" t="str">
        <f t="shared" si="39"/>
        <v>Passed</v>
      </c>
    </row>
    <row r="596" spans="1:13" x14ac:dyDescent="0.3">
      <c r="A596" s="50">
        <v>22</v>
      </c>
      <c r="B596" s="391" t="s">
        <v>201</v>
      </c>
      <c r="C596" s="45" t="s">
        <v>141</v>
      </c>
      <c r="D596" s="12" t="s">
        <v>1641</v>
      </c>
      <c r="E596" s="12">
        <v>10</v>
      </c>
      <c r="F596" s="12">
        <v>25</v>
      </c>
      <c r="G596" s="241">
        <f t="shared" si="40"/>
        <v>35</v>
      </c>
      <c r="H596" s="12"/>
      <c r="I596" s="12"/>
      <c r="J596" s="12">
        <v>44</v>
      </c>
      <c r="K596" s="241">
        <f t="shared" si="41"/>
        <v>79</v>
      </c>
      <c r="L596" t="str">
        <f t="shared" si="38"/>
        <v>B+</v>
      </c>
      <c r="M596" t="str">
        <f t="shared" si="39"/>
        <v>Passed</v>
      </c>
    </row>
    <row r="597" spans="1:13" x14ac:dyDescent="0.3">
      <c r="A597" s="50">
        <v>23</v>
      </c>
      <c r="B597" s="45" t="s">
        <v>176</v>
      </c>
      <c r="C597" s="45" t="s">
        <v>481</v>
      </c>
      <c r="D597" s="12" t="s">
        <v>1626</v>
      </c>
      <c r="E597" s="12">
        <v>8</v>
      </c>
      <c r="F597" s="12">
        <v>20</v>
      </c>
      <c r="G597" s="241">
        <f t="shared" si="40"/>
        <v>28</v>
      </c>
      <c r="H597" s="12"/>
      <c r="I597" s="12"/>
      <c r="J597" s="12">
        <v>43</v>
      </c>
      <c r="K597" s="241">
        <f t="shared" si="41"/>
        <v>71</v>
      </c>
      <c r="L597" t="str">
        <f t="shared" si="38"/>
        <v>B+</v>
      </c>
      <c r="M597" t="str">
        <f t="shared" si="39"/>
        <v>Passed</v>
      </c>
    </row>
    <row r="598" spans="1:13" x14ac:dyDescent="0.3">
      <c r="A598" s="50">
        <v>24</v>
      </c>
      <c r="B598" s="45" t="s">
        <v>148</v>
      </c>
      <c r="C598" s="45" t="s">
        <v>96</v>
      </c>
      <c r="D598" s="12" t="s">
        <v>1657</v>
      </c>
      <c r="E598" s="12">
        <v>10</v>
      </c>
      <c r="F598" s="12">
        <v>21</v>
      </c>
      <c r="G598" s="241">
        <f t="shared" si="40"/>
        <v>31</v>
      </c>
      <c r="H598" s="12"/>
      <c r="I598" s="12"/>
      <c r="J598" s="12">
        <v>29</v>
      </c>
      <c r="K598" s="241">
        <f t="shared" si="41"/>
        <v>60</v>
      </c>
      <c r="L598" t="str">
        <f t="shared" si="38"/>
        <v>B</v>
      </c>
      <c r="M598" t="str">
        <f t="shared" si="39"/>
        <v>Passed</v>
      </c>
    </row>
    <row r="599" spans="1:13" x14ac:dyDescent="0.3">
      <c r="A599" s="50">
        <v>25</v>
      </c>
      <c r="B599" s="45" t="s">
        <v>153</v>
      </c>
      <c r="C599" s="45" t="s">
        <v>101</v>
      </c>
      <c r="D599" s="12" t="s">
        <v>1650</v>
      </c>
      <c r="E599" s="12">
        <v>8</v>
      </c>
      <c r="F599" s="12">
        <v>12</v>
      </c>
      <c r="G599" s="241">
        <f t="shared" si="40"/>
        <v>20</v>
      </c>
      <c r="H599" s="12"/>
      <c r="I599" s="12"/>
      <c r="J599" s="12">
        <v>36</v>
      </c>
      <c r="K599" s="241">
        <f t="shared" si="41"/>
        <v>56</v>
      </c>
      <c r="L599" t="str">
        <f t="shared" si="38"/>
        <v>C+</v>
      </c>
      <c r="M599" t="str">
        <f t="shared" si="39"/>
        <v>Passed</v>
      </c>
    </row>
    <row r="600" spans="1:13" x14ac:dyDescent="0.3">
      <c r="A600" s="50">
        <v>26</v>
      </c>
      <c r="B600" s="45" t="s">
        <v>154</v>
      </c>
      <c r="C600" s="45" t="s">
        <v>102</v>
      </c>
      <c r="D600" s="12" t="s">
        <v>1642</v>
      </c>
      <c r="E600" s="12">
        <v>8</v>
      </c>
      <c r="F600" s="12">
        <v>5.25</v>
      </c>
      <c r="G600" s="241">
        <f t="shared" si="40"/>
        <v>13.25</v>
      </c>
      <c r="H600" s="12"/>
      <c r="I600" s="12"/>
      <c r="J600" s="12">
        <v>20</v>
      </c>
      <c r="K600" s="241">
        <f t="shared" si="41"/>
        <v>33.25</v>
      </c>
      <c r="L600" t="str">
        <f t="shared" si="38"/>
        <v>F</v>
      </c>
      <c r="M600" t="str">
        <f t="shared" si="39"/>
        <v>Failed</v>
      </c>
    </row>
    <row r="601" spans="1:13" x14ac:dyDescent="0.3">
      <c r="A601" s="50">
        <v>27</v>
      </c>
      <c r="B601" s="45" t="s">
        <v>162</v>
      </c>
      <c r="C601" s="45" t="s">
        <v>112</v>
      </c>
      <c r="D601" s="12" t="s">
        <v>1624</v>
      </c>
      <c r="E601" s="12">
        <v>8</v>
      </c>
      <c r="F601" s="346">
        <v>16.5</v>
      </c>
      <c r="G601" s="241">
        <f t="shared" si="40"/>
        <v>24.5</v>
      </c>
      <c r="H601" s="12"/>
      <c r="I601" s="12"/>
      <c r="J601" s="12">
        <v>45</v>
      </c>
      <c r="K601" s="241">
        <f t="shared" si="41"/>
        <v>69.5</v>
      </c>
      <c r="L601" t="str">
        <f t="shared" si="38"/>
        <v>B</v>
      </c>
      <c r="M601" t="str">
        <f t="shared" si="39"/>
        <v>Passed</v>
      </c>
    </row>
    <row r="602" spans="1:13" x14ac:dyDescent="0.3">
      <c r="A602" s="50">
        <v>28</v>
      </c>
      <c r="B602" s="45" t="s">
        <v>164</v>
      </c>
      <c r="C602" s="45" t="s">
        <v>114</v>
      </c>
      <c r="D602" s="12" t="s">
        <v>1627</v>
      </c>
      <c r="E602" s="12">
        <v>10</v>
      </c>
      <c r="F602" s="12">
        <v>23</v>
      </c>
      <c r="G602" s="241">
        <f t="shared" si="40"/>
        <v>33</v>
      </c>
      <c r="H602" s="12"/>
      <c r="I602" s="12"/>
      <c r="J602" s="12">
        <v>33</v>
      </c>
      <c r="K602" s="241">
        <f t="shared" si="41"/>
        <v>66</v>
      </c>
      <c r="L602" t="str">
        <f t="shared" si="38"/>
        <v>B</v>
      </c>
      <c r="M602" t="str">
        <f t="shared" si="39"/>
        <v>Passed</v>
      </c>
    </row>
    <row r="603" spans="1:13" x14ac:dyDescent="0.3">
      <c r="A603" s="50">
        <v>29</v>
      </c>
      <c r="B603" s="277" t="s">
        <v>165</v>
      </c>
      <c r="C603" s="45" t="s">
        <v>116</v>
      </c>
      <c r="D603" s="12" t="s">
        <v>1619</v>
      </c>
      <c r="E603" s="12">
        <v>10</v>
      </c>
      <c r="F603" s="12">
        <v>26</v>
      </c>
      <c r="G603" s="241">
        <f t="shared" si="40"/>
        <v>36</v>
      </c>
      <c r="H603" s="12"/>
      <c r="I603" s="12"/>
      <c r="J603" s="12">
        <v>56</v>
      </c>
      <c r="K603" s="241">
        <f t="shared" si="41"/>
        <v>92</v>
      </c>
      <c r="L603" t="str">
        <f t="shared" si="38"/>
        <v>A</v>
      </c>
      <c r="M603" t="str">
        <f t="shared" si="39"/>
        <v>Passed</v>
      </c>
    </row>
    <row r="604" spans="1:13" x14ac:dyDescent="0.3">
      <c r="A604" s="50">
        <v>30</v>
      </c>
      <c r="B604" s="45" t="s">
        <v>206</v>
      </c>
      <c r="C604" s="45" t="s">
        <v>123</v>
      </c>
      <c r="D604" s="12" t="s">
        <v>1658</v>
      </c>
      <c r="E604" s="12">
        <v>10</v>
      </c>
      <c r="F604" s="12">
        <v>23</v>
      </c>
      <c r="G604" s="241">
        <f t="shared" si="40"/>
        <v>33</v>
      </c>
      <c r="H604" s="12"/>
      <c r="I604" s="12"/>
      <c r="J604" s="12">
        <v>33</v>
      </c>
      <c r="K604" s="241">
        <f t="shared" si="41"/>
        <v>66</v>
      </c>
      <c r="L604" t="str">
        <f t="shared" si="38"/>
        <v>B</v>
      </c>
      <c r="M604" t="str">
        <f t="shared" si="39"/>
        <v>Passed</v>
      </c>
    </row>
    <row r="605" spans="1:13" x14ac:dyDescent="0.3">
      <c r="A605" s="50">
        <v>31</v>
      </c>
      <c r="B605" s="45" t="s">
        <v>202</v>
      </c>
      <c r="C605" s="45" t="s">
        <v>135</v>
      </c>
      <c r="D605" s="12" t="s">
        <v>1656</v>
      </c>
      <c r="E605" s="12">
        <v>8</v>
      </c>
      <c r="F605" s="346">
        <v>16.25</v>
      </c>
      <c r="G605" s="241">
        <f t="shared" si="40"/>
        <v>24.25</v>
      </c>
      <c r="H605" s="12"/>
      <c r="I605" s="12"/>
      <c r="J605" s="12">
        <v>16</v>
      </c>
      <c r="K605" s="241">
        <f t="shared" si="41"/>
        <v>40.25</v>
      </c>
      <c r="L605" t="str">
        <f t="shared" si="38"/>
        <v>D</v>
      </c>
      <c r="M605" t="str">
        <f t="shared" si="39"/>
        <v>Failed</v>
      </c>
    </row>
    <row r="606" spans="1:13" x14ac:dyDescent="0.3">
      <c r="A606" s="50">
        <v>32</v>
      </c>
      <c r="B606" s="45" t="s">
        <v>1249</v>
      </c>
      <c r="C606" s="45" t="s">
        <v>422</v>
      </c>
      <c r="D606" s="12" t="s">
        <v>1649</v>
      </c>
      <c r="E606" s="12">
        <v>7.5</v>
      </c>
      <c r="F606" s="346">
        <v>11.25</v>
      </c>
      <c r="G606" s="241">
        <f t="shared" si="40"/>
        <v>18.75</v>
      </c>
      <c r="H606" s="12"/>
      <c r="I606" s="12"/>
      <c r="J606" s="12">
        <v>44</v>
      </c>
      <c r="K606" s="241">
        <f t="shared" si="41"/>
        <v>62.75</v>
      </c>
      <c r="L606" t="str">
        <f t="shared" si="38"/>
        <v>B</v>
      </c>
      <c r="M606" t="str">
        <f t="shared" si="39"/>
        <v>Passed</v>
      </c>
    </row>
    <row r="607" spans="1:13" x14ac:dyDescent="0.3">
      <c r="A607" s="50">
        <v>33</v>
      </c>
      <c r="B607" s="45" t="s">
        <v>150</v>
      </c>
      <c r="C607" s="45" t="s">
        <v>98</v>
      </c>
      <c r="D607" s="12" t="s">
        <v>1645</v>
      </c>
      <c r="E607" s="12">
        <v>9</v>
      </c>
      <c r="F607" s="12">
        <v>23</v>
      </c>
      <c r="G607" s="241">
        <f t="shared" si="40"/>
        <v>32</v>
      </c>
      <c r="H607" s="12"/>
      <c r="I607" s="12"/>
      <c r="J607" s="12">
        <v>44</v>
      </c>
      <c r="K607" s="241">
        <f t="shared" si="41"/>
        <v>76</v>
      </c>
      <c r="L607" t="str">
        <f t="shared" si="38"/>
        <v>B+</v>
      </c>
      <c r="M607" t="str">
        <f t="shared" si="39"/>
        <v>Passed</v>
      </c>
    </row>
    <row r="608" spans="1:13" x14ac:dyDescent="0.3">
      <c r="A608" s="50">
        <v>34</v>
      </c>
      <c r="B608" s="45" t="s">
        <v>151</v>
      </c>
      <c r="C608" s="45" t="s">
        <v>99</v>
      </c>
      <c r="D608" s="12" t="s">
        <v>1652</v>
      </c>
      <c r="E608" s="12">
        <v>8</v>
      </c>
      <c r="F608" s="12">
        <v>23</v>
      </c>
      <c r="G608" s="241">
        <f t="shared" si="40"/>
        <v>31</v>
      </c>
      <c r="H608" s="12"/>
      <c r="I608" s="12"/>
      <c r="J608" s="12">
        <v>39</v>
      </c>
      <c r="K608" s="241">
        <f t="shared" si="41"/>
        <v>70</v>
      </c>
      <c r="L608" t="str">
        <f t="shared" si="38"/>
        <v>B+</v>
      </c>
      <c r="M608" t="str">
        <f t="shared" si="39"/>
        <v>Passed</v>
      </c>
    </row>
    <row r="609" spans="1:13" x14ac:dyDescent="0.3">
      <c r="A609" s="50">
        <v>35</v>
      </c>
      <c r="B609" s="45" t="s">
        <v>157</v>
      </c>
      <c r="C609" s="45" t="s">
        <v>106</v>
      </c>
      <c r="D609" s="12" t="s">
        <v>1616</v>
      </c>
      <c r="E609" s="12">
        <v>10</v>
      </c>
      <c r="F609" s="12">
        <v>23</v>
      </c>
      <c r="G609" s="241">
        <f t="shared" si="40"/>
        <v>33</v>
      </c>
      <c r="H609" s="12"/>
      <c r="I609" s="12"/>
      <c r="J609" s="12">
        <v>40.5</v>
      </c>
      <c r="K609" s="241">
        <f t="shared" si="41"/>
        <v>73.5</v>
      </c>
      <c r="L609" t="str">
        <f t="shared" si="38"/>
        <v>B+</v>
      </c>
      <c r="M609" t="str">
        <f t="shared" si="39"/>
        <v>Passed</v>
      </c>
    </row>
    <row r="610" spans="1:13" x14ac:dyDescent="0.3">
      <c r="A610" s="50">
        <v>36</v>
      </c>
      <c r="B610" s="45" t="s">
        <v>158</v>
      </c>
      <c r="C610" s="45" t="s">
        <v>107</v>
      </c>
      <c r="D610" s="12" t="s">
        <v>1653</v>
      </c>
      <c r="E610" s="12">
        <v>8</v>
      </c>
      <c r="F610" s="12">
        <v>22</v>
      </c>
      <c r="G610" s="241">
        <f t="shared" si="40"/>
        <v>30</v>
      </c>
      <c r="H610" s="12"/>
      <c r="I610" s="12"/>
      <c r="J610" s="12">
        <v>53</v>
      </c>
      <c r="K610" s="241">
        <f t="shared" si="41"/>
        <v>83</v>
      </c>
      <c r="L610" t="str">
        <f t="shared" si="38"/>
        <v>A</v>
      </c>
      <c r="M610" t="str">
        <f t="shared" si="39"/>
        <v>Passed</v>
      </c>
    </row>
    <row r="611" spans="1:13" x14ac:dyDescent="0.3">
      <c r="A611" s="50">
        <v>37</v>
      </c>
      <c r="B611" s="45" t="s">
        <v>159</v>
      </c>
      <c r="C611" s="45" t="s">
        <v>108</v>
      </c>
      <c r="D611" s="12" t="s">
        <v>1632</v>
      </c>
      <c r="E611" s="12">
        <v>9</v>
      </c>
      <c r="F611" s="12">
        <v>17</v>
      </c>
      <c r="G611" s="241">
        <f t="shared" si="40"/>
        <v>26</v>
      </c>
      <c r="H611" s="12"/>
      <c r="I611" s="12"/>
      <c r="J611" s="12">
        <v>55</v>
      </c>
      <c r="K611" s="241">
        <f t="shared" si="41"/>
        <v>81</v>
      </c>
      <c r="L611" t="str">
        <f t="shared" si="38"/>
        <v>A</v>
      </c>
      <c r="M611" t="str">
        <f t="shared" si="39"/>
        <v>Passed</v>
      </c>
    </row>
    <row r="612" spans="1:13" x14ac:dyDescent="0.3">
      <c r="A612" s="50">
        <v>38</v>
      </c>
      <c r="B612" s="45" t="s">
        <v>167</v>
      </c>
      <c r="C612" s="45" t="s">
        <v>118</v>
      </c>
      <c r="D612" s="12" t="s">
        <v>1629</v>
      </c>
      <c r="E612" s="12">
        <v>9</v>
      </c>
      <c r="F612" s="12">
        <v>13</v>
      </c>
      <c r="G612" s="241">
        <f t="shared" si="40"/>
        <v>22</v>
      </c>
      <c r="H612" s="12"/>
      <c r="I612" s="12"/>
      <c r="J612" s="12">
        <v>55</v>
      </c>
      <c r="K612" s="241">
        <f t="shared" si="41"/>
        <v>77</v>
      </c>
      <c r="L612" t="str">
        <f t="shared" si="38"/>
        <v>B+</v>
      </c>
      <c r="M612" t="str">
        <f t="shared" si="39"/>
        <v>Passed</v>
      </c>
    </row>
    <row r="613" spans="1:13" x14ac:dyDescent="0.3">
      <c r="A613" s="50">
        <v>39</v>
      </c>
      <c r="B613" s="45" t="s">
        <v>171</v>
      </c>
      <c r="C613" s="45" t="s">
        <v>125</v>
      </c>
      <c r="D613" s="12" t="s">
        <v>1625</v>
      </c>
      <c r="E613" s="12">
        <v>8</v>
      </c>
      <c r="F613" s="12">
        <v>23</v>
      </c>
      <c r="G613" s="241">
        <f t="shared" si="40"/>
        <v>31</v>
      </c>
      <c r="H613" s="12"/>
      <c r="I613" s="12"/>
      <c r="J613" s="12">
        <v>34</v>
      </c>
      <c r="K613" s="241">
        <f t="shared" si="41"/>
        <v>65</v>
      </c>
      <c r="L613" t="str">
        <f t="shared" si="38"/>
        <v>B</v>
      </c>
      <c r="M613" t="str">
        <f t="shared" si="39"/>
        <v>Passed</v>
      </c>
    </row>
    <row r="614" spans="1:13" x14ac:dyDescent="0.3">
      <c r="A614" s="50">
        <v>40</v>
      </c>
      <c r="B614" s="45" t="s">
        <v>174</v>
      </c>
      <c r="C614" s="45" t="s">
        <v>128</v>
      </c>
      <c r="D614" s="12" t="s">
        <v>1647</v>
      </c>
      <c r="E614" s="12">
        <v>9</v>
      </c>
      <c r="F614" s="12">
        <v>23</v>
      </c>
      <c r="G614" s="241">
        <f t="shared" si="40"/>
        <v>32</v>
      </c>
      <c r="H614" s="12"/>
      <c r="I614" s="12"/>
      <c r="J614" s="12">
        <v>33</v>
      </c>
      <c r="K614" s="241">
        <f t="shared" si="41"/>
        <v>65</v>
      </c>
      <c r="L614" t="str">
        <f t="shared" si="38"/>
        <v>B</v>
      </c>
      <c r="M614" t="str">
        <f t="shared" si="39"/>
        <v>Passed</v>
      </c>
    </row>
    <row r="615" spans="1:13" x14ac:dyDescent="0.3">
      <c r="A615" s="50">
        <v>41</v>
      </c>
      <c r="B615" s="45" t="s">
        <v>220</v>
      </c>
      <c r="C615" s="45" t="s">
        <v>130</v>
      </c>
      <c r="D615" s="12" t="s">
        <v>1633</v>
      </c>
      <c r="E615" s="12">
        <v>8</v>
      </c>
      <c r="F615" s="12">
        <v>22</v>
      </c>
      <c r="G615" s="241">
        <f t="shared" si="40"/>
        <v>30</v>
      </c>
      <c r="H615" s="12"/>
      <c r="I615" s="12"/>
      <c r="J615" s="12">
        <v>47</v>
      </c>
      <c r="K615" s="241">
        <f t="shared" si="41"/>
        <v>77</v>
      </c>
      <c r="L615" t="str">
        <f t="shared" si="38"/>
        <v>B+</v>
      </c>
      <c r="M615" t="str">
        <f t="shared" si="39"/>
        <v>Passed</v>
      </c>
    </row>
    <row r="616" spans="1:13" x14ac:dyDescent="0.3">
      <c r="A616" s="50">
        <v>42</v>
      </c>
      <c r="B616" s="45" t="s">
        <v>659</v>
      </c>
      <c r="C616" s="45" t="s">
        <v>117</v>
      </c>
      <c r="D616" s="12" t="s">
        <v>1612</v>
      </c>
      <c r="E616" s="12">
        <v>10</v>
      </c>
      <c r="F616" s="12">
        <v>26</v>
      </c>
      <c r="G616" s="241">
        <f t="shared" si="40"/>
        <v>36</v>
      </c>
      <c r="H616" s="12"/>
      <c r="I616" s="12"/>
      <c r="J616" s="12">
        <v>50</v>
      </c>
      <c r="K616" s="241">
        <f t="shared" si="41"/>
        <v>86</v>
      </c>
      <c r="L616" t="str">
        <f t="shared" si="38"/>
        <v>A</v>
      </c>
      <c r="M616" t="str">
        <f t="shared" si="39"/>
        <v>Passed</v>
      </c>
    </row>
    <row r="617" spans="1:13" x14ac:dyDescent="0.3">
      <c r="A617" s="50">
        <v>43</v>
      </c>
      <c r="B617" s="45" t="s">
        <v>146</v>
      </c>
      <c r="C617" s="45" t="s">
        <v>94</v>
      </c>
      <c r="D617" s="12" t="s">
        <v>1636</v>
      </c>
      <c r="E617" s="12">
        <v>10</v>
      </c>
      <c r="F617" s="12">
        <v>25</v>
      </c>
      <c r="G617" s="241">
        <f t="shared" si="40"/>
        <v>35</v>
      </c>
      <c r="H617" s="12"/>
      <c r="I617" s="12"/>
      <c r="J617" s="12">
        <v>54</v>
      </c>
      <c r="K617" s="241">
        <f t="shared" si="41"/>
        <v>89</v>
      </c>
      <c r="L617" t="str">
        <f t="shared" si="38"/>
        <v>A</v>
      </c>
      <c r="M617" t="str">
        <f t="shared" si="39"/>
        <v>Passed</v>
      </c>
    </row>
    <row r="618" spans="1:13" x14ac:dyDescent="0.3">
      <c r="A618" s="50">
        <v>44</v>
      </c>
      <c r="B618" s="277" t="s">
        <v>147</v>
      </c>
      <c r="C618" s="45" t="s">
        <v>95</v>
      </c>
      <c r="D618" s="12" t="s">
        <v>1655</v>
      </c>
      <c r="E618" s="12">
        <v>8</v>
      </c>
      <c r="F618" s="12">
        <v>24</v>
      </c>
      <c r="G618" s="241">
        <f t="shared" si="40"/>
        <v>32</v>
      </c>
      <c r="H618" s="12"/>
      <c r="I618" s="12"/>
      <c r="J618" s="12">
        <v>52</v>
      </c>
      <c r="K618" s="241">
        <f t="shared" si="41"/>
        <v>84</v>
      </c>
      <c r="L618" t="str">
        <f t="shared" si="38"/>
        <v>A</v>
      </c>
      <c r="M618" t="str">
        <f t="shared" si="39"/>
        <v>Passed</v>
      </c>
    </row>
    <row r="619" spans="1:13" x14ac:dyDescent="0.3">
      <c r="A619" s="50">
        <v>45</v>
      </c>
      <c r="B619" s="45" t="s">
        <v>155</v>
      </c>
      <c r="C619" s="45" t="s">
        <v>103</v>
      </c>
      <c r="D619" s="12" t="s">
        <v>1628</v>
      </c>
      <c r="E619" s="12">
        <v>8</v>
      </c>
      <c r="F619" s="12">
        <v>17</v>
      </c>
      <c r="G619" s="241">
        <f t="shared" si="40"/>
        <v>25</v>
      </c>
      <c r="H619" s="12"/>
      <c r="I619" s="12"/>
      <c r="J619" s="12">
        <v>31</v>
      </c>
      <c r="K619" s="241">
        <f t="shared" si="41"/>
        <v>56</v>
      </c>
      <c r="L619" t="str">
        <f t="shared" si="38"/>
        <v>C+</v>
      </c>
      <c r="M619" t="str">
        <f t="shared" si="39"/>
        <v>Passed</v>
      </c>
    </row>
    <row r="620" spans="1:13" x14ac:dyDescent="0.3">
      <c r="A620" s="50">
        <v>46</v>
      </c>
      <c r="B620" s="45" t="s">
        <v>182</v>
      </c>
      <c r="C620" s="45" t="s">
        <v>105</v>
      </c>
      <c r="D620" s="12" t="s">
        <v>1611</v>
      </c>
      <c r="E620" s="12"/>
      <c r="F620" s="12"/>
      <c r="G620" s="241"/>
      <c r="H620" s="12"/>
      <c r="I620" s="12"/>
      <c r="J620" s="12"/>
      <c r="K620" s="241"/>
    </row>
    <row r="621" spans="1:13" x14ac:dyDescent="0.3">
      <c r="A621" s="50">
        <v>47</v>
      </c>
      <c r="B621" s="45" t="s">
        <v>161</v>
      </c>
      <c r="C621" s="45" t="s">
        <v>111</v>
      </c>
      <c r="D621" s="12" t="s">
        <v>1611</v>
      </c>
      <c r="E621" s="12"/>
      <c r="F621" s="12"/>
      <c r="G621" s="241"/>
      <c r="H621" s="12"/>
      <c r="I621" s="12"/>
      <c r="J621" s="12"/>
      <c r="K621" s="241"/>
    </row>
    <row r="622" spans="1:13" x14ac:dyDescent="0.3">
      <c r="A622" s="50">
        <v>48</v>
      </c>
      <c r="B622" s="45" t="s">
        <v>169</v>
      </c>
      <c r="C622" s="45" t="s">
        <v>122</v>
      </c>
      <c r="D622" s="12" t="s">
        <v>1611</v>
      </c>
      <c r="E622" s="12"/>
      <c r="F622" s="12"/>
      <c r="G622" s="241"/>
      <c r="H622" s="12"/>
      <c r="I622" s="12"/>
      <c r="J622" s="12"/>
      <c r="K622" s="241"/>
    </row>
    <row r="623" spans="1:13" x14ac:dyDescent="0.3">
      <c r="A623" s="50">
        <v>49</v>
      </c>
      <c r="B623" s="45" t="s">
        <v>648</v>
      </c>
      <c r="C623" s="45" t="s">
        <v>129</v>
      </c>
      <c r="D623" s="12" t="s">
        <v>1637</v>
      </c>
      <c r="E623" s="12">
        <v>10</v>
      </c>
      <c r="F623" s="12">
        <v>23</v>
      </c>
      <c r="G623" s="241">
        <f t="shared" si="40"/>
        <v>33</v>
      </c>
      <c r="H623" s="12"/>
      <c r="I623" s="12"/>
      <c r="J623" s="12">
        <v>49</v>
      </c>
      <c r="K623" s="241">
        <f t="shared" si="41"/>
        <v>82</v>
      </c>
      <c r="L623" t="str">
        <f t="shared" si="38"/>
        <v>A</v>
      </c>
      <c r="M623" t="str">
        <f t="shared" si="39"/>
        <v>Passed</v>
      </c>
    </row>
    <row r="624" spans="1:13" x14ac:dyDescent="0.3">
      <c r="A624" s="50">
        <v>50</v>
      </c>
      <c r="B624" s="45" t="s">
        <v>177</v>
      </c>
      <c r="C624" s="45" t="s">
        <v>132</v>
      </c>
      <c r="D624" s="12" t="s">
        <v>1621</v>
      </c>
      <c r="E624" s="12">
        <v>10</v>
      </c>
      <c r="F624" s="12">
        <v>25</v>
      </c>
      <c r="G624" s="241">
        <f t="shared" si="40"/>
        <v>35</v>
      </c>
      <c r="H624" s="12"/>
      <c r="I624" s="12"/>
      <c r="J624" s="12">
        <v>42</v>
      </c>
      <c r="K624" s="241">
        <f t="shared" si="41"/>
        <v>77</v>
      </c>
      <c r="L624" t="str">
        <f t="shared" si="38"/>
        <v>B+</v>
      </c>
      <c r="M624" t="str">
        <f t="shared" si="39"/>
        <v>Passed</v>
      </c>
    </row>
    <row r="625" spans="1:15" x14ac:dyDescent="0.3">
      <c r="A625" s="50">
        <v>51</v>
      </c>
      <c r="B625" s="45" t="s">
        <v>179</v>
      </c>
      <c r="C625" s="45" t="s">
        <v>665</v>
      </c>
      <c r="D625" s="12" t="s">
        <v>1654</v>
      </c>
      <c r="E625" s="12">
        <v>10</v>
      </c>
      <c r="F625" s="12">
        <v>23</v>
      </c>
      <c r="G625" s="241">
        <f t="shared" si="40"/>
        <v>33</v>
      </c>
      <c r="H625" s="12"/>
      <c r="I625" s="12"/>
      <c r="J625" s="12">
        <v>39</v>
      </c>
      <c r="K625" s="241">
        <f t="shared" si="41"/>
        <v>72</v>
      </c>
      <c r="L625" t="str">
        <f t="shared" si="38"/>
        <v>B+</v>
      </c>
      <c r="M625" t="str">
        <f t="shared" si="39"/>
        <v>Passed</v>
      </c>
    </row>
    <row r="626" spans="1:15" x14ac:dyDescent="0.3">
      <c r="A626" s="50">
        <v>52</v>
      </c>
      <c r="B626" s="45" t="s">
        <v>180</v>
      </c>
      <c r="C626" s="45" t="s">
        <v>136</v>
      </c>
      <c r="D626" s="12" t="s">
        <v>1646</v>
      </c>
      <c r="E626" s="12">
        <v>10</v>
      </c>
      <c r="F626" s="12">
        <v>23</v>
      </c>
      <c r="G626" s="241">
        <f t="shared" si="40"/>
        <v>33</v>
      </c>
      <c r="H626" s="12"/>
      <c r="I626" s="12"/>
      <c r="J626" s="12">
        <v>47</v>
      </c>
      <c r="K626" s="241">
        <f t="shared" si="41"/>
        <v>80</v>
      </c>
      <c r="L626" t="str">
        <f t="shared" si="38"/>
        <v>A</v>
      </c>
      <c r="M626" t="str">
        <f t="shared" si="39"/>
        <v>Passed</v>
      </c>
    </row>
    <row r="627" spans="1:15" x14ac:dyDescent="0.3">
      <c r="A627" s="50">
        <v>53</v>
      </c>
      <c r="B627" s="45" t="s">
        <v>183</v>
      </c>
      <c r="C627" s="45" t="s">
        <v>140</v>
      </c>
      <c r="D627" s="12" t="s">
        <v>1660</v>
      </c>
      <c r="E627" s="12">
        <v>8</v>
      </c>
      <c r="F627" s="12">
        <v>23</v>
      </c>
      <c r="G627" s="241">
        <f t="shared" si="40"/>
        <v>31</v>
      </c>
      <c r="H627" s="12"/>
      <c r="I627" s="12"/>
      <c r="J627" s="12">
        <v>33</v>
      </c>
      <c r="K627" s="241">
        <f t="shared" si="41"/>
        <v>64</v>
      </c>
      <c r="L627" t="str">
        <f t="shared" si="38"/>
        <v>B</v>
      </c>
      <c r="M627" t="str">
        <f t="shared" si="39"/>
        <v>Passed</v>
      </c>
    </row>
    <row r="628" spans="1:15" x14ac:dyDescent="0.3">
      <c r="A628" s="50">
        <v>54</v>
      </c>
      <c r="B628" s="45" t="s">
        <v>184</v>
      </c>
      <c r="C628" s="45" t="s">
        <v>142</v>
      </c>
      <c r="D628" s="12" t="s">
        <v>1648</v>
      </c>
      <c r="E628" s="12">
        <v>8</v>
      </c>
      <c r="F628" s="12">
        <v>23</v>
      </c>
      <c r="G628" s="241">
        <f t="shared" si="40"/>
        <v>31</v>
      </c>
      <c r="H628" s="12"/>
      <c r="I628" s="12"/>
      <c r="J628" s="12">
        <v>50</v>
      </c>
      <c r="K628" s="241">
        <f t="shared" si="41"/>
        <v>81</v>
      </c>
      <c r="L628" t="str">
        <f t="shared" si="38"/>
        <v>A</v>
      </c>
      <c r="M628" t="str">
        <f t="shared" si="39"/>
        <v>Passed</v>
      </c>
    </row>
    <row r="629" spans="1:15" x14ac:dyDescent="0.3">
      <c r="A629" s="312"/>
      <c r="B629" s="56"/>
      <c r="C629" s="56"/>
      <c r="D629" s="56"/>
      <c r="E629" s="56"/>
      <c r="F629" s="56"/>
      <c r="G629" s="56"/>
      <c r="H629" s="56"/>
      <c r="I629" s="56"/>
      <c r="J629" s="56"/>
      <c r="K629" s="56"/>
    </row>
    <row r="630" spans="1:15" x14ac:dyDescent="0.3">
      <c r="A630" s="312"/>
      <c r="B630" s="56"/>
      <c r="C630" s="56"/>
      <c r="D630" s="56"/>
      <c r="E630" s="56"/>
      <c r="F630" s="56"/>
      <c r="G630" s="56"/>
      <c r="H630" s="56"/>
      <c r="I630" s="56"/>
      <c r="J630" s="56"/>
      <c r="K630" s="56"/>
    </row>
    <row r="636" spans="1:15" x14ac:dyDescent="0.3">
      <c r="A636" s="450" t="s">
        <v>0</v>
      </c>
      <c r="B636" s="451"/>
      <c r="C636" s="451"/>
      <c r="D636" s="451"/>
      <c r="E636" s="451"/>
      <c r="F636" s="451"/>
      <c r="G636" s="451"/>
      <c r="H636" s="451"/>
      <c r="I636" s="451"/>
      <c r="J636" s="451"/>
      <c r="K636" s="451"/>
      <c r="L636" s="451"/>
    </row>
    <row r="637" spans="1:15" x14ac:dyDescent="0.3">
      <c r="A637" s="14" t="s">
        <v>66</v>
      </c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 spans="1:15" x14ac:dyDescent="0.3">
      <c r="A638" s="460" t="s">
        <v>362</v>
      </c>
      <c r="B638" s="461"/>
      <c r="C638" s="461"/>
      <c r="D638" s="2"/>
      <c r="E638" s="2"/>
      <c r="F638" s="2"/>
      <c r="G638" s="2"/>
      <c r="H638" s="2"/>
      <c r="I638" s="2"/>
      <c r="J638" s="2"/>
      <c r="K638" s="2"/>
      <c r="L638" s="1"/>
      <c r="M638" s="16"/>
      <c r="N638" s="16"/>
      <c r="O638" s="13"/>
    </row>
    <row r="639" spans="1:15" x14ac:dyDescent="0.3">
      <c r="A639" s="450" t="s">
        <v>1</v>
      </c>
      <c r="B639" s="462" t="s">
        <v>48</v>
      </c>
      <c r="C639" s="462"/>
      <c r="D639" s="450"/>
      <c r="E639" s="450"/>
      <c r="F639" s="450"/>
      <c r="G639" s="450"/>
      <c r="H639" s="450"/>
      <c r="I639" s="450"/>
      <c r="J639" s="450"/>
      <c r="K639" s="450"/>
      <c r="L639" s="451"/>
    </row>
    <row r="640" spans="1:15" x14ac:dyDescent="0.3">
      <c r="A640" s="450" t="s">
        <v>3</v>
      </c>
      <c r="B640" s="462" t="s">
        <v>82</v>
      </c>
      <c r="C640" s="462"/>
      <c r="D640" s="450"/>
      <c r="E640" s="450"/>
      <c r="F640" s="450"/>
      <c r="G640" s="450"/>
      <c r="H640" s="450"/>
      <c r="I640" s="450"/>
      <c r="J640" s="450"/>
      <c r="K640" s="450"/>
      <c r="L640" s="451"/>
    </row>
    <row r="641" spans="1:15" x14ac:dyDescent="0.3">
      <c r="A641" s="450" t="s">
        <v>4</v>
      </c>
      <c r="B641" s="462" t="s">
        <v>83</v>
      </c>
      <c r="C641" s="462"/>
      <c r="D641" s="450"/>
      <c r="E641" s="450"/>
      <c r="F641" s="450"/>
      <c r="G641" s="450"/>
      <c r="H641" s="450"/>
      <c r="I641" s="450"/>
      <c r="J641" s="450"/>
      <c r="K641" s="450"/>
      <c r="L641" s="451"/>
    </row>
    <row r="642" spans="1:15" x14ac:dyDescent="0.3">
      <c r="A642" s="450" t="s">
        <v>5</v>
      </c>
      <c r="B642" s="463">
        <v>3</v>
      </c>
      <c r="C642" s="463"/>
      <c r="D642" s="450"/>
      <c r="E642" s="450"/>
      <c r="F642" s="450"/>
      <c r="G642" s="450"/>
      <c r="H642" s="450"/>
      <c r="I642" s="450"/>
      <c r="J642" s="450"/>
      <c r="K642" s="450"/>
      <c r="L642" s="451"/>
    </row>
    <row r="643" spans="1:15" x14ac:dyDescent="0.3">
      <c r="A643" s="450" t="s">
        <v>6</v>
      </c>
      <c r="B643" s="462" t="s">
        <v>81</v>
      </c>
      <c r="C643" s="462"/>
      <c r="D643" s="450"/>
      <c r="E643" s="450"/>
      <c r="F643" s="450"/>
      <c r="G643" s="450"/>
      <c r="H643" s="450"/>
      <c r="I643" s="450"/>
      <c r="J643" s="450"/>
      <c r="K643" s="450"/>
      <c r="L643" s="451"/>
    </row>
    <row r="644" spans="1:15" x14ac:dyDescent="0.3">
      <c r="A644" s="450" t="s">
        <v>68</v>
      </c>
      <c r="B644" s="462"/>
      <c r="C644" s="462"/>
      <c r="D644" s="450"/>
      <c r="E644" s="450"/>
      <c r="F644" s="450"/>
      <c r="G644" s="450"/>
      <c r="H644" s="450"/>
      <c r="I644" s="450"/>
      <c r="J644" s="450"/>
      <c r="K644" s="450"/>
      <c r="L644" s="451"/>
    </row>
    <row r="645" spans="1:15" x14ac:dyDescent="0.3">
      <c r="A645" s="4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 spans="1:15" ht="49.2" x14ac:dyDescent="0.3">
      <c r="A646" s="452" t="s">
        <v>8</v>
      </c>
      <c r="B646" s="452" t="s">
        <v>9</v>
      </c>
      <c r="C646" s="452" t="s">
        <v>10</v>
      </c>
      <c r="D646" s="452" t="s">
        <v>11</v>
      </c>
      <c r="E646" s="43" t="s">
        <v>12</v>
      </c>
      <c r="F646" s="43" t="s">
        <v>13</v>
      </c>
      <c r="G646" s="43" t="s">
        <v>14</v>
      </c>
      <c r="H646" s="43" t="s">
        <v>208</v>
      </c>
      <c r="I646" s="43" t="s">
        <v>209</v>
      </c>
      <c r="J646" s="43" t="s">
        <v>15</v>
      </c>
      <c r="K646" s="43" t="s">
        <v>16</v>
      </c>
      <c r="L646" s="14" t="s">
        <v>17</v>
      </c>
      <c r="M646" s="14" t="s">
        <v>18</v>
      </c>
      <c r="N646" s="14" t="s">
        <v>19</v>
      </c>
    </row>
    <row r="647" spans="1:15" x14ac:dyDescent="0.3">
      <c r="A647" s="12"/>
      <c r="B647" s="452"/>
      <c r="C647" s="452"/>
      <c r="D647" s="452"/>
      <c r="E647" s="452"/>
      <c r="F647" s="452"/>
      <c r="G647" s="452"/>
      <c r="H647" s="452"/>
      <c r="I647" s="452"/>
      <c r="J647" s="452"/>
      <c r="K647" s="452"/>
      <c r="N647" t="s">
        <v>20</v>
      </c>
      <c r="O647">
        <f>COUNT(G648:G679)</f>
        <v>29</v>
      </c>
    </row>
    <row r="648" spans="1:15" x14ac:dyDescent="0.3">
      <c r="A648" s="12">
        <v>1</v>
      </c>
      <c r="B648" s="45" t="s">
        <v>203</v>
      </c>
      <c r="C648" s="45" t="s">
        <v>92</v>
      </c>
      <c r="D648" s="12" t="s">
        <v>1081</v>
      </c>
      <c r="E648" s="241">
        <v>9</v>
      </c>
      <c r="F648" s="12">
        <v>18</v>
      </c>
      <c r="G648" s="241">
        <f>SUM(E648:F648)</f>
        <v>27</v>
      </c>
      <c r="H648" s="12"/>
      <c r="I648" s="12"/>
      <c r="J648" s="12">
        <v>50</v>
      </c>
      <c r="K648" s="241">
        <f>SUM(G648:J648)</f>
        <v>77</v>
      </c>
      <c r="L648" t="str">
        <f t="shared" ref="L648:L679" si="42">IF(K648&gt;=80,"A",IF(K648&gt;=70,"B+",IF(K648&gt;=60,"B",IF(K648&gt;=55,"C+",IF(K648&gt;=50,"C",IF(K648&gt;=45,"D+",IF(K648&gt;=40,"D","F")))))))</f>
        <v>B+</v>
      </c>
      <c r="M648" t="str">
        <f t="shared" ref="M648:M679" si="43">IF(K648&gt;=50,"Passed","Failed")</f>
        <v>Passed</v>
      </c>
      <c r="N648" t="s">
        <v>21</v>
      </c>
      <c r="O648">
        <f>COUNT(J648:J679)</f>
        <v>29</v>
      </c>
    </row>
    <row r="649" spans="1:15" x14ac:dyDescent="0.3">
      <c r="A649" s="12">
        <v>2</v>
      </c>
      <c r="B649" s="45" t="s">
        <v>145</v>
      </c>
      <c r="C649" s="45" t="s">
        <v>93</v>
      </c>
      <c r="D649" s="12" t="s">
        <v>1097</v>
      </c>
      <c r="E649" s="241">
        <v>8</v>
      </c>
      <c r="F649" s="12">
        <v>20</v>
      </c>
      <c r="G649" s="241">
        <f t="shared" ref="G649:G679" si="44">SUM(E649:F649)</f>
        <v>28</v>
      </c>
      <c r="H649" s="12"/>
      <c r="I649" s="12"/>
      <c r="J649" s="12">
        <v>18</v>
      </c>
      <c r="K649" s="241">
        <f t="shared" ref="K649:K679" si="45">SUM(G649:J649)</f>
        <v>46</v>
      </c>
      <c r="L649" t="str">
        <f t="shared" si="42"/>
        <v>D+</v>
      </c>
      <c r="M649" t="str">
        <f t="shared" si="43"/>
        <v>Failed</v>
      </c>
      <c r="N649" t="s">
        <v>22</v>
      </c>
      <c r="O649">
        <f>O647-O648</f>
        <v>0</v>
      </c>
    </row>
    <row r="650" spans="1:15" x14ac:dyDescent="0.3">
      <c r="A650" s="12">
        <v>3</v>
      </c>
      <c r="B650" s="45" t="s">
        <v>149</v>
      </c>
      <c r="C650" s="45" t="s">
        <v>97</v>
      </c>
      <c r="D650" s="12" t="s">
        <v>1084</v>
      </c>
      <c r="E650" s="241">
        <v>9</v>
      </c>
      <c r="F650" s="12">
        <v>23</v>
      </c>
      <c r="G650" s="241">
        <f t="shared" si="44"/>
        <v>32</v>
      </c>
      <c r="H650" s="12"/>
      <c r="I650" s="12"/>
      <c r="J650" s="12">
        <v>46</v>
      </c>
      <c r="K650" s="241">
        <f t="shared" si="45"/>
        <v>78</v>
      </c>
      <c r="L650" t="str">
        <f t="shared" si="42"/>
        <v>B+</v>
      </c>
      <c r="M650" t="str">
        <f t="shared" si="43"/>
        <v>Passed</v>
      </c>
      <c r="N650" t="s">
        <v>23</v>
      </c>
      <c r="O650">
        <f>COUNTIF(M648:M679,"Passed")</f>
        <v>19</v>
      </c>
    </row>
    <row r="651" spans="1:15" x14ac:dyDescent="0.3">
      <c r="A651" s="50">
        <v>4</v>
      </c>
      <c r="B651" s="45" t="s">
        <v>152</v>
      </c>
      <c r="C651" s="45" t="s">
        <v>100</v>
      </c>
      <c r="D651" s="12" t="s">
        <v>1096</v>
      </c>
      <c r="E651" s="241">
        <v>7.5</v>
      </c>
      <c r="F651" s="12">
        <v>18</v>
      </c>
      <c r="G651" s="241">
        <f t="shared" si="44"/>
        <v>25.5</v>
      </c>
      <c r="H651" s="12"/>
      <c r="I651" s="12"/>
      <c r="J651" s="12">
        <v>30</v>
      </c>
      <c r="K651" s="241">
        <f t="shared" si="45"/>
        <v>55.5</v>
      </c>
      <c r="L651" t="str">
        <f t="shared" si="42"/>
        <v>C+</v>
      </c>
      <c r="M651" t="str">
        <f t="shared" si="43"/>
        <v>Passed</v>
      </c>
      <c r="N651" t="s">
        <v>24</v>
      </c>
      <c r="O651">
        <f>O650/O648%</f>
        <v>65.517241379310349</v>
      </c>
    </row>
    <row r="652" spans="1:15" x14ac:dyDescent="0.3">
      <c r="A652" s="12">
        <v>5</v>
      </c>
      <c r="B652" s="45" t="s">
        <v>156</v>
      </c>
      <c r="C652" s="45" t="s">
        <v>104</v>
      </c>
      <c r="D652" s="12" t="s">
        <v>1087</v>
      </c>
      <c r="E652" s="241">
        <v>9</v>
      </c>
      <c r="F652" s="12">
        <v>21</v>
      </c>
      <c r="G652" s="241">
        <f t="shared" si="44"/>
        <v>30</v>
      </c>
      <c r="H652" s="12"/>
      <c r="I652" s="12"/>
      <c r="J652" s="12">
        <v>51</v>
      </c>
      <c r="K652" s="241">
        <f t="shared" si="45"/>
        <v>81</v>
      </c>
      <c r="L652" t="str">
        <f t="shared" si="42"/>
        <v>A</v>
      </c>
      <c r="M652" t="str">
        <f t="shared" si="43"/>
        <v>Passed</v>
      </c>
      <c r="N652" t="s">
        <v>25</v>
      </c>
      <c r="O652">
        <f>COUNTIF(M648:M679,"failed")</f>
        <v>10</v>
      </c>
    </row>
    <row r="653" spans="1:15" x14ac:dyDescent="0.3">
      <c r="A653" s="12">
        <v>6</v>
      </c>
      <c r="B653" s="45" t="s">
        <v>160</v>
      </c>
      <c r="C653" s="45" t="s">
        <v>109</v>
      </c>
      <c r="D653" s="12" t="s">
        <v>1082</v>
      </c>
      <c r="E653" s="241">
        <v>10</v>
      </c>
      <c r="F653" s="12">
        <v>20</v>
      </c>
      <c r="G653" s="241">
        <f t="shared" si="44"/>
        <v>30</v>
      </c>
      <c r="H653" s="12"/>
      <c r="I653" s="12"/>
      <c r="J653" s="12">
        <v>45</v>
      </c>
      <c r="K653" s="241">
        <f t="shared" si="45"/>
        <v>75</v>
      </c>
      <c r="L653" t="str">
        <f t="shared" si="42"/>
        <v>B+</v>
      </c>
      <c r="M653" t="str">
        <f t="shared" si="43"/>
        <v>Passed</v>
      </c>
      <c r="N653" t="s">
        <v>26</v>
      </c>
      <c r="O653">
        <f>O652/O648%</f>
        <v>34.482758620689658</v>
      </c>
    </row>
    <row r="654" spans="1:15" x14ac:dyDescent="0.3">
      <c r="A654" s="12">
        <v>7</v>
      </c>
      <c r="B654" s="45" t="s">
        <v>207</v>
      </c>
      <c r="C654" s="45" t="s">
        <v>110</v>
      </c>
      <c r="D654" s="12" t="s">
        <v>1360</v>
      </c>
      <c r="E654" s="241"/>
      <c r="F654" s="12"/>
      <c r="G654" s="241"/>
      <c r="H654" s="12"/>
      <c r="I654" s="12"/>
      <c r="J654" s="12"/>
      <c r="K654" s="241"/>
      <c r="N654" t="s">
        <v>27</v>
      </c>
      <c r="O654" s="179">
        <f>AVERAGE(K648:K679)</f>
        <v>57.827586206896555</v>
      </c>
    </row>
    <row r="655" spans="1:15" x14ac:dyDescent="0.3">
      <c r="A655" s="12">
        <v>8</v>
      </c>
      <c r="B655" s="45" t="s">
        <v>163</v>
      </c>
      <c r="C655" s="45" t="s">
        <v>113</v>
      </c>
      <c r="D655" s="12" t="s">
        <v>1076</v>
      </c>
      <c r="E655" s="241">
        <v>9</v>
      </c>
      <c r="F655" s="12">
        <v>22</v>
      </c>
      <c r="G655" s="241">
        <f t="shared" si="44"/>
        <v>31</v>
      </c>
      <c r="H655" s="12"/>
      <c r="I655" s="12"/>
      <c r="J655" s="12">
        <v>38</v>
      </c>
      <c r="K655" s="241">
        <f t="shared" si="45"/>
        <v>69</v>
      </c>
      <c r="L655" t="str">
        <f t="shared" si="42"/>
        <v>B</v>
      </c>
      <c r="M655" t="str">
        <f t="shared" si="43"/>
        <v>Passed</v>
      </c>
    </row>
    <row r="656" spans="1:15" x14ac:dyDescent="0.3">
      <c r="A656" s="12">
        <v>9</v>
      </c>
      <c r="B656" s="45" t="s">
        <v>480</v>
      </c>
      <c r="C656" s="45" t="s">
        <v>115</v>
      </c>
      <c r="D656" s="12" t="s">
        <v>1094</v>
      </c>
      <c r="E656" s="241">
        <v>10</v>
      </c>
      <c r="F656" s="12">
        <v>25</v>
      </c>
      <c r="G656" s="241">
        <f t="shared" si="44"/>
        <v>35</v>
      </c>
      <c r="H656" s="12"/>
      <c r="I656" s="12"/>
      <c r="J656" s="12">
        <v>48</v>
      </c>
      <c r="K656" s="241">
        <f t="shared" si="45"/>
        <v>83</v>
      </c>
      <c r="L656" t="str">
        <f t="shared" si="42"/>
        <v>A</v>
      </c>
      <c r="M656" t="str">
        <f t="shared" si="43"/>
        <v>Passed</v>
      </c>
    </row>
    <row r="657" spans="1:22" x14ac:dyDescent="0.3">
      <c r="A657" s="12">
        <v>10</v>
      </c>
      <c r="B657" s="45" t="s">
        <v>200</v>
      </c>
      <c r="C657" s="45" t="s">
        <v>119</v>
      </c>
      <c r="D657" s="12" t="s">
        <v>1089</v>
      </c>
      <c r="E657" s="241">
        <v>8</v>
      </c>
      <c r="F657" s="12">
        <v>16</v>
      </c>
      <c r="G657" s="241">
        <f t="shared" si="44"/>
        <v>24</v>
      </c>
      <c r="H657" s="12"/>
      <c r="I657" s="12"/>
      <c r="J657" s="12">
        <v>10</v>
      </c>
      <c r="K657" s="241">
        <f t="shared" si="45"/>
        <v>34</v>
      </c>
      <c r="L657" t="str">
        <f t="shared" si="42"/>
        <v>F</v>
      </c>
      <c r="M657" t="str">
        <f t="shared" si="43"/>
        <v>Failed</v>
      </c>
    </row>
    <row r="658" spans="1:22" x14ac:dyDescent="0.3">
      <c r="A658" s="12">
        <v>11</v>
      </c>
      <c r="B658" s="45" t="s">
        <v>205</v>
      </c>
      <c r="C658" s="45" t="s">
        <v>120</v>
      </c>
      <c r="D658" s="12" t="s">
        <v>1360</v>
      </c>
      <c r="E658" s="241"/>
      <c r="F658" s="12"/>
      <c r="G658" s="241"/>
      <c r="H658" s="12"/>
      <c r="I658" s="12"/>
      <c r="J658" s="12"/>
      <c r="K658" s="241"/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 t="s">
        <v>33</v>
      </c>
      <c r="U658" t="s">
        <v>34</v>
      </c>
      <c r="V658" t="s">
        <v>35</v>
      </c>
    </row>
    <row r="659" spans="1:22" x14ac:dyDescent="0.3">
      <c r="A659" s="12">
        <v>12</v>
      </c>
      <c r="B659" s="45" t="s">
        <v>168</v>
      </c>
      <c r="C659" s="45" t="s">
        <v>121</v>
      </c>
      <c r="D659" s="12" t="s">
        <v>1077</v>
      </c>
      <c r="E659" s="241">
        <v>8</v>
      </c>
      <c r="F659" s="12">
        <v>15</v>
      </c>
      <c r="G659" s="241">
        <f t="shared" si="44"/>
        <v>23</v>
      </c>
      <c r="H659" s="12"/>
      <c r="I659" s="12"/>
      <c r="J659" s="12">
        <v>16</v>
      </c>
      <c r="K659" s="241">
        <f t="shared" si="45"/>
        <v>39</v>
      </c>
      <c r="L659" t="str">
        <f t="shared" si="42"/>
        <v>F</v>
      </c>
      <c r="M659" t="str">
        <f t="shared" si="43"/>
        <v>Failed</v>
      </c>
      <c r="O659">
        <f>COUNTIF(L648:L679,"A")</f>
        <v>3</v>
      </c>
      <c r="P659">
        <f>COUNTIF(L648:L679,"B+")</f>
        <v>6</v>
      </c>
      <c r="Q659">
        <f>COUNTIF(L648:L679,"B")</f>
        <v>4</v>
      </c>
      <c r="R659">
        <f>COUNTIF(L648:L679,"C+")</f>
        <v>5</v>
      </c>
      <c r="S659">
        <f>COUNTIF(L648:L679,"C")</f>
        <v>1</v>
      </c>
      <c r="T659">
        <f>COUNTIF(L648:L679,"D+")</f>
        <v>1</v>
      </c>
      <c r="U659">
        <f>COUNTIF(L648:L679,"D")</f>
        <v>3</v>
      </c>
      <c r="V659">
        <f>COUNTIF(L648:L679,"F")</f>
        <v>6</v>
      </c>
    </row>
    <row r="660" spans="1:22" x14ac:dyDescent="0.3">
      <c r="A660" s="12">
        <v>13</v>
      </c>
      <c r="B660" s="45" t="s">
        <v>170</v>
      </c>
      <c r="C660" s="45" t="s">
        <v>124</v>
      </c>
      <c r="D660" s="12" t="s">
        <v>1069</v>
      </c>
      <c r="E660" s="12">
        <v>8</v>
      </c>
      <c r="F660" s="12">
        <v>18</v>
      </c>
      <c r="G660" s="241">
        <f t="shared" si="44"/>
        <v>26</v>
      </c>
      <c r="H660" s="12"/>
      <c r="I660" s="12"/>
      <c r="J660" s="12">
        <v>45</v>
      </c>
      <c r="K660" s="241">
        <f t="shared" si="45"/>
        <v>71</v>
      </c>
      <c r="L660" t="str">
        <f t="shared" si="42"/>
        <v>B+</v>
      </c>
      <c r="M660" t="str">
        <f t="shared" si="43"/>
        <v>Passed</v>
      </c>
    </row>
    <row r="661" spans="1:22" x14ac:dyDescent="0.3">
      <c r="A661" s="12">
        <v>14</v>
      </c>
      <c r="B661" s="45" t="s">
        <v>172</v>
      </c>
      <c r="C661" s="45" t="s">
        <v>126</v>
      </c>
      <c r="D661" s="12" t="s">
        <v>1088</v>
      </c>
      <c r="E661" s="12">
        <v>8</v>
      </c>
      <c r="F661" s="12">
        <v>15</v>
      </c>
      <c r="G661" s="241">
        <f t="shared" si="44"/>
        <v>23</v>
      </c>
      <c r="H661" s="12"/>
      <c r="I661" s="12"/>
      <c r="J661" s="12">
        <v>14</v>
      </c>
      <c r="K661" s="241">
        <f t="shared" si="45"/>
        <v>37</v>
      </c>
      <c r="L661" t="str">
        <f t="shared" si="42"/>
        <v>F</v>
      </c>
      <c r="M661" t="str">
        <f t="shared" si="43"/>
        <v>Failed</v>
      </c>
    </row>
    <row r="662" spans="1:22" x14ac:dyDescent="0.3">
      <c r="A662" s="12">
        <v>15</v>
      </c>
      <c r="B662" s="45" t="s">
        <v>173</v>
      </c>
      <c r="C662" s="45" t="s">
        <v>127</v>
      </c>
      <c r="D662" s="12" t="s">
        <v>1090</v>
      </c>
      <c r="E662" s="12">
        <v>9</v>
      </c>
      <c r="F662" s="12">
        <v>19</v>
      </c>
      <c r="G662" s="241">
        <f t="shared" si="44"/>
        <v>28</v>
      </c>
      <c r="H662" s="12"/>
      <c r="I662" s="12"/>
      <c r="J662" s="12">
        <v>40</v>
      </c>
      <c r="K662" s="241">
        <f t="shared" si="45"/>
        <v>68</v>
      </c>
      <c r="L662" t="str">
        <f t="shared" si="42"/>
        <v>B</v>
      </c>
      <c r="M662" t="str">
        <f t="shared" si="43"/>
        <v>Passed</v>
      </c>
    </row>
    <row r="663" spans="1:22" x14ac:dyDescent="0.3">
      <c r="A663" s="12">
        <v>16</v>
      </c>
      <c r="B663" s="45" t="s">
        <v>175</v>
      </c>
      <c r="C663" s="45" t="s">
        <v>131</v>
      </c>
      <c r="D663" s="12" t="s">
        <v>1071</v>
      </c>
      <c r="E663" s="12">
        <v>9</v>
      </c>
      <c r="F663" s="12">
        <v>23</v>
      </c>
      <c r="G663" s="241">
        <f t="shared" si="44"/>
        <v>32</v>
      </c>
      <c r="H663" s="12"/>
      <c r="I663" s="12"/>
      <c r="J663" s="12">
        <v>47</v>
      </c>
      <c r="K663" s="241">
        <f t="shared" si="45"/>
        <v>79</v>
      </c>
      <c r="L663" t="str">
        <f t="shared" si="42"/>
        <v>B+</v>
      </c>
      <c r="M663" t="str">
        <f t="shared" si="43"/>
        <v>Passed</v>
      </c>
    </row>
    <row r="664" spans="1:22" x14ac:dyDescent="0.3">
      <c r="A664" s="12">
        <v>17</v>
      </c>
      <c r="B664" s="277" t="s">
        <v>178</v>
      </c>
      <c r="C664" s="45" t="s">
        <v>133</v>
      </c>
      <c r="D664" s="12" t="s">
        <v>1072</v>
      </c>
      <c r="E664" s="12">
        <v>8</v>
      </c>
      <c r="F664" s="12">
        <v>18</v>
      </c>
      <c r="G664" s="241">
        <f t="shared" si="44"/>
        <v>26</v>
      </c>
      <c r="H664" s="12"/>
      <c r="I664" s="12"/>
      <c r="J664" s="12">
        <v>44</v>
      </c>
      <c r="K664" s="241">
        <f t="shared" si="45"/>
        <v>70</v>
      </c>
      <c r="L664" t="str">
        <f t="shared" si="42"/>
        <v>B+</v>
      </c>
      <c r="M664" t="str">
        <f t="shared" si="43"/>
        <v>Passed</v>
      </c>
    </row>
    <row r="665" spans="1:22" x14ac:dyDescent="0.3">
      <c r="A665" s="12">
        <v>18</v>
      </c>
      <c r="B665" s="45" t="s">
        <v>534</v>
      </c>
      <c r="C665" s="303" t="s">
        <v>363</v>
      </c>
      <c r="D665" s="12" t="s">
        <v>1095</v>
      </c>
      <c r="E665" s="12">
        <v>8</v>
      </c>
      <c r="F665" s="12">
        <v>24</v>
      </c>
      <c r="G665" s="241">
        <f t="shared" si="44"/>
        <v>32</v>
      </c>
      <c r="H665" s="12"/>
      <c r="I665" s="12"/>
      <c r="J665" s="12">
        <v>3</v>
      </c>
      <c r="K665" s="241">
        <f t="shared" si="45"/>
        <v>35</v>
      </c>
      <c r="L665" t="str">
        <f t="shared" si="42"/>
        <v>F</v>
      </c>
      <c r="M665" t="str">
        <f t="shared" si="43"/>
        <v>Failed</v>
      </c>
    </row>
    <row r="666" spans="1:22" x14ac:dyDescent="0.3">
      <c r="A666" s="12">
        <v>19</v>
      </c>
      <c r="B666" s="389" t="s">
        <v>144</v>
      </c>
      <c r="C666" s="304" t="s">
        <v>137</v>
      </c>
      <c r="D666" s="12" t="s">
        <v>1083</v>
      </c>
      <c r="E666" s="12">
        <v>5</v>
      </c>
      <c r="F666" s="12">
        <v>11</v>
      </c>
      <c r="G666" s="241">
        <f t="shared" si="44"/>
        <v>16</v>
      </c>
      <c r="H666" s="12"/>
      <c r="I666" s="12"/>
      <c r="J666" s="12">
        <v>22</v>
      </c>
      <c r="K666" s="241">
        <f t="shared" si="45"/>
        <v>38</v>
      </c>
      <c r="L666" t="str">
        <f t="shared" si="42"/>
        <v>F</v>
      </c>
      <c r="M666" t="str">
        <f t="shared" si="43"/>
        <v>Failed</v>
      </c>
    </row>
    <row r="667" spans="1:22" x14ac:dyDescent="0.3">
      <c r="A667" s="12">
        <v>20</v>
      </c>
      <c r="B667" s="390" t="s">
        <v>204</v>
      </c>
      <c r="C667" s="390" t="s">
        <v>138</v>
      </c>
      <c r="D667" s="12" t="s">
        <v>1080</v>
      </c>
      <c r="E667" s="12">
        <v>8</v>
      </c>
      <c r="F667" s="12">
        <v>18</v>
      </c>
      <c r="G667" s="241">
        <f t="shared" si="44"/>
        <v>26</v>
      </c>
      <c r="H667" s="12"/>
      <c r="I667" s="12"/>
      <c r="J667" s="12">
        <v>30</v>
      </c>
      <c r="K667" s="241">
        <f t="shared" si="45"/>
        <v>56</v>
      </c>
      <c r="L667" t="str">
        <f t="shared" si="42"/>
        <v>C+</v>
      </c>
      <c r="M667" t="str">
        <f t="shared" si="43"/>
        <v>Passed</v>
      </c>
    </row>
    <row r="668" spans="1:22" x14ac:dyDescent="0.3">
      <c r="A668" s="12">
        <v>21</v>
      </c>
      <c r="B668" s="305" t="s">
        <v>181</v>
      </c>
      <c r="C668" s="45" t="s">
        <v>139</v>
      </c>
      <c r="D668" s="12" t="s">
        <v>1070</v>
      </c>
      <c r="E668" s="12">
        <v>9</v>
      </c>
      <c r="F668" s="12">
        <v>18</v>
      </c>
      <c r="G668" s="241">
        <f t="shared" si="44"/>
        <v>27</v>
      </c>
      <c r="H668" s="12"/>
      <c r="I668" s="12"/>
      <c r="J668" s="12">
        <v>23</v>
      </c>
      <c r="K668" s="241">
        <f t="shared" si="45"/>
        <v>50</v>
      </c>
      <c r="L668" t="str">
        <f t="shared" si="42"/>
        <v>C</v>
      </c>
      <c r="M668" t="str">
        <f t="shared" si="43"/>
        <v>Passed</v>
      </c>
    </row>
    <row r="669" spans="1:22" x14ac:dyDescent="0.3">
      <c r="A669" s="12">
        <v>22</v>
      </c>
      <c r="B669" s="391" t="s">
        <v>201</v>
      </c>
      <c r="C669" s="45" t="s">
        <v>141</v>
      </c>
      <c r="D669" s="12" t="s">
        <v>1086</v>
      </c>
      <c r="E669" s="12">
        <v>8</v>
      </c>
      <c r="F669" s="12">
        <v>19</v>
      </c>
      <c r="G669" s="241">
        <f t="shared" si="44"/>
        <v>27</v>
      </c>
      <c r="H669" s="12"/>
      <c r="I669" s="12"/>
      <c r="J669" s="12">
        <v>33</v>
      </c>
      <c r="K669" s="241">
        <f t="shared" si="45"/>
        <v>60</v>
      </c>
      <c r="L669" t="str">
        <f t="shared" si="42"/>
        <v>B</v>
      </c>
      <c r="M669" t="str">
        <f t="shared" si="43"/>
        <v>Passed</v>
      </c>
    </row>
    <row r="670" spans="1:22" x14ac:dyDescent="0.3">
      <c r="A670" s="12">
        <v>23</v>
      </c>
      <c r="B670" s="45" t="s">
        <v>176</v>
      </c>
      <c r="C670" s="45" t="s">
        <v>481</v>
      </c>
      <c r="D670" s="12" t="s">
        <v>1085</v>
      </c>
      <c r="E670" s="12">
        <v>8</v>
      </c>
      <c r="F670" s="12">
        <v>13</v>
      </c>
      <c r="G670" s="241">
        <f t="shared" si="44"/>
        <v>21</v>
      </c>
      <c r="H670" s="12"/>
      <c r="I670" s="12"/>
      <c r="J670" s="12">
        <v>36</v>
      </c>
      <c r="K670" s="241">
        <f t="shared" si="45"/>
        <v>57</v>
      </c>
      <c r="L670" t="str">
        <f t="shared" si="42"/>
        <v>C+</v>
      </c>
      <c r="M670" t="str">
        <f t="shared" si="43"/>
        <v>Passed</v>
      </c>
    </row>
    <row r="671" spans="1:22" x14ac:dyDescent="0.3">
      <c r="A671" s="12">
        <v>24</v>
      </c>
      <c r="B671" s="12" t="s">
        <v>148</v>
      </c>
      <c r="C671" s="12" t="s">
        <v>96</v>
      </c>
      <c r="D671" s="12" t="s">
        <v>1074</v>
      </c>
      <c r="E671" s="12">
        <v>8</v>
      </c>
      <c r="F671" s="12">
        <v>17</v>
      </c>
      <c r="G671" s="241">
        <f t="shared" si="44"/>
        <v>25</v>
      </c>
      <c r="H671" s="12"/>
      <c r="I671" s="12"/>
      <c r="J671" s="12">
        <v>18</v>
      </c>
      <c r="K671" s="241">
        <f t="shared" si="45"/>
        <v>43</v>
      </c>
      <c r="L671" t="str">
        <f t="shared" si="42"/>
        <v>D</v>
      </c>
      <c r="M671" t="str">
        <f t="shared" si="43"/>
        <v>Failed</v>
      </c>
    </row>
    <row r="672" spans="1:22" x14ac:dyDescent="0.3">
      <c r="A672" s="12">
        <v>25</v>
      </c>
      <c r="B672" s="12" t="s">
        <v>153</v>
      </c>
      <c r="C672" s="12" t="s">
        <v>101</v>
      </c>
      <c r="D672" s="12" t="s">
        <v>1073</v>
      </c>
      <c r="E672" s="12">
        <v>7.5</v>
      </c>
      <c r="F672" s="12">
        <v>21</v>
      </c>
      <c r="G672" s="241">
        <f t="shared" si="44"/>
        <v>28.5</v>
      </c>
      <c r="H672" s="12"/>
      <c r="I672" s="12"/>
      <c r="J672" s="12">
        <v>31</v>
      </c>
      <c r="K672" s="241">
        <f t="shared" si="45"/>
        <v>59.5</v>
      </c>
      <c r="L672" t="str">
        <f t="shared" si="42"/>
        <v>C+</v>
      </c>
      <c r="M672" t="str">
        <f t="shared" si="43"/>
        <v>Passed</v>
      </c>
    </row>
    <row r="673" spans="1:13" x14ac:dyDescent="0.3">
      <c r="A673" s="12">
        <v>26</v>
      </c>
      <c r="B673" s="12" t="s">
        <v>154</v>
      </c>
      <c r="C673" s="12" t="s">
        <v>102</v>
      </c>
      <c r="D673" s="12" t="s">
        <v>1092</v>
      </c>
      <c r="E673" s="12">
        <v>7.5</v>
      </c>
      <c r="F673" s="12">
        <v>11</v>
      </c>
      <c r="G673" s="241">
        <f t="shared" si="44"/>
        <v>18.5</v>
      </c>
      <c r="H673" s="12"/>
      <c r="I673" s="12"/>
      <c r="J673" s="12">
        <v>10</v>
      </c>
      <c r="K673" s="241">
        <f t="shared" si="45"/>
        <v>28.5</v>
      </c>
      <c r="L673" t="str">
        <f t="shared" si="42"/>
        <v>F</v>
      </c>
      <c r="M673" t="str">
        <f t="shared" si="43"/>
        <v>Failed</v>
      </c>
    </row>
    <row r="674" spans="1:13" x14ac:dyDescent="0.3">
      <c r="A674" s="12">
        <v>27</v>
      </c>
      <c r="B674" s="12" t="s">
        <v>162</v>
      </c>
      <c r="C674" s="12" t="s">
        <v>112</v>
      </c>
      <c r="D674" s="12" t="s">
        <v>1075</v>
      </c>
      <c r="E674" s="12">
        <v>7.5</v>
      </c>
      <c r="F674" s="12">
        <v>18</v>
      </c>
      <c r="G674" s="241">
        <f t="shared" si="44"/>
        <v>25.5</v>
      </c>
      <c r="H674" s="12"/>
      <c r="I674" s="12"/>
      <c r="J674" s="12">
        <v>15</v>
      </c>
      <c r="K674" s="241">
        <f t="shared" si="45"/>
        <v>40.5</v>
      </c>
      <c r="L674" t="str">
        <f t="shared" si="42"/>
        <v>D</v>
      </c>
      <c r="M674" t="str">
        <f t="shared" si="43"/>
        <v>Failed</v>
      </c>
    </row>
    <row r="675" spans="1:13" x14ac:dyDescent="0.3">
      <c r="A675" s="12">
        <v>28</v>
      </c>
      <c r="B675" s="12" t="s">
        <v>164</v>
      </c>
      <c r="C675" s="12" t="s">
        <v>114</v>
      </c>
      <c r="D675" s="12" t="s">
        <v>1078</v>
      </c>
      <c r="E675" s="12">
        <v>8</v>
      </c>
      <c r="F675" s="12">
        <v>17</v>
      </c>
      <c r="G675" s="241">
        <f t="shared" si="44"/>
        <v>25</v>
      </c>
      <c r="H675" s="12"/>
      <c r="I675" s="12"/>
      <c r="J675" s="12">
        <v>15</v>
      </c>
      <c r="K675" s="241">
        <f t="shared" si="45"/>
        <v>40</v>
      </c>
      <c r="L675" t="str">
        <f t="shared" si="42"/>
        <v>D</v>
      </c>
      <c r="M675" t="str">
        <f t="shared" si="43"/>
        <v>Failed</v>
      </c>
    </row>
    <row r="676" spans="1:13" x14ac:dyDescent="0.3">
      <c r="A676" s="12">
        <v>29</v>
      </c>
      <c r="B676" s="60" t="s">
        <v>165</v>
      </c>
      <c r="C676" s="12" t="s">
        <v>116</v>
      </c>
      <c r="D676" s="12" t="s">
        <v>1091</v>
      </c>
      <c r="E676" s="12">
        <v>10</v>
      </c>
      <c r="F676" s="12">
        <v>22</v>
      </c>
      <c r="G676" s="241">
        <f t="shared" si="44"/>
        <v>32</v>
      </c>
      <c r="H676" s="12"/>
      <c r="I676" s="12"/>
      <c r="J676" s="12">
        <v>48</v>
      </c>
      <c r="K676" s="241">
        <f t="shared" si="45"/>
        <v>80</v>
      </c>
      <c r="L676" t="str">
        <f t="shared" si="42"/>
        <v>A</v>
      </c>
      <c r="M676" t="str">
        <f t="shared" si="43"/>
        <v>Passed</v>
      </c>
    </row>
    <row r="677" spans="1:13" x14ac:dyDescent="0.3">
      <c r="A677" s="12">
        <v>30</v>
      </c>
      <c r="B677" s="12" t="s">
        <v>206</v>
      </c>
      <c r="C677" s="12" t="s">
        <v>123</v>
      </c>
      <c r="D677" s="12" t="s">
        <v>1079</v>
      </c>
      <c r="E677" s="12">
        <v>8</v>
      </c>
      <c r="F677" s="12">
        <v>13</v>
      </c>
      <c r="G677" s="241">
        <f t="shared" si="44"/>
        <v>21</v>
      </c>
      <c r="H677" s="12"/>
      <c r="I677" s="12"/>
      <c r="J677" s="12">
        <v>38</v>
      </c>
      <c r="K677" s="241">
        <f t="shared" si="45"/>
        <v>59</v>
      </c>
      <c r="L677" t="str">
        <f t="shared" si="42"/>
        <v>C+</v>
      </c>
      <c r="M677" t="str">
        <f t="shared" si="43"/>
        <v>Passed</v>
      </c>
    </row>
    <row r="678" spans="1:13" x14ac:dyDescent="0.3">
      <c r="A678" s="12">
        <v>31</v>
      </c>
      <c r="B678" s="12" t="s">
        <v>202</v>
      </c>
      <c r="C678" s="12" t="s">
        <v>135</v>
      </c>
      <c r="D678" s="12" t="s">
        <v>1360</v>
      </c>
      <c r="E678" s="12"/>
      <c r="F678" s="12"/>
      <c r="G678" s="241"/>
      <c r="H678" s="12"/>
      <c r="I678" s="12"/>
      <c r="J678" s="12"/>
      <c r="K678" s="241"/>
    </row>
    <row r="679" spans="1:13" x14ac:dyDescent="0.3">
      <c r="A679" s="12">
        <v>32</v>
      </c>
      <c r="B679" s="12" t="s">
        <v>1249</v>
      </c>
      <c r="C679" s="12" t="s">
        <v>422</v>
      </c>
      <c r="D679" s="12" t="s">
        <v>1093</v>
      </c>
      <c r="E679" s="12">
        <v>8</v>
      </c>
      <c r="F679" s="12">
        <v>20</v>
      </c>
      <c r="G679" s="241">
        <f t="shared" si="44"/>
        <v>28</v>
      </c>
      <c r="H679" s="12"/>
      <c r="I679" s="12"/>
      <c r="J679" s="12">
        <v>40</v>
      </c>
      <c r="K679" s="241">
        <f t="shared" si="45"/>
        <v>68</v>
      </c>
      <c r="L679" t="str">
        <f t="shared" si="42"/>
        <v>B</v>
      </c>
      <c r="M679" t="str">
        <f t="shared" si="43"/>
        <v>Passed</v>
      </c>
    </row>
    <row r="688" spans="1:13" x14ac:dyDescent="0.3">
      <c r="A688" s="450" t="s">
        <v>0</v>
      </c>
      <c r="B688" s="451"/>
      <c r="C688" s="451"/>
      <c r="D688" s="451"/>
      <c r="E688" s="451"/>
      <c r="F688" s="451"/>
      <c r="G688" s="451"/>
      <c r="H688" s="451"/>
      <c r="I688" s="451"/>
      <c r="J688" s="451"/>
      <c r="K688" s="451"/>
      <c r="L688" s="451"/>
    </row>
    <row r="689" spans="1:15" x14ac:dyDescent="0.3">
      <c r="A689" s="453" t="s">
        <v>66</v>
      </c>
      <c r="B689" s="453"/>
      <c r="C689" s="453"/>
      <c r="D689" s="453"/>
      <c r="E689" s="453"/>
      <c r="F689" s="453"/>
      <c r="G689" s="453"/>
      <c r="H689" s="48"/>
      <c r="I689" s="48"/>
    </row>
    <row r="690" spans="1:15" x14ac:dyDescent="0.3">
      <c r="A690" s="460" t="s">
        <v>362</v>
      </c>
      <c r="B690" s="461"/>
      <c r="C690" s="461"/>
      <c r="D690" s="2"/>
      <c r="E690" s="2"/>
      <c r="F690" s="2"/>
      <c r="G690" s="2"/>
      <c r="H690" s="2"/>
      <c r="I690" s="2"/>
      <c r="J690" s="2"/>
      <c r="K690" s="2"/>
      <c r="L690" s="1"/>
      <c r="M690" s="16"/>
      <c r="N690" s="16"/>
      <c r="O690" s="13"/>
    </row>
    <row r="691" spans="1:15" x14ac:dyDescent="0.3">
      <c r="A691" s="450" t="s">
        <v>1</v>
      </c>
      <c r="B691" s="462" t="s">
        <v>38</v>
      </c>
      <c r="C691" s="462"/>
      <c r="D691" s="450"/>
      <c r="E691" s="450"/>
      <c r="F691" s="450"/>
      <c r="G691" s="450"/>
      <c r="H691" s="48"/>
      <c r="I691" s="48"/>
    </row>
    <row r="692" spans="1:15" x14ac:dyDescent="0.3">
      <c r="A692" s="450" t="s">
        <v>3</v>
      </c>
      <c r="B692" s="462" t="s">
        <v>84</v>
      </c>
      <c r="C692" s="462"/>
      <c r="D692" s="450"/>
      <c r="E692" s="450"/>
      <c r="F692" s="450"/>
      <c r="G692" s="450"/>
      <c r="H692" s="48"/>
      <c r="I692" s="48"/>
    </row>
    <row r="693" spans="1:15" x14ac:dyDescent="0.3">
      <c r="A693" s="450" t="s">
        <v>4</v>
      </c>
      <c r="B693" s="462" t="s">
        <v>85</v>
      </c>
      <c r="C693" s="462"/>
      <c r="D693" s="450"/>
      <c r="E693" s="450"/>
      <c r="F693" s="450"/>
      <c r="G693" s="450"/>
      <c r="H693" s="48"/>
      <c r="I693" s="48"/>
    </row>
    <row r="694" spans="1:15" x14ac:dyDescent="0.3">
      <c r="A694" s="450" t="s">
        <v>5</v>
      </c>
      <c r="B694" s="463">
        <v>3</v>
      </c>
      <c r="C694" s="463"/>
      <c r="D694" s="450"/>
      <c r="E694" s="450"/>
      <c r="F694" s="450"/>
      <c r="G694" s="450"/>
      <c r="H694" s="48"/>
      <c r="I694" s="48"/>
    </row>
    <row r="695" spans="1:15" x14ac:dyDescent="0.3">
      <c r="A695" s="450" t="s">
        <v>6</v>
      </c>
      <c r="B695" s="462" t="s">
        <v>43</v>
      </c>
      <c r="C695" s="462"/>
      <c r="D695" s="449"/>
      <c r="E695" s="450"/>
      <c r="F695" s="450"/>
      <c r="G695" s="450"/>
      <c r="H695" s="48"/>
      <c r="I695" s="48"/>
    </row>
    <row r="696" spans="1:15" x14ac:dyDescent="0.3">
      <c r="A696" s="14" t="s">
        <v>68</v>
      </c>
      <c r="B696" s="462" t="s">
        <v>540</v>
      </c>
      <c r="C696" s="462"/>
      <c r="D696" s="450"/>
      <c r="E696" s="450"/>
      <c r="F696" s="450"/>
      <c r="G696" s="450"/>
      <c r="H696" s="48"/>
      <c r="I696" s="48"/>
    </row>
    <row r="697" spans="1:15" x14ac:dyDescent="0.3">
      <c r="A697" s="452"/>
      <c r="B697" s="14"/>
      <c r="C697" s="450"/>
      <c r="D697" s="14"/>
      <c r="E697" s="14"/>
      <c r="F697" s="14"/>
      <c r="G697" s="14"/>
      <c r="H697" s="14"/>
      <c r="I697" s="14"/>
    </row>
    <row r="698" spans="1:15" ht="60" x14ac:dyDescent="0.3">
      <c r="A698" s="452" t="s">
        <v>8</v>
      </c>
      <c r="B698" s="452" t="s">
        <v>9</v>
      </c>
      <c r="C698" s="452" t="s">
        <v>10</v>
      </c>
      <c r="D698" s="43" t="s">
        <v>11</v>
      </c>
      <c r="E698" s="51" t="s">
        <v>12</v>
      </c>
      <c r="F698" s="51" t="s">
        <v>13</v>
      </c>
      <c r="G698" s="51" t="s">
        <v>14</v>
      </c>
      <c r="H698" s="51" t="s">
        <v>208</v>
      </c>
      <c r="I698" s="51" t="s">
        <v>209</v>
      </c>
      <c r="J698" s="51" t="s">
        <v>15</v>
      </c>
      <c r="K698" s="51" t="s">
        <v>16</v>
      </c>
      <c r="L698" s="14" t="s">
        <v>17</v>
      </c>
      <c r="M698" s="14" t="s">
        <v>18</v>
      </c>
      <c r="N698" s="14" t="s">
        <v>19</v>
      </c>
    </row>
    <row r="699" spans="1:15" x14ac:dyDescent="0.3">
      <c r="A699" s="12"/>
      <c r="B699" s="452"/>
      <c r="C699" s="452"/>
      <c r="D699" s="452"/>
      <c r="E699" s="452"/>
      <c r="F699" s="452"/>
      <c r="G699" s="452"/>
      <c r="H699" s="452"/>
      <c r="I699" s="452"/>
      <c r="J699" s="12"/>
      <c r="K699" s="12"/>
      <c r="N699" t="s">
        <v>20</v>
      </c>
      <c r="O699">
        <f>COUNT(G700:G731)</f>
        <v>29</v>
      </c>
    </row>
    <row r="700" spans="1:15" x14ac:dyDescent="0.3">
      <c r="A700" s="12">
        <v>1</v>
      </c>
      <c r="B700" s="45" t="s">
        <v>203</v>
      </c>
      <c r="C700" s="45" t="s">
        <v>92</v>
      </c>
      <c r="D700" s="12" t="s">
        <v>1277</v>
      </c>
      <c r="E700" s="12">
        <v>10</v>
      </c>
      <c r="F700" s="12">
        <v>21</v>
      </c>
      <c r="G700" s="12">
        <f>SUM(E700:F700)</f>
        <v>31</v>
      </c>
      <c r="H700" s="12"/>
      <c r="I700" s="12"/>
      <c r="J700" s="12">
        <v>39</v>
      </c>
      <c r="K700" s="12">
        <f>SUM(G700:J700)</f>
        <v>70</v>
      </c>
      <c r="L700" t="str">
        <f t="shared" ref="L700:L731" si="46">IF(K700&gt;=80,"A",IF(K700&gt;=70,"B+",IF(K700&gt;=60,"B",IF(K700&gt;=55,"C+",IF(K700&gt;=50,"C",IF(K700&gt;=45,"D+",IF(K700&gt;=40,"D","F")))))))</f>
        <v>B+</v>
      </c>
      <c r="M700" t="str">
        <f t="shared" ref="M700:M731" si="47">IF(K700&gt;=50,"Passed","Failed")</f>
        <v>Passed</v>
      </c>
      <c r="N700" t="s">
        <v>21</v>
      </c>
      <c r="O700">
        <f>COUNT(J700:J731)</f>
        <v>28</v>
      </c>
    </row>
    <row r="701" spans="1:15" x14ac:dyDescent="0.3">
      <c r="A701" s="12">
        <v>2</v>
      </c>
      <c r="B701" s="45" t="s">
        <v>145</v>
      </c>
      <c r="C701" s="45" t="s">
        <v>93</v>
      </c>
      <c r="D701" s="12" t="s">
        <v>1297</v>
      </c>
      <c r="E701" s="12">
        <v>8</v>
      </c>
      <c r="F701" s="12">
        <v>15</v>
      </c>
      <c r="G701" s="12">
        <f t="shared" ref="G701:G731" si="48">SUM(E701:F701)</f>
        <v>23</v>
      </c>
      <c r="H701" s="12"/>
      <c r="I701" s="12"/>
      <c r="J701" s="12">
        <v>11</v>
      </c>
      <c r="K701" s="12">
        <f t="shared" ref="K701:K731" si="49">SUM(G701:J701)</f>
        <v>34</v>
      </c>
      <c r="L701" t="str">
        <f t="shared" si="46"/>
        <v>F</v>
      </c>
      <c r="M701" t="str">
        <f t="shared" si="47"/>
        <v>Failed</v>
      </c>
      <c r="N701" t="s">
        <v>22</v>
      </c>
      <c r="O701">
        <f>O699-O700</f>
        <v>1</v>
      </c>
    </row>
    <row r="702" spans="1:15" x14ac:dyDescent="0.3">
      <c r="A702" s="12">
        <v>3</v>
      </c>
      <c r="B702" s="45" t="s">
        <v>149</v>
      </c>
      <c r="C702" s="45" t="s">
        <v>97</v>
      </c>
      <c r="D702" s="12" t="s">
        <v>1286</v>
      </c>
      <c r="E702" s="12">
        <v>10</v>
      </c>
      <c r="F702" s="12">
        <v>25</v>
      </c>
      <c r="G702" s="12">
        <f t="shared" si="48"/>
        <v>35</v>
      </c>
      <c r="H702" s="12"/>
      <c r="I702" s="12"/>
      <c r="J702" s="12">
        <v>40</v>
      </c>
      <c r="K702" s="12">
        <f t="shared" si="49"/>
        <v>75</v>
      </c>
      <c r="L702" t="str">
        <f t="shared" si="46"/>
        <v>B+</v>
      </c>
      <c r="M702" t="str">
        <f t="shared" si="47"/>
        <v>Passed</v>
      </c>
      <c r="N702" t="s">
        <v>23</v>
      </c>
      <c r="O702">
        <f>COUNTIF(M700:M731,"Passed")</f>
        <v>21</v>
      </c>
    </row>
    <row r="703" spans="1:15" x14ac:dyDescent="0.3">
      <c r="A703" s="12">
        <v>4</v>
      </c>
      <c r="B703" s="45" t="s">
        <v>152</v>
      </c>
      <c r="C703" s="45" t="s">
        <v>100</v>
      </c>
      <c r="D703" s="12" t="s">
        <v>1285</v>
      </c>
      <c r="E703" s="12">
        <v>9</v>
      </c>
      <c r="F703" s="12">
        <v>16</v>
      </c>
      <c r="G703" s="12">
        <f t="shared" si="48"/>
        <v>25</v>
      </c>
      <c r="H703" s="12"/>
      <c r="I703" s="12"/>
      <c r="J703" s="12">
        <v>18</v>
      </c>
      <c r="K703" s="12">
        <f t="shared" si="49"/>
        <v>43</v>
      </c>
      <c r="L703" t="str">
        <f t="shared" si="46"/>
        <v>D</v>
      </c>
      <c r="M703" t="str">
        <f t="shared" si="47"/>
        <v>Failed</v>
      </c>
      <c r="N703" t="s">
        <v>24</v>
      </c>
      <c r="O703">
        <f>O702/O700%</f>
        <v>74.999999999999986</v>
      </c>
    </row>
    <row r="704" spans="1:15" x14ac:dyDescent="0.3">
      <c r="A704" s="12">
        <v>5</v>
      </c>
      <c r="B704" s="45" t="s">
        <v>156</v>
      </c>
      <c r="C704" s="45" t="s">
        <v>104</v>
      </c>
      <c r="D704" s="12" t="s">
        <v>1278</v>
      </c>
      <c r="E704" s="12">
        <v>10</v>
      </c>
      <c r="F704" s="12">
        <v>20</v>
      </c>
      <c r="G704" s="12">
        <f t="shared" si="48"/>
        <v>30</v>
      </c>
      <c r="H704" s="12"/>
      <c r="I704" s="12"/>
      <c r="J704" s="12">
        <v>51</v>
      </c>
      <c r="K704" s="12">
        <f t="shared" si="49"/>
        <v>81</v>
      </c>
      <c r="L704" t="str">
        <f t="shared" si="46"/>
        <v>A</v>
      </c>
      <c r="M704" t="str">
        <f t="shared" si="47"/>
        <v>Passed</v>
      </c>
      <c r="N704" t="s">
        <v>25</v>
      </c>
      <c r="O704">
        <f>COUNTIF(M700:M731,"failed")</f>
        <v>7</v>
      </c>
    </row>
    <row r="705" spans="1:22" x14ac:dyDescent="0.3">
      <c r="A705" s="12">
        <v>6</v>
      </c>
      <c r="B705" s="45" t="s">
        <v>160</v>
      </c>
      <c r="C705" s="45" t="s">
        <v>109</v>
      </c>
      <c r="D705" s="12" t="s">
        <v>1280</v>
      </c>
      <c r="E705" s="12">
        <v>10</v>
      </c>
      <c r="F705" s="12">
        <v>23</v>
      </c>
      <c r="G705" s="12">
        <f t="shared" si="48"/>
        <v>33</v>
      </c>
      <c r="H705" s="12"/>
      <c r="I705" s="12"/>
      <c r="J705" s="12">
        <v>41</v>
      </c>
      <c r="K705" s="12">
        <f t="shared" si="49"/>
        <v>74</v>
      </c>
      <c r="L705" t="str">
        <f t="shared" si="46"/>
        <v>B+</v>
      </c>
      <c r="M705" t="str">
        <f t="shared" si="47"/>
        <v>Passed</v>
      </c>
      <c r="N705" t="s">
        <v>26</v>
      </c>
      <c r="O705">
        <f>O704/O700%</f>
        <v>24.999999999999996</v>
      </c>
    </row>
    <row r="706" spans="1:22" x14ac:dyDescent="0.3">
      <c r="A706" s="12">
        <v>7</v>
      </c>
      <c r="B706" s="45" t="s">
        <v>207</v>
      </c>
      <c r="C706" s="45" t="s">
        <v>110</v>
      </c>
      <c r="D706" s="12" t="s">
        <v>1271</v>
      </c>
      <c r="E706" s="12"/>
      <c r="F706" s="12"/>
      <c r="G706" s="12"/>
      <c r="H706" s="12"/>
      <c r="I706" s="12"/>
      <c r="J706" s="12"/>
      <c r="K706" s="12"/>
      <c r="N706" t="s">
        <v>27</v>
      </c>
      <c r="O706">
        <f>AVERAGE(K700:K731)</f>
        <v>57.196428571428569</v>
      </c>
    </row>
    <row r="707" spans="1:22" x14ac:dyDescent="0.3">
      <c r="A707" s="12">
        <v>8</v>
      </c>
      <c r="B707" s="45" t="s">
        <v>163</v>
      </c>
      <c r="C707" s="45" t="s">
        <v>113</v>
      </c>
      <c r="D707" s="12" t="s">
        <v>1279</v>
      </c>
      <c r="E707" s="12">
        <v>9</v>
      </c>
      <c r="F707" s="12">
        <v>16</v>
      </c>
      <c r="G707" s="12">
        <f t="shared" si="48"/>
        <v>25</v>
      </c>
      <c r="H707" s="12"/>
      <c r="I707" s="12"/>
      <c r="J707" s="12">
        <v>36</v>
      </c>
      <c r="K707" s="12">
        <f t="shared" si="49"/>
        <v>61</v>
      </c>
      <c r="L707" t="str">
        <f t="shared" si="46"/>
        <v>B</v>
      </c>
      <c r="M707" t="str">
        <f t="shared" si="47"/>
        <v>Passed</v>
      </c>
    </row>
    <row r="708" spans="1:22" x14ac:dyDescent="0.3">
      <c r="A708" s="12">
        <v>9</v>
      </c>
      <c r="B708" s="45" t="s">
        <v>480</v>
      </c>
      <c r="C708" s="45" t="s">
        <v>115</v>
      </c>
      <c r="D708" s="12" t="s">
        <v>1291</v>
      </c>
      <c r="E708" s="12">
        <v>10</v>
      </c>
      <c r="F708" s="12">
        <v>29</v>
      </c>
      <c r="G708" s="12">
        <f t="shared" si="48"/>
        <v>39</v>
      </c>
      <c r="H708" s="12"/>
      <c r="I708" s="12"/>
      <c r="J708" s="12">
        <v>48</v>
      </c>
      <c r="K708" s="12">
        <f t="shared" si="49"/>
        <v>87</v>
      </c>
      <c r="L708" t="str">
        <f t="shared" si="46"/>
        <v>A</v>
      </c>
      <c r="M708" t="str">
        <f t="shared" si="47"/>
        <v>Passed</v>
      </c>
    </row>
    <row r="709" spans="1:22" x14ac:dyDescent="0.3">
      <c r="A709" s="12">
        <v>10</v>
      </c>
      <c r="B709" s="45" t="s">
        <v>200</v>
      </c>
      <c r="C709" s="45" t="s">
        <v>119</v>
      </c>
      <c r="D709" s="12" t="s">
        <v>1282</v>
      </c>
      <c r="E709" s="12">
        <v>8</v>
      </c>
      <c r="F709" s="12">
        <v>15</v>
      </c>
      <c r="G709" s="12">
        <f t="shared" si="48"/>
        <v>23</v>
      </c>
      <c r="H709" s="12"/>
      <c r="I709" s="12"/>
      <c r="J709" s="12">
        <v>27</v>
      </c>
      <c r="K709" s="12">
        <f t="shared" si="49"/>
        <v>50</v>
      </c>
      <c r="L709" t="str">
        <f t="shared" si="46"/>
        <v>C</v>
      </c>
      <c r="M709" t="str">
        <f t="shared" si="47"/>
        <v>Passed</v>
      </c>
    </row>
    <row r="710" spans="1:22" x14ac:dyDescent="0.3">
      <c r="A710" s="12">
        <v>11</v>
      </c>
      <c r="B710" s="45" t="s">
        <v>205</v>
      </c>
      <c r="C710" s="45" t="s">
        <v>120</v>
      </c>
      <c r="D710" s="12" t="s">
        <v>1271</v>
      </c>
      <c r="E710" s="12"/>
      <c r="F710" s="12"/>
      <c r="G710" s="12"/>
      <c r="H710" s="12"/>
      <c r="I710" s="12"/>
      <c r="J710" s="12"/>
      <c r="K710" s="12"/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 t="s">
        <v>33</v>
      </c>
      <c r="U710" t="s">
        <v>34</v>
      </c>
      <c r="V710" t="s">
        <v>35</v>
      </c>
    </row>
    <row r="711" spans="1:22" x14ac:dyDescent="0.3">
      <c r="A711" s="12">
        <v>12</v>
      </c>
      <c r="B711" s="45" t="s">
        <v>168</v>
      </c>
      <c r="C711" s="45" t="s">
        <v>121</v>
      </c>
      <c r="D711" s="12" t="s">
        <v>1284</v>
      </c>
      <c r="E711" s="12">
        <v>8</v>
      </c>
      <c r="F711" s="12">
        <v>15</v>
      </c>
      <c r="G711" s="12">
        <f t="shared" si="48"/>
        <v>23</v>
      </c>
      <c r="H711" s="12"/>
      <c r="I711" s="12"/>
      <c r="J711" s="12">
        <v>28</v>
      </c>
      <c r="K711" s="12">
        <f t="shared" si="49"/>
        <v>51</v>
      </c>
      <c r="L711" t="str">
        <f t="shared" si="46"/>
        <v>C</v>
      </c>
      <c r="M711" t="str">
        <f t="shared" si="47"/>
        <v>Passed</v>
      </c>
      <c r="O711">
        <f>COUNTIF(L700:L731,"A")</f>
        <v>3</v>
      </c>
      <c r="P711">
        <f>COUNTIF(L700:L731,"B+")</f>
        <v>3</v>
      </c>
      <c r="Q711">
        <f>COUNTIF(L700:L731,"B")</f>
        <v>7</v>
      </c>
      <c r="R711">
        <f>COUNTIF(L700:L731,"C+")</f>
        <v>1</v>
      </c>
      <c r="S711">
        <f>COUNTIF(L700:L731,"C")</f>
        <v>7</v>
      </c>
      <c r="T711">
        <f>COUNTIF(L700:L731,"D+")</f>
        <v>1</v>
      </c>
      <c r="U711">
        <f>COUNTIF(L700:L731,"D")</f>
        <v>3</v>
      </c>
      <c r="V711">
        <f>COUNTIF(L700:L731,"F")</f>
        <v>3</v>
      </c>
    </row>
    <row r="712" spans="1:22" x14ac:dyDescent="0.3">
      <c r="A712" s="12">
        <v>13</v>
      </c>
      <c r="B712" s="45" t="s">
        <v>170</v>
      </c>
      <c r="C712" s="45" t="s">
        <v>124</v>
      </c>
      <c r="D712" s="12" t="s">
        <v>1287</v>
      </c>
      <c r="E712" s="12">
        <v>10</v>
      </c>
      <c r="F712" s="12">
        <v>15</v>
      </c>
      <c r="G712" s="12">
        <f t="shared" si="48"/>
        <v>25</v>
      </c>
      <c r="H712" s="12"/>
      <c r="I712" s="12"/>
      <c r="J712" s="12">
        <v>28</v>
      </c>
      <c r="K712" s="12">
        <f t="shared" si="49"/>
        <v>53</v>
      </c>
      <c r="L712" t="str">
        <f t="shared" si="46"/>
        <v>C</v>
      </c>
      <c r="M712" t="str">
        <f t="shared" si="47"/>
        <v>Passed</v>
      </c>
    </row>
    <row r="713" spans="1:22" x14ac:dyDescent="0.3">
      <c r="A713" s="12">
        <v>14</v>
      </c>
      <c r="B713" s="45" t="s">
        <v>172</v>
      </c>
      <c r="C713" s="45" t="s">
        <v>126</v>
      </c>
      <c r="D713" s="12" t="s">
        <v>1289</v>
      </c>
      <c r="E713" s="12">
        <v>9</v>
      </c>
      <c r="F713" s="12">
        <v>16</v>
      </c>
      <c r="G713" s="12">
        <f t="shared" si="48"/>
        <v>25</v>
      </c>
      <c r="H713" s="12"/>
      <c r="I713" s="12"/>
      <c r="J713" s="12">
        <v>27</v>
      </c>
      <c r="K713" s="12">
        <f t="shared" si="49"/>
        <v>52</v>
      </c>
      <c r="L713" t="str">
        <f t="shared" si="46"/>
        <v>C</v>
      </c>
      <c r="M713" t="str">
        <f t="shared" si="47"/>
        <v>Passed</v>
      </c>
    </row>
    <row r="714" spans="1:22" x14ac:dyDescent="0.3">
      <c r="A714" s="12">
        <v>15</v>
      </c>
      <c r="B714" s="45" t="s">
        <v>173</v>
      </c>
      <c r="C714" s="45" t="s">
        <v>127</v>
      </c>
      <c r="D714" s="12" t="s">
        <v>1292</v>
      </c>
      <c r="E714" s="12">
        <v>10</v>
      </c>
      <c r="F714" s="12">
        <v>15</v>
      </c>
      <c r="G714" s="12">
        <f t="shared" si="48"/>
        <v>25</v>
      </c>
      <c r="H714" s="12"/>
      <c r="I714" s="12"/>
      <c r="J714" s="12">
        <v>28</v>
      </c>
      <c r="K714" s="12">
        <f t="shared" si="49"/>
        <v>53</v>
      </c>
      <c r="L714" t="str">
        <f t="shared" si="46"/>
        <v>C</v>
      </c>
      <c r="M714" t="str">
        <f t="shared" si="47"/>
        <v>Passed</v>
      </c>
    </row>
    <row r="715" spans="1:22" x14ac:dyDescent="0.3">
      <c r="A715" s="12">
        <v>16</v>
      </c>
      <c r="B715" s="45" t="s">
        <v>175</v>
      </c>
      <c r="C715" s="45" t="s">
        <v>131</v>
      </c>
      <c r="D715" s="12" t="s">
        <v>1293</v>
      </c>
      <c r="E715" s="12">
        <v>10</v>
      </c>
      <c r="F715" s="12">
        <v>20</v>
      </c>
      <c r="G715" s="12">
        <f t="shared" si="48"/>
        <v>30</v>
      </c>
      <c r="H715" s="12"/>
      <c r="I715" s="12"/>
      <c r="J715" s="12">
        <v>30</v>
      </c>
      <c r="K715" s="12">
        <f t="shared" si="49"/>
        <v>60</v>
      </c>
      <c r="L715" t="str">
        <f t="shared" si="46"/>
        <v>B</v>
      </c>
      <c r="M715" t="str">
        <f t="shared" si="47"/>
        <v>Passed</v>
      </c>
    </row>
    <row r="716" spans="1:22" x14ac:dyDescent="0.3">
      <c r="A716" s="12">
        <v>17</v>
      </c>
      <c r="B716" s="277" t="s">
        <v>178</v>
      </c>
      <c r="C716" s="45" t="s">
        <v>133</v>
      </c>
      <c r="D716" s="12" t="s">
        <v>1274</v>
      </c>
      <c r="E716" s="12">
        <v>10</v>
      </c>
      <c r="F716" s="12">
        <v>21</v>
      </c>
      <c r="G716" s="12">
        <f t="shared" si="48"/>
        <v>31</v>
      </c>
      <c r="H716" s="12"/>
      <c r="I716" s="12"/>
      <c r="J716" s="12">
        <v>35</v>
      </c>
      <c r="K716" s="12">
        <f t="shared" si="49"/>
        <v>66</v>
      </c>
      <c r="L716" t="str">
        <f t="shared" si="46"/>
        <v>B</v>
      </c>
      <c r="M716" t="str">
        <f t="shared" si="47"/>
        <v>Passed</v>
      </c>
    </row>
    <row r="717" spans="1:22" x14ac:dyDescent="0.3">
      <c r="A717" s="12">
        <v>18</v>
      </c>
      <c r="B717" s="45" t="s">
        <v>534</v>
      </c>
      <c r="C717" s="303" t="s">
        <v>363</v>
      </c>
      <c r="D717" s="12" t="s">
        <v>1296</v>
      </c>
      <c r="E717" s="12">
        <v>7.5</v>
      </c>
      <c r="F717" s="12">
        <v>20</v>
      </c>
      <c r="G717" s="12">
        <f t="shared" si="48"/>
        <v>27.5</v>
      </c>
      <c r="H717" s="12"/>
      <c r="I717" s="12"/>
      <c r="J717" s="12">
        <v>24</v>
      </c>
      <c r="K717" s="241">
        <f t="shared" si="49"/>
        <v>51.5</v>
      </c>
      <c r="L717" t="str">
        <f t="shared" si="46"/>
        <v>C</v>
      </c>
      <c r="M717" t="str">
        <f t="shared" si="47"/>
        <v>Passed</v>
      </c>
    </row>
    <row r="718" spans="1:22" x14ac:dyDescent="0.3">
      <c r="A718" s="12">
        <v>19</v>
      </c>
      <c r="B718" s="389" t="s">
        <v>144</v>
      </c>
      <c r="C718" s="304" t="s">
        <v>137</v>
      </c>
      <c r="D718" s="12" t="s">
        <v>1294</v>
      </c>
      <c r="E718" s="12">
        <v>7.5</v>
      </c>
      <c r="F718" s="12">
        <v>15</v>
      </c>
      <c r="G718" s="12">
        <f t="shared" si="48"/>
        <v>22.5</v>
      </c>
      <c r="H718" s="12"/>
      <c r="I718" s="12"/>
      <c r="J718" s="12">
        <v>5</v>
      </c>
      <c r="K718" s="12">
        <f t="shared" si="49"/>
        <v>27.5</v>
      </c>
      <c r="L718" t="str">
        <f t="shared" si="46"/>
        <v>F</v>
      </c>
      <c r="M718" t="str">
        <f t="shared" si="47"/>
        <v>Failed</v>
      </c>
    </row>
    <row r="719" spans="1:22" x14ac:dyDescent="0.3">
      <c r="A719" s="12">
        <v>20</v>
      </c>
      <c r="B719" s="390" t="s">
        <v>204</v>
      </c>
      <c r="C719" s="390" t="s">
        <v>138</v>
      </c>
      <c r="D719" s="12" t="s">
        <v>1273</v>
      </c>
      <c r="E719" s="12">
        <v>10</v>
      </c>
      <c r="F719" s="12">
        <v>16</v>
      </c>
      <c r="G719" s="12">
        <f t="shared" si="48"/>
        <v>26</v>
      </c>
      <c r="H719" s="12"/>
      <c r="I719" s="12"/>
      <c r="J719" s="12">
        <v>34</v>
      </c>
      <c r="K719" s="12">
        <f t="shared" si="49"/>
        <v>60</v>
      </c>
      <c r="L719" t="str">
        <f t="shared" si="46"/>
        <v>B</v>
      </c>
      <c r="M719" t="str">
        <f t="shared" si="47"/>
        <v>Passed</v>
      </c>
    </row>
    <row r="720" spans="1:22" x14ac:dyDescent="0.3">
      <c r="A720" s="12">
        <v>21</v>
      </c>
      <c r="B720" s="305" t="s">
        <v>181</v>
      </c>
      <c r="C720" s="45" t="s">
        <v>139</v>
      </c>
      <c r="D720" s="12" t="s">
        <v>1275</v>
      </c>
      <c r="E720" s="12">
        <v>10</v>
      </c>
      <c r="F720" s="12">
        <v>20</v>
      </c>
      <c r="G720" s="12">
        <f t="shared" si="48"/>
        <v>30</v>
      </c>
      <c r="H720" s="12"/>
      <c r="I720" s="12"/>
      <c r="J720" s="12">
        <v>34</v>
      </c>
      <c r="K720" s="12">
        <f t="shared" si="49"/>
        <v>64</v>
      </c>
      <c r="L720" t="str">
        <f t="shared" si="46"/>
        <v>B</v>
      </c>
      <c r="M720" t="str">
        <f t="shared" si="47"/>
        <v>Passed</v>
      </c>
    </row>
    <row r="721" spans="1:13" x14ac:dyDescent="0.3">
      <c r="A721" s="12">
        <v>22</v>
      </c>
      <c r="B721" s="391" t="s">
        <v>201</v>
      </c>
      <c r="C721" s="45" t="s">
        <v>141</v>
      </c>
      <c r="D721" s="12" t="s">
        <v>1295</v>
      </c>
      <c r="E721" s="12">
        <v>10</v>
      </c>
      <c r="F721" s="12">
        <v>17</v>
      </c>
      <c r="G721" s="12">
        <f t="shared" si="48"/>
        <v>27</v>
      </c>
      <c r="H721" s="12"/>
      <c r="I721" s="12"/>
      <c r="J721" s="12">
        <v>29</v>
      </c>
      <c r="K721" s="12">
        <f t="shared" si="49"/>
        <v>56</v>
      </c>
      <c r="L721" t="str">
        <f t="shared" si="46"/>
        <v>C+</v>
      </c>
      <c r="M721" t="str">
        <f t="shared" si="47"/>
        <v>Passed</v>
      </c>
    </row>
    <row r="722" spans="1:13" x14ac:dyDescent="0.3">
      <c r="A722" s="12">
        <v>23</v>
      </c>
      <c r="B722" s="45" t="s">
        <v>176</v>
      </c>
      <c r="C722" s="45" t="s">
        <v>481</v>
      </c>
      <c r="D722" s="12" t="s">
        <v>1281</v>
      </c>
      <c r="E722" s="12">
        <v>8</v>
      </c>
      <c r="F722" s="12">
        <v>16</v>
      </c>
      <c r="G722" s="12">
        <f t="shared" si="48"/>
        <v>24</v>
      </c>
      <c r="H722" s="12"/>
      <c r="I722" s="12"/>
      <c r="J722" s="12">
        <v>17</v>
      </c>
      <c r="K722" s="12">
        <f t="shared" si="49"/>
        <v>41</v>
      </c>
      <c r="L722" t="str">
        <f t="shared" si="46"/>
        <v>D</v>
      </c>
      <c r="M722" t="str">
        <f t="shared" si="47"/>
        <v>Failed</v>
      </c>
    </row>
    <row r="723" spans="1:13" x14ac:dyDescent="0.3">
      <c r="A723" s="12">
        <v>24</v>
      </c>
      <c r="B723" s="12" t="s">
        <v>148</v>
      </c>
      <c r="C723" s="12" t="s">
        <v>96</v>
      </c>
      <c r="D723" s="12" t="s">
        <v>1272</v>
      </c>
      <c r="E723" s="12">
        <v>10</v>
      </c>
      <c r="F723" s="12">
        <v>15</v>
      </c>
      <c r="G723" s="12">
        <f t="shared" si="48"/>
        <v>25</v>
      </c>
      <c r="H723" s="12"/>
      <c r="I723" s="12"/>
      <c r="J723" s="12">
        <v>10</v>
      </c>
      <c r="K723" s="12">
        <f t="shared" si="49"/>
        <v>35</v>
      </c>
      <c r="L723" t="str">
        <f t="shared" si="46"/>
        <v>F</v>
      </c>
      <c r="M723" t="str">
        <f t="shared" si="47"/>
        <v>Failed</v>
      </c>
    </row>
    <row r="724" spans="1:13" x14ac:dyDescent="0.3">
      <c r="A724" s="12">
        <v>25</v>
      </c>
      <c r="B724" s="12" t="s">
        <v>153</v>
      </c>
      <c r="C724" s="12" t="s">
        <v>101</v>
      </c>
      <c r="D724" s="12" t="s">
        <v>1299</v>
      </c>
      <c r="E724" s="12">
        <v>9</v>
      </c>
      <c r="F724" s="12">
        <v>15</v>
      </c>
      <c r="G724" s="12">
        <f t="shared" si="48"/>
        <v>24</v>
      </c>
      <c r="H724" s="12"/>
      <c r="I724" s="12"/>
      <c r="J724" s="12">
        <v>44</v>
      </c>
      <c r="K724" s="12">
        <f t="shared" si="49"/>
        <v>68</v>
      </c>
      <c r="L724" t="str">
        <f t="shared" si="46"/>
        <v>B</v>
      </c>
      <c r="M724" t="str">
        <f t="shared" si="47"/>
        <v>Passed</v>
      </c>
    </row>
    <row r="725" spans="1:13" s="14" customFormat="1" x14ac:dyDescent="0.3">
      <c r="A725" s="452">
        <v>26</v>
      </c>
      <c r="B725" s="452" t="s">
        <v>154</v>
      </c>
      <c r="C725" s="452" t="s">
        <v>102</v>
      </c>
      <c r="D725" s="452" t="s">
        <v>1271</v>
      </c>
      <c r="E725" s="452">
        <v>7.5</v>
      </c>
      <c r="F725" s="452"/>
      <c r="G725" s="452">
        <f t="shared" si="48"/>
        <v>7.5</v>
      </c>
      <c r="H725" s="452"/>
      <c r="I725" s="452"/>
      <c r="J725" s="452" t="s">
        <v>1938</v>
      </c>
      <c r="K725" s="452"/>
    </row>
    <row r="726" spans="1:13" x14ac:dyDescent="0.3">
      <c r="A726" s="12">
        <v>27</v>
      </c>
      <c r="B726" s="12" t="s">
        <v>162</v>
      </c>
      <c r="C726" s="12" t="s">
        <v>112</v>
      </c>
      <c r="D726" s="12" t="s">
        <v>1283</v>
      </c>
      <c r="E726" s="12">
        <v>8</v>
      </c>
      <c r="F726" s="12">
        <v>15</v>
      </c>
      <c r="G726" s="12">
        <f t="shared" si="48"/>
        <v>23</v>
      </c>
      <c r="H726" s="12"/>
      <c r="I726" s="12"/>
      <c r="J726" s="12">
        <v>43</v>
      </c>
      <c r="K726" s="12">
        <f t="shared" si="49"/>
        <v>66</v>
      </c>
      <c r="L726" t="str">
        <f t="shared" si="46"/>
        <v>B</v>
      </c>
      <c r="M726" t="str">
        <f t="shared" si="47"/>
        <v>Passed</v>
      </c>
    </row>
    <row r="727" spans="1:13" x14ac:dyDescent="0.3">
      <c r="A727" s="12">
        <v>28</v>
      </c>
      <c r="B727" s="12" t="s">
        <v>164</v>
      </c>
      <c r="C727" s="12" t="s">
        <v>114</v>
      </c>
      <c r="D727" s="12" t="s">
        <v>1276</v>
      </c>
      <c r="E727" s="12">
        <v>9</v>
      </c>
      <c r="F727" s="12">
        <v>15</v>
      </c>
      <c r="G727" s="12">
        <f t="shared" si="48"/>
        <v>24</v>
      </c>
      <c r="H727" s="12"/>
      <c r="I727" s="12"/>
      <c r="J727" s="12">
        <v>27</v>
      </c>
      <c r="K727" s="12">
        <f t="shared" si="49"/>
        <v>51</v>
      </c>
      <c r="L727" t="str">
        <f t="shared" si="46"/>
        <v>C</v>
      </c>
      <c r="M727" t="str">
        <f t="shared" si="47"/>
        <v>Passed</v>
      </c>
    </row>
    <row r="728" spans="1:13" x14ac:dyDescent="0.3">
      <c r="A728" s="12">
        <v>29</v>
      </c>
      <c r="B728" s="60" t="s">
        <v>165</v>
      </c>
      <c r="C728" s="12" t="s">
        <v>116</v>
      </c>
      <c r="D728" s="12" t="s">
        <v>1288</v>
      </c>
      <c r="E728" s="12">
        <v>10</v>
      </c>
      <c r="F728" s="12">
        <v>24</v>
      </c>
      <c r="G728" s="12">
        <f t="shared" si="48"/>
        <v>34</v>
      </c>
      <c r="H728" s="12"/>
      <c r="I728" s="12"/>
      <c r="J728" s="12">
        <v>47</v>
      </c>
      <c r="K728" s="12">
        <f t="shared" si="49"/>
        <v>81</v>
      </c>
      <c r="L728" t="str">
        <f t="shared" si="46"/>
        <v>A</v>
      </c>
      <c r="M728" t="str">
        <f t="shared" si="47"/>
        <v>Passed</v>
      </c>
    </row>
    <row r="729" spans="1:13" x14ac:dyDescent="0.3">
      <c r="A729" s="12">
        <v>30</v>
      </c>
      <c r="B729" s="12" t="s">
        <v>206</v>
      </c>
      <c r="C729" s="12" t="s">
        <v>123</v>
      </c>
      <c r="D729" s="12" t="s">
        <v>1290</v>
      </c>
      <c r="E729" s="12">
        <v>10</v>
      </c>
      <c r="F729" s="12">
        <v>15</v>
      </c>
      <c r="G729" s="12">
        <f t="shared" si="48"/>
        <v>25</v>
      </c>
      <c r="H729" s="12"/>
      <c r="I729" s="12"/>
      <c r="J729" s="12">
        <v>16</v>
      </c>
      <c r="K729" s="12">
        <f t="shared" si="49"/>
        <v>41</v>
      </c>
      <c r="L729" t="str">
        <f t="shared" si="46"/>
        <v>D</v>
      </c>
      <c r="M729" t="str">
        <f t="shared" si="47"/>
        <v>Failed</v>
      </c>
    </row>
    <row r="730" spans="1:13" x14ac:dyDescent="0.3">
      <c r="A730" s="12">
        <v>31</v>
      </c>
      <c r="B730" s="12" t="s">
        <v>202</v>
      </c>
      <c r="C730" s="12" t="s">
        <v>135</v>
      </c>
      <c r="D730" s="12" t="s">
        <v>1271</v>
      </c>
      <c r="E730" s="12"/>
      <c r="F730" s="12"/>
      <c r="G730" s="12"/>
      <c r="H730" s="12"/>
      <c r="I730" s="12"/>
      <c r="J730" s="12"/>
      <c r="K730" s="12"/>
    </row>
    <row r="731" spans="1:13" x14ac:dyDescent="0.3">
      <c r="A731" s="12">
        <v>32</v>
      </c>
      <c r="B731" s="12" t="s">
        <v>1249</v>
      </c>
      <c r="C731" s="12" t="s">
        <v>422</v>
      </c>
      <c r="D731" s="12" t="s">
        <v>1298</v>
      </c>
      <c r="E731" s="12">
        <v>7.5</v>
      </c>
      <c r="F731" s="12">
        <v>15</v>
      </c>
      <c r="G731" s="12">
        <f t="shared" si="48"/>
        <v>22.5</v>
      </c>
      <c r="H731" s="12"/>
      <c r="I731" s="12"/>
      <c r="J731" s="12">
        <v>27</v>
      </c>
      <c r="K731" s="241">
        <f t="shared" si="49"/>
        <v>49.5</v>
      </c>
      <c r="L731" t="str">
        <f t="shared" si="46"/>
        <v>D+</v>
      </c>
      <c r="M731" t="str">
        <f t="shared" si="47"/>
        <v>Failed</v>
      </c>
    </row>
    <row r="742" spans="1:15" x14ac:dyDescent="0.3">
      <c r="A742" s="450" t="s">
        <v>0</v>
      </c>
      <c r="B742" s="451"/>
      <c r="C742" s="451"/>
      <c r="D742" s="451"/>
      <c r="E742" s="451"/>
      <c r="F742" s="451"/>
      <c r="G742" s="451"/>
      <c r="H742" s="451"/>
      <c r="I742" s="451"/>
      <c r="J742" s="451"/>
      <c r="K742" s="451"/>
      <c r="L742" s="451"/>
    </row>
    <row r="743" spans="1:15" x14ac:dyDescent="0.3">
      <c r="A743" s="14" t="s">
        <v>66</v>
      </c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 spans="1:15" x14ac:dyDescent="0.3">
      <c r="A744" s="460" t="s">
        <v>362</v>
      </c>
      <c r="B744" s="461"/>
      <c r="C744" s="461"/>
      <c r="D744" s="2"/>
      <c r="E744" s="2"/>
      <c r="F744" s="2"/>
      <c r="G744" s="2"/>
      <c r="H744" s="2"/>
      <c r="I744" s="2"/>
      <c r="J744" s="2"/>
      <c r="K744" s="2"/>
      <c r="L744" s="1"/>
      <c r="M744" s="16"/>
      <c r="N744" s="16"/>
      <c r="O744" s="13"/>
    </row>
    <row r="745" spans="1:15" x14ac:dyDescent="0.3">
      <c r="A745" s="450" t="s">
        <v>1</v>
      </c>
      <c r="B745" s="462" t="s">
        <v>38</v>
      </c>
      <c r="C745" s="462"/>
      <c r="D745" s="450"/>
      <c r="E745" s="450"/>
      <c r="F745" s="450"/>
      <c r="G745" s="450"/>
      <c r="H745" s="450"/>
      <c r="I745" s="450"/>
      <c r="J745" s="450"/>
      <c r="K745" s="450"/>
      <c r="L745" s="451"/>
    </row>
    <row r="746" spans="1:15" x14ac:dyDescent="0.3">
      <c r="A746" s="453" t="s">
        <v>3</v>
      </c>
      <c r="B746" s="462" t="s">
        <v>86</v>
      </c>
      <c r="C746" s="462"/>
      <c r="D746" s="453"/>
      <c r="E746" s="453"/>
      <c r="F746" s="453"/>
      <c r="G746" s="453"/>
      <c r="H746" s="453"/>
      <c r="I746" s="453"/>
      <c r="J746" s="453"/>
      <c r="K746" s="453"/>
      <c r="L746" s="454"/>
    </row>
    <row r="747" spans="1:15" x14ac:dyDescent="0.3">
      <c r="A747" s="450" t="s">
        <v>4</v>
      </c>
      <c r="B747" s="462" t="s">
        <v>428</v>
      </c>
      <c r="C747" s="462"/>
      <c r="D747" s="450"/>
      <c r="E747" s="450"/>
      <c r="F747" s="450"/>
      <c r="G747" s="450"/>
      <c r="H747" s="450"/>
      <c r="I747" s="450"/>
      <c r="J747" s="450"/>
      <c r="K747" s="450"/>
      <c r="L747" s="451"/>
    </row>
    <row r="748" spans="1:15" x14ac:dyDescent="0.3">
      <c r="A748" s="450" t="s">
        <v>5</v>
      </c>
      <c r="B748" s="463">
        <v>3</v>
      </c>
      <c r="C748" s="463"/>
      <c r="D748" s="450"/>
      <c r="E748" s="450"/>
      <c r="F748" s="450"/>
      <c r="G748" s="450"/>
      <c r="H748" s="450"/>
      <c r="I748" s="450"/>
      <c r="J748" s="450"/>
      <c r="K748" s="450"/>
      <c r="L748" s="451"/>
    </row>
    <row r="749" spans="1:15" x14ac:dyDescent="0.3">
      <c r="A749" s="453" t="s">
        <v>6</v>
      </c>
      <c r="B749" s="462" t="s">
        <v>87</v>
      </c>
      <c r="C749" s="462"/>
      <c r="D749" s="453"/>
      <c r="E749" s="453"/>
      <c r="F749" s="453"/>
      <c r="G749" s="453"/>
      <c r="H749" s="453"/>
      <c r="I749" s="453"/>
      <c r="J749" s="453"/>
      <c r="K749" s="453"/>
      <c r="L749" s="454"/>
    </row>
    <row r="750" spans="1:15" x14ac:dyDescent="0.3">
      <c r="A750" s="450" t="s">
        <v>68</v>
      </c>
      <c r="B750" s="450"/>
      <c r="C750" s="451"/>
      <c r="D750" s="450"/>
      <c r="E750" s="450"/>
      <c r="F750" s="450"/>
      <c r="G750" s="450"/>
      <c r="H750" s="450"/>
      <c r="I750" s="450"/>
      <c r="J750" s="450"/>
      <c r="K750" s="450"/>
      <c r="L750" s="451"/>
    </row>
    <row r="751" spans="1:15" x14ac:dyDescent="0.3">
      <c r="A751" s="4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 spans="1:15" ht="60" x14ac:dyDescent="0.3">
      <c r="A752" s="452" t="s">
        <v>8</v>
      </c>
      <c r="B752" s="452" t="s">
        <v>9</v>
      </c>
      <c r="C752" s="452" t="s">
        <v>10</v>
      </c>
      <c r="D752" s="43" t="s">
        <v>11</v>
      </c>
      <c r="E752" s="43" t="s">
        <v>12</v>
      </c>
      <c r="F752" s="43" t="s">
        <v>13</v>
      </c>
      <c r="G752" s="43" t="s">
        <v>14</v>
      </c>
      <c r="H752" s="43" t="s">
        <v>210</v>
      </c>
      <c r="I752" s="43" t="s">
        <v>209</v>
      </c>
      <c r="J752" s="43" t="s">
        <v>15</v>
      </c>
      <c r="K752" s="43" t="s">
        <v>16</v>
      </c>
      <c r="L752" s="14" t="s">
        <v>17</v>
      </c>
      <c r="M752" s="14" t="s">
        <v>18</v>
      </c>
      <c r="N752" s="14" t="s">
        <v>19</v>
      </c>
    </row>
    <row r="753" spans="1:22" x14ac:dyDescent="0.3">
      <c r="A753" s="12"/>
      <c r="B753" s="452"/>
      <c r="C753" s="452"/>
      <c r="D753" s="452"/>
      <c r="E753" s="452"/>
      <c r="F753" s="452"/>
      <c r="G753" s="452"/>
      <c r="H753" s="452"/>
      <c r="I753" s="452"/>
      <c r="J753" s="452"/>
      <c r="K753" s="452"/>
      <c r="N753" t="s">
        <v>20</v>
      </c>
      <c r="O753">
        <f>COUNT(G754:G777)</f>
        <v>23</v>
      </c>
    </row>
    <row r="754" spans="1:22" x14ac:dyDescent="0.3">
      <c r="A754" s="12">
        <v>1</v>
      </c>
      <c r="B754" s="45" t="s">
        <v>203</v>
      </c>
      <c r="C754" s="45" t="s">
        <v>92</v>
      </c>
      <c r="D754" s="12" t="s">
        <v>1510</v>
      </c>
      <c r="E754" s="12">
        <v>9</v>
      </c>
      <c r="F754" s="12">
        <v>25</v>
      </c>
      <c r="G754" s="12">
        <f>SUM(E754:F754)</f>
        <v>34</v>
      </c>
      <c r="H754" s="12"/>
      <c r="I754" s="12"/>
      <c r="J754" s="12">
        <v>14</v>
      </c>
      <c r="K754" s="12">
        <f>SUM(G754:J754)</f>
        <v>48</v>
      </c>
      <c r="L754" t="str">
        <f t="shared" ref="L754" si="50">IF(K754&gt;=80,"A",IF(K754&gt;=70,"B+",IF(K754&gt;=60,"B",IF(K754&gt;=55,"C+",IF(K754&gt;=50,"C",IF(K754&gt;=45,"D+",IF(K754&gt;=40,"D","F")))))))</f>
        <v>D+</v>
      </c>
      <c r="M754" t="str">
        <f t="shared" ref="M754:M777" si="51">IF(K754&gt;=50,"Passed","Failed")</f>
        <v>Failed</v>
      </c>
      <c r="N754" t="s">
        <v>21</v>
      </c>
      <c r="O754">
        <f>COUNT(J754:J777)</f>
        <v>20</v>
      </c>
    </row>
    <row r="755" spans="1:22" x14ac:dyDescent="0.3">
      <c r="A755" s="12">
        <v>2</v>
      </c>
      <c r="B755" s="45" t="s">
        <v>145</v>
      </c>
      <c r="C755" s="45" t="s">
        <v>93</v>
      </c>
      <c r="D755" s="12" t="s">
        <v>1517</v>
      </c>
      <c r="E755" s="12">
        <v>9</v>
      </c>
      <c r="F755" s="12">
        <v>25</v>
      </c>
      <c r="G755" s="12">
        <f t="shared" ref="G755:G777" si="52">SUM(E755:F755)</f>
        <v>34</v>
      </c>
      <c r="H755" s="12"/>
      <c r="I755" s="12"/>
      <c r="J755" s="12">
        <v>19</v>
      </c>
      <c r="K755" s="12">
        <f t="shared" ref="K755:K777" si="53">SUM(G755:J755)</f>
        <v>53</v>
      </c>
      <c r="L755" t="str">
        <f>IF(K755&gt;=80,"A",IF(K755&gt;=70,"B+",IF(K755&gt;=60,"B",IF(K755&gt;=55,"C+",IF(K755&gt;=50,"C",IF(K755&gt;=45,"D+",IF(K755&gt;=40,"D","F")))))))</f>
        <v>C</v>
      </c>
      <c r="M755" t="str">
        <f t="shared" si="51"/>
        <v>Passed</v>
      </c>
      <c r="N755" t="s">
        <v>22</v>
      </c>
      <c r="O755">
        <f>O753-O754</f>
        <v>3</v>
      </c>
    </row>
    <row r="756" spans="1:22" x14ac:dyDescent="0.3">
      <c r="A756" s="12">
        <v>3</v>
      </c>
      <c r="B756" s="45" t="s">
        <v>149</v>
      </c>
      <c r="C756" s="45" t="s">
        <v>97</v>
      </c>
      <c r="D756" s="12" t="s">
        <v>1505</v>
      </c>
      <c r="E756" s="62">
        <v>9</v>
      </c>
      <c r="F756" s="62">
        <v>25</v>
      </c>
      <c r="G756" s="12">
        <f t="shared" si="52"/>
        <v>34</v>
      </c>
      <c r="H756" s="62"/>
      <c r="I756" s="62"/>
      <c r="J756" s="62">
        <v>53</v>
      </c>
      <c r="K756" s="12">
        <f t="shared" si="53"/>
        <v>87</v>
      </c>
      <c r="L756" t="str">
        <f>IF(K756&gt;=80,"A",IF(K756&gt;=70,"B+",IF(K756&gt;=60,"B",IF(K756&gt;=55,"C+",IF(K756&gt;=50,"C",IF(K756&gt;=45,"D+",IF(K756&gt;=40,"D","F")))))))</f>
        <v>A</v>
      </c>
      <c r="M756" t="str">
        <f t="shared" si="51"/>
        <v>Passed</v>
      </c>
      <c r="N756" t="s">
        <v>23</v>
      </c>
      <c r="O756">
        <f>COUNTIF(M754:M777,"Passed")</f>
        <v>16</v>
      </c>
    </row>
    <row r="757" spans="1:22" x14ac:dyDescent="0.3">
      <c r="A757" s="12">
        <v>4</v>
      </c>
      <c r="B757" s="45" t="s">
        <v>152</v>
      </c>
      <c r="C757" s="45" t="s">
        <v>100</v>
      </c>
      <c r="D757" s="12" t="s">
        <v>1515</v>
      </c>
      <c r="E757" s="12">
        <v>9</v>
      </c>
      <c r="F757" s="12">
        <v>25</v>
      </c>
      <c r="G757" s="12">
        <f t="shared" si="52"/>
        <v>34</v>
      </c>
      <c r="H757" s="12"/>
      <c r="I757" s="12"/>
      <c r="J757" s="12">
        <v>18</v>
      </c>
      <c r="K757" s="12">
        <f t="shared" si="53"/>
        <v>52</v>
      </c>
      <c r="L757" t="str">
        <f t="shared" ref="L757:L777" si="54">IF(K757&gt;=80,"A",IF(K757&gt;=70,"B+",IF(K757&gt;=60,"B",IF(K757&gt;=55,"C+",IF(K757&gt;=50,"C",IF(K757&gt;=45,"D+",IF(K757&gt;=40,"D","F")))))))</f>
        <v>C</v>
      </c>
      <c r="M757" t="str">
        <f t="shared" si="51"/>
        <v>Passed</v>
      </c>
      <c r="N757" t="s">
        <v>24</v>
      </c>
      <c r="O757" s="179">
        <f>O756/O754%</f>
        <v>80</v>
      </c>
    </row>
    <row r="758" spans="1:22" x14ac:dyDescent="0.3">
      <c r="A758" s="12">
        <v>5</v>
      </c>
      <c r="B758" s="45" t="s">
        <v>156</v>
      </c>
      <c r="C758" s="45" t="s">
        <v>104</v>
      </c>
      <c r="D758" s="12" t="s">
        <v>1511</v>
      </c>
      <c r="E758" s="12">
        <v>9</v>
      </c>
      <c r="F758" s="12">
        <v>25</v>
      </c>
      <c r="G758" s="12">
        <f t="shared" si="52"/>
        <v>34</v>
      </c>
      <c r="H758" s="12"/>
      <c r="I758" s="12"/>
      <c r="J758" s="12">
        <v>36</v>
      </c>
      <c r="K758" s="12">
        <f t="shared" si="53"/>
        <v>70</v>
      </c>
      <c r="L758" t="str">
        <f t="shared" si="54"/>
        <v>B+</v>
      </c>
      <c r="M758" t="str">
        <f t="shared" si="51"/>
        <v>Passed</v>
      </c>
      <c r="N758" t="s">
        <v>25</v>
      </c>
      <c r="O758">
        <f>COUNTIF(M754:M777,"failed")</f>
        <v>4</v>
      </c>
    </row>
    <row r="759" spans="1:22" x14ac:dyDescent="0.3">
      <c r="A759" s="12">
        <v>6</v>
      </c>
      <c r="B759" s="45" t="s">
        <v>160</v>
      </c>
      <c r="C759" s="45" t="s">
        <v>109</v>
      </c>
      <c r="D759" s="12" t="s">
        <v>1500</v>
      </c>
      <c r="E759" s="12">
        <v>9</v>
      </c>
      <c r="F759" s="12">
        <v>25</v>
      </c>
      <c r="G759" s="12">
        <f t="shared" si="52"/>
        <v>34</v>
      </c>
      <c r="H759" s="12"/>
      <c r="I759" s="12"/>
      <c r="J759" s="12">
        <v>35</v>
      </c>
      <c r="K759" s="12">
        <f t="shared" si="53"/>
        <v>69</v>
      </c>
      <c r="L759" t="str">
        <f t="shared" si="54"/>
        <v>B</v>
      </c>
      <c r="M759" t="str">
        <f t="shared" si="51"/>
        <v>Passed</v>
      </c>
      <c r="N759" t="s">
        <v>26</v>
      </c>
      <c r="O759" s="179">
        <f>O758/O754%</f>
        <v>20</v>
      </c>
    </row>
    <row r="760" spans="1:22" x14ac:dyDescent="0.3">
      <c r="A760" s="12">
        <v>7</v>
      </c>
      <c r="B760" s="45" t="s">
        <v>207</v>
      </c>
      <c r="C760" s="45" t="s">
        <v>110</v>
      </c>
      <c r="D760" s="12" t="s">
        <v>1551</v>
      </c>
      <c r="E760" s="12"/>
      <c r="F760" s="12"/>
      <c r="G760" s="12"/>
      <c r="H760" s="12"/>
      <c r="I760" s="12"/>
      <c r="J760" s="12"/>
      <c r="K760" s="12"/>
      <c r="N760" t="s">
        <v>27</v>
      </c>
      <c r="O760" s="179">
        <f>AVERAGE(K754:K777)</f>
        <v>60.8</v>
      </c>
    </row>
    <row r="761" spans="1:22" x14ac:dyDescent="0.3">
      <c r="A761" s="12">
        <v>8</v>
      </c>
      <c r="B761" s="45" t="s">
        <v>163</v>
      </c>
      <c r="C761" s="45" t="s">
        <v>113</v>
      </c>
      <c r="D761" s="12" t="s">
        <v>1501</v>
      </c>
      <c r="E761" s="12">
        <v>9</v>
      </c>
      <c r="F761" s="12">
        <v>25</v>
      </c>
      <c r="G761" s="12">
        <f t="shared" si="52"/>
        <v>34</v>
      </c>
      <c r="H761" s="12"/>
      <c r="I761" s="12"/>
      <c r="J761" s="12">
        <v>30</v>
      </c>
      <c r="K761" s="12">
        <f t="shared" si="53"/>
        <v>64</v>
      </c>
      <c r="L761" t="str">
        <f t="shared" si="54"/>
        <v>B</v>
      </c>
      <c r="M761" t="str">
        <f t="shared" si="51"/>
        <v>Passed</v>
      </c>
    </row>
    <row r="762" spans="1:22" x14ac:dyDescent="0.3">
      <c r="A762" s="12">
        <v>9</v>
      </c>
      <c r="B762" s="45" t="s">
        <v>480</v>
      </c>
      <c r="C762" s="45" t="s">
        <v>115</v>
      </c>
      <c r="D762" s="12" t="s">
        <v>1516</v>
      </c>
      <c r="E762" s="12">
        <v>10</v>
      </c>
      <c r="F762" s="12">
        <v>25</v>
      </c>
      <c r="G762" s="12">
        <f t="shared" si="52"/>
        <v>35</v>
      </c>
      <c r="H762" s="12"/>
      <c r="I762" s="12"/>
      <c r="J762" s="12">
        <v>53</v>
      </c>
      <c r="K762" s="12">
        <f t="shared" si="53"/>
        <v>88</v>
      </c>
      <c r="L762" t="str">
        <f t="shared" si="54"/>
        <v>A</v>
      </c>
      <c r="M762" t="str">
        <f t="shared" si="51"/>
        <v>Passed</v>
      </c>
    </row>
    <row r="763" spans="1:22" x14ac:dyDescent="0.3">
      <c r="A763" s="12">
        <v>10</v>
      </c>
      <c r="B763" s="45" t="s">
        <v>200</v>
      </c>
      <c r="C763" s="45" t="s">
        <v>119</v>
      </c>
      <c r="D763" s="12" t="s">
        <v>1508</v>
      </c>
      <c r="E763" s="12">
        <v>10</v>
      </c>
      <c r="F763" s="12">
        <v>25</v>
      </c>
      <c r="G763" s="12">
        <f t="shared" si="52"/>
        <v>35</v>
      </c>
      <c r="H763" s="12"/>
      <c r="I763" s="12"/>
      <c r="J763" s="12">
        <v>8</v>
      </c>
      <c r="K763" s="12">
        <f t="shared" si="53"/>
        <v>43</v>
      </c>
      <c r="L763" t="str">
        <f t="shared" si="54"/>
        <v>D</v>
      </c>
      <c r="M763" t="str">
        <f t="shared" si="51"/>
        <v>Failed</v>
      </c>
    </row>
    <row r="764" spans="1:22" x14ac:dyDescent="0.3">
      <c r="A764" s="12">
        <v>11</v>
      </c>
      <c r="B764" s="452" t="s">
        <v>205</v>
      </c>
      <c r="C764" s="452" t="s">
        <v>120</v>
      </c>
      <c r="D764" s="452" t="s">
        <v>1551</v>
      </c>
      <c r="E764" s="452">
        <v>1</v>
      </c>
      <c r="F764" s="452">
        <v>20</v>
      </c>
      <c r="G764" s="452">
        <f t="shared" si="52"/>
        <v>21</v>
      </c>
      <c r="H764" s="452"/>
      <c r="I764" s="452"/>
      <c r="J764" s="452" t="s">
        <v>1938</v>
      </c>
      <c r="K764" s="452"/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 t="s">
        <v>33</v>
      </c>
      <c r="U764" t="s">
        <v>34</v>
      </c>
      <c r="V764" t="s">
        <v>35</v>
      </c>
    </row>
    <row r="765" spans="1:22" x14ac:dyDescent="0.3">
      <c r="A765" s="12">
        <v>12</v>
      </c>
      <c r="B765" s="45" t="s">
        <v>168</v>
      </c>
      <c r="C765" s="45" t="s">
        <v>121</v>
      </c>
      <c r="D765" s="12" t="s">
        <v>1514</v>
      </c>
      <c r="E765" s="12">
        <v>8</v>
      </c>
      <c r="F765" s="12">
        <v>20</v>
      </c>
      <c r="G765" s="12">
        <f t="shared" si="52"/>
        <v>28</v>
      </c>
      <c r="H765" s="12"/>
      <c r="I765" s="12"/>
      <c r="J765" s="12">
        <v>11</v>
      </c>
      <c r="K765" s="12">
        <f t="shared" si="53"/>
        <v>39</v>
      </c>
      <c r="L765" t="str">
        <f t="shared" si="54"/>
        <v>F</v>
      </c>
      <c r="M765" t="str">
        <f t="shared" si="51"/>
        <v>Failed</v>
      </c>
      <c r="O765">
        <f>COUNTIF(L754:L777,"A")</f>
        <v>3</v>
      </c>
      <c r="P765">
        <f>COUNTIF(L754:L777,"B+")</f>
        <v>2</v>
      </c>
      <c r="Q765">
        <f>COUNTIF(L754:L777,"B")</f>
        <v>4</v>
      </c>
      <c r="R765">
        <f>COUNTIF(L754:L777,"C+")</f>
        <v>3</v>
      </c>
      <c r="S765">
        <f>COUNTIF(L754:L777,"C")</f>
        <v>4</v>
      </c>
      <c r="T765">
        <f>COUNTIF(L754:L777,"D+")</f>
        <v>1</v>
      </c>
      <c r="U765">
        <f>COUNTIF(L754:L777,"D")</f>
        <v>1</v>
      </c>
      <c r="V765">
        <f>COUNTIF(L754:L777,"F")</f>
        <v>2</v>
      </c>
    </row>
    <row r="766" spans="1:22" x14ac:dyDescent="0.3">
      <c r="A766" s="12">
        <v>13</v>
      </c>
      <c r="B766" s="45" t="s">
        <v>170</v>
      </c>
      <c r="C766" s="45" t="s">
        <v>124</v>
      </c>
      <c r="D766" s="12" t="s">
        <v>1504</v>
      </c>
      <c r="E766" s="12">
        <v>9</v>
      </c>
      <c r="F766" s="12">
        <v>25</v>
      </c>
      <c r="G766" s="12">
        <f t="shared" si="52"/>
        <v>34</v>
      </c>
      <c r="H766" s="12"/>
      <c r="I766" s="12"/>
      <c r="J766" s="12">
        <v>31</v>
      </c>
      <c r="K766" s="12">
        <f t="shared" si="53"/>
        <v>65</v>
      </c>
      <c r="L766" t="str">
        <f t="shared" si="54"/>
        <v>B</v>
      </c>
      <c r="M766" t="str">
        <f t="shared" si="51"/>
        <v>Passed</v>
      </c>
    </row>
    <row r="767" spans="1:22" x14ac:dyDescent="0.3">
      <c r="A767" s="12">
        <v>14</v>
      </c>
      <c r="B767" s="45" t="s">
        <v>172</v>
      </c>
      <c r="C767" s="45" t="s">
        <v>126</v>
      </c>
      <c r="D767" s="12" t="s">
        <v>1502</v>
      </c>
      <c r="E767" s="12">
        <v>9</v>
      </c>
      <c r="F767" s="12">
        <v>25</v>
      </c>
      <c r="G767" s="12">
        <f t="shared" si="52"/>
        <v>34</v>
      </c>
      <c r="H767" s="12"/>
      <c r="I767" s="12"/>
      <c r="J767" s="12">
        <v>21</v>
      </c>
      <c r="K767" s="12">
        <f t="shared" si="53"/>
        <v>55</v>
      </c>
      <c r="L767" t="str">
        <f t="shared" si="54"/>
        <v>C+</v>
      </c>
      <c r="M767" t="str">
        <f t="shared" si="51"/>
        <v>Passed</v>
      </c>
    </row>
    <row r="768" spans="1:22" x14ac:dyDescent="0.3">
      <c r="A768" s="12">
        <v>15</v>
      </c>
      <c r="B768" s="45" t="s">
        <v>173</v>
      </c>
      <c r="C768" s="45" t="s">
        <v>127</v>
      </c>
      <c r="D768" s="12" t="s">
        <v>1518</v>
      </c>
      <c r="E768" s="12">
        <v>10</v>
      </c>
      <c r="F768" s="12">
        <v>26</v>
      </c>
      <c r="G768" s="12">
        <f t="shared" si="52"/>
        <v>36</v>
      </c>
      <c r="H768" s="12"/>
      <c r="I768" s="12"/>
      <c r="J768" s="12">
        <v>22</v>
      </c>
      <c r="K768" s="12">
        <f t="shared" si="53"/>
        <v>58</v>
      </c>
      <c r="L768" t="str">
        <f t="shared" si="54"/>
        <v>C+</v>
      </c>
      <c r="M768" t="str">
        <f t="shared" si="51"/>
        <v>Passed</v>
      </c>
    </row>
    <row r="769" spans="1:13" x14ac:dyDescent="0.3">
      <c r="A769" s="12">
        <v>16</v>
      </c>
      <c r="B769" s="45" t="s">
        <v>175</v>
      </c>
      <c r="C769" s="45" t="s">
        <v>131</v>
      </c>
      <c r="D769" s="12" t="s">
        <v>1513</v>
      </c>
      <c r="E769" s="12">
        <v>9</v>
      </c>
      <c r="F769" s="12">
        <v>25</v>
      </c>
      <c r="G769" s="12">
        <f t="shared" si="52"/>
        <v>34</v>
      </c>
      <c r="H769" s="12"/>
      <c r="I769" s="12"/>
      <c r="J769" s="12">
        <v>49</v>
      </c>
      <c r="K769" s="12">
        <f t="shared" si="53"/>
        <v>83</v>
      </c>
      <c r="L769" t="str">
        <f t="shared" si="54"/>
        <v>A</v>
      </c>
      <c r="M769" t="str">
        <f t="shared" si="51"/>
        <v>Passed</v>
      </c>
    </row>
    <row r="770" spans="1:13" x14ac:dyDescent="0.3">
      <c r="A770" s="12">
        <v>17</v>
      </c>
      <c r="B770" s="277" t="s">
        <v>178</v>
      </c>
      <c r="C770" s="45" t="s">
        <v>133</v>
      </c>
      <c r="D770" s="12" t="s">
        <v>1507</v>
      </c>
      <c r="E770" s="12">
        <v>8</v>
      </c>
      <c r="F770" s="12">
        <v>20</v>
      </c>
      <c r="G770" s="12">
        <f t="shared" si="52"/>
        <v>28</v>
      </c>
      <c r="H770" s="12"/>
      <c r="I770" s="12"/>
      <c r="J770" s="12">
        <v>40</v>
      </c>
      <c r="K770" s="12">
        <f t="shared" si="53"/>
        <v>68</v>
      </c>
      <c r="L770" t="str">
        <f t="shared" si="54"/>
        <v>B</v>
      </c>
      <c r="M770" t="str">
        <f t="shared" si="51"/>
        <v>Passed</v>
      </c>
    </row>
    <row r="771" spans="1:13" x14ac:dyDescent="0.3">
      <c r="A771" s="12">
        <v>18</v>
      </c>
      <c r="B771" s="452" t="s">
        <v>534</v>
      </c>
      <c r="C771" s="436" t="s">
        <v>363</v>
      </c>
      <c r="D771" s="452" t="s">
        <v>1551</v>
      </c>
      <c r="E771" s="452">
        <v>8</v>
      </c>
      <c r="F771" s="452">
        <v>20</v>
      </c>
      <c r="G771" s="452">
        <f t="shared" si="52"/>
        <v>28</v>
      </c>
      <c r="H771" s="452"/>
      <c r="I771" s="452"/>
      <c r="J771" s="452" t="s">
        <v>1938</v>
      </c>
      <c r="K771" s="12"/>
    </row>
    <row r="772" spans="1:13" x14ac:dyDescent="0.3">
      <c r="A772" s="12">
        <v>19</v>
      </c>
      <c r="B772" s="437" t="s">
        <v>144</v>
      </c>
      <c r="C772" s="438" t="s">
        <v>137</v>
      </c>
      <c r="D772" s="452" t="s">
        <v>1551</v>
      </c>
      <c r="E772" s="452">
        <v>7.5</v>
      </c>
      <c r="F772" s="452">
        <v>20</v>
      </c>
      <c r="G772" s="452">
        <f t="shared" si="52"/>
        <v>27.5</v>
      </c>
      <c r="H772" s="452"/>
      <c r="I772" s="452"/>
      <c r="J772" s="452" t="s">
        <v>1938</v>
      </c>
      <c r="K772" s="241"/>
    </row>
    <row r="773" spans="1:13" x14ac:dyDescent="0.3">
      <c r="A773" s="12">
        <v>20</v>
      </c>
      <c r="B773" s="390" t="s">
        <v>204</v>
      </c>
      <c r="C773" s="390" t="s">
        <v>138</v>
      </c>
      <c r="D773" s="12" t="s">
        <v>1503</v>
      </c>
      <c r="E773" s="12">
        <v>10</v>
      </c>
      <c r="F773" s="12">
        <v>25</v>
      </c>
      <c r="G773" s="12">
        <f t="shared" si="52"/>
        <v>35</v>
      </c>
      <c r="H773" s="12"/>
      <c r="I773" s="12"/>
      <c r="J773" s="12">
        <v>41</v>
      </c>
      <c r="K773" s="12">
        <f t="shared" si="53"/>
        <v>76</v>
      </c>
      <c r="L773" t="str">
        <f t="shared" si="54"/>
        <v>B+</v>
      </c>
      <c r="M773" t="str">
        <f t="shared" si="51"/>
        <v>Passed</v>
      </c>
    </row>
    <row r="774" spans="1:13" x14ac:dyDescent="0.3">
      <c r="A774" s="12">
        <v>21</v>
      </c>
      <c r="B774" s="305" t="s">
        <v>181</v>
      </c>
      <c r="C774" s="45" t="s">
        <v>139</v>
      </c>
      <c r="D774" s="12" t="s">
        <v>1499</v>
      </c>
      <c r="E774" s="12">
        <v>10</v>
      </c>
      <c r="F774" s="12">
        <v>25</v>
      </c>
      <c r="G774" s="12">
        <f t="shared" si="52"/>
        <v>35</v>
      </c>
      <c r="H774" s="12"/>
      <c r="I774" s="12"/>
      <c r="J774" s="12">
        <v>20</v>
      </c>
      <c r="K774" s="12">
        <f t="shared" si="53"/>
        <v>55</v>
      </c>
      <c r="L774" t="str">
        <f t="shared" si="54"/>
        <v>C+</v>
      </c>
      <c r="M774" t="str">
        <f t="shared" si="51"/>
        <v>Passed</v>
      </c>
    </row>
    <row r="775" spans="1:13" x14ac:dyDescent="0.3">
      <c r="A775" s="12">
        <v>22</v>
      </c>
      <c r="B775" s="391" t="s">
        <v>201</v>
      </c>
      <c r="C775" s="45" t="s">
        <v>141</v>
      </c>
      <c r="D775" s="12" t="s">
        <v>1512</v>
      </c>
      <c r="E775" s="12">
        <v>9</v>
      </c>
      <c r="F775" s="12">
        <v>24</v>
      </c>
      <c r="G775" s="12">
        <f t="shared" si="52"/>
        <v>33</v>
      </c>
      <c r="H775" s="12"/>
      <c r="I775" s="12"/>
      <c r="J775" s="12">
        <v>20</v>
      </c>
      <c r="K775" s="12">
        <f t="shared" si="53"/>
        <v>53</v>
      </c>
      <c r="L775" t="str">
        <f t="shared" si="54"/>
        <v>C</v>
      </c>
      <c r="M775" t="str">
        <f t="shared" si="51"/>
        <v>Passed</v>
      </c>
    </row>
    <row r="776" spans="1:13" x14ac:dyDescent="0.3">
      <c r="A776" s="12">
        <v>23</v>
      </c>
      <c r="B776" s="45" t="s">
        <v>176</v>
      </c>
      <c r="C776" s="45" t="s">
        <v>481</v>
      </c>
      <c r="D776" s="12" t="s">
        <v>1509</v>
      </c>
      <c r="E776" s="12">
        <v>7.5</v>
      </c>
      <c r="F776" s="12">
        <v>20</v>
      </c>
      <c r="G776" s="12">
        <f t="shared" si="52"/>
        <v>27.5</v>
      </c>
      <c r="H776" s="12"/>
      <c r="I776" s="12"/>
      <c r="J776" s="12">
        <v>9</v>
      </c>
      <c r="K776" s="241">
        <f t="shared" si="53"/>
        <v>36.5</v>
      </c>
      <c r="L776" t="str">
        <f t="shared" si="54"/>
        <v>F</v>
      </c>
      <c r="M776" t="str">
        <f t="shared" si="51"/>
        <v>Failed</v>
      </c>
    </row>
    <row r="777" spans="1:13" x14ac:dyDescent="0.3">
      <c r="A777" s="368">
        <v>24</v>
      </c>
      <c r="B777" s="368" t="s">
        <v>532</v>
      </c>
      <c r="C777" s="368" t="s">
        <v>533</v>
      </c>
      <c r="D777" s="340" t="s">
        <v>1506</v>
      </c>
      <c r="E777" s="368">
        <v>7.5</v>
      </c>
      <c r="F777" s="368">
        <v>18</v>
      </c>
      <c r="G777" s="368">
        <f t="shared" si="52"/>
        <v>25.5</v>
      </c>
      <c r="H777" s="368"/>
      <c r="I777" s="368"/>
      <c r="J777" s="368">
        <v>28</v>
      </c>
      <c r="K777" s="435">
        <f t="shared" si="53"/>
        <v>53.5</v>
      </c>
      <c r="L777" t="str">
        <f t="shared" si="54"/>
        <v>C</v>
      </c>
      <c r="M777" t="str">
        <f t="shared" si="51"/>
        <v>Passed</v>
      </c>
    </row>
    <row r="786" spans="1:15" x14ac:dyDescent="0.3">
      <c r="A786" s="450" t="s">
        <v>0</v>
      </c>
      <c r="B786" s="451"/>
      <c r="C786" s="451"/>
      <c r="D786" s="451"/>
      <c r="E786" s="451"/>
      <c r="F786" s="451"/>
      <c r="G786" s="451"/>
      <c r="H786" s="451"/>
      <c r="I786" s="451"/>
      <c r="J786" s="451"/>
      <c r="K786" s="451"/>
      <c r="L786" s="451"/>
    </row>
    <row r="787" spans="1:15" x14ac:dyDescent="0.3">
      <c r="A787" s="453" t="s">
        <v>66</v>
      </c>
      <c r="B787" s="453"/>
      <c r="C787" s="453"/>
      <c r="D787" s="453"/>
      <c r="E787" s="453"/>
      <c r="F787" s="453"/>
      <c r="G787" s="453"/>
      <c r="H787" s="48"/>
      <c r="I787" s="48"/>
      <c r="J787" s="14"/>
      <c r="K787" s="14"/>
    </row>
    <row r="788" spans="1:15" x14ac:dyDescent="0.3">
      <c r="A788" s="460" t="s">
        <v>362</v>
      </c>
      <c r="B788" s="461"/>
      <c r="C788" s="461"/>
      <c r="D788" s="2"/>
      <c r="E788" s="2"/>
      <c r="F788" s="2"/>
      <c r="G788" s="2"/>
      <c r="H788" s="2"/>
      <c r="I788" s="2"/>
      <c r="J788" s="2"/>
      <c r="K788" s="2"/>
      <c r="L788" s="1"/>
      <c r="M788" s="16"/>
      <c r="N788" s="16"/>
      <c r="O788" s="13"/>
    </row>
    <row r="789" spans="1:15" x14ac:dyDescent="0.3">
      <c r="A789" s="450" t="s">
        <v>1</v>
      </c>
      <c r="B789" s="462" t="s">
        <v>38</v>
      </c>
      <c r="C789" s="462"/>
      <c r="D789" s="450"/>
      <c r="E789" s="450"/>
      <c r="F789" s="450"/>
      <c r="G789" s="450"/>
      <c r="H789" s="48"/>
      <c r="I789" s="48"/>
      <c r="J789" s="14"/>
      <c r="K789" s="14"/>
    </row>
    <row r="790" spans="1:15" x14ac:dyDescent="0.3">
      <c r="A790" s="450" t="s">
        <v>3</v>
      </c>
      <c r="B790" s="462" t="s">
        <v>88</v>
      </c>
      <c r="C790" s="462"/>
      <c r="D790" s="450"/>
      <c r="E790" s="450"/>
      <c r="F790" s="450"/>
      <c r="G790" s="450"/>
      <c r="H790" s="48"/>
      <c r="I790" s="48"/>
      <c r="J790" s="14"/>
      <c r="K790" s="14"/>
    </row>
    <row r="791" spans="1:15" x14ac:dyDescent="0.3">
      <c r="A791" s="450" t="s">
        <v>4</v>
      </c>
      <c r="B791" s="462" t="s">
        <v>89</v>
      </c>
      <c r="C791" s="462"/>
      <c r="D791" s="450"/>
      <c r="E791" s="450"/>
      <c r="F791" s="450"/>
      <c r="G791" s="450"/>
      <c r="H791" s="48"/>
      <c r="I791" s="48"/>
      <c r="J791" s="14"/>
      <c r="K791" s="14"/>
    </row>
    <row r="792" spans="1:15" x14ac:dyDescent="0.3">
      <c r="A792" s="450" t="s">
        <v>5</v>
      </c>
      <c r="B792" s="463">
        <v>3</v>
      </c>
      <c r="C792" s="463"/>
      <c r="D792" s="450"/>
      <c r="E792" s="450"/>
      <c r="F792" s="450"/>
      <c r="G792" s="450"/>
      <c r="H792" s="48"/>
      <c r="I792" s="48"/>
      <c r="J792" s="14"/>
      <c r="K792" s="14"/>
    </row>
    <row r="793" spans="1:15" x14ac:dyDescent="0.3">
      <c r="A793" s="14" t="s">
        <v>6</v>
      </c>
      <c r="B793" s="465" t="s">
        <v>429</v>
      </c>
      <c r="C793" s="465"/>
      <c r="D793" s="450"/>
      <c r="E793" s="450"/>
      <c r="F793" s="450"/>
      <c r="G793" s="450"/>
      <c r="H793" s="48"/>
      <c r="I793" s="48"/>
      <c r="J793" s="14"/>
      <c r="K793" s="14"/>
    </row>
    <row r="794" spans="1:15" x14ac:dyDescent="0.3">
      <c r="A794" s="47" t="s">
        <v>68</v>
      </c>
      <c r="B794" s="470"/>
      <c r="C794" s="470"/>
      <c r="D794" s="14"/>
      <c r="E794" s="14"/>
      <c r="F794" s="14"/>
      <c r="G794" s="14"/>
      <c r="H794" s="14"/>
      <c r="I794" s="14"/>
      <c r="J794" s="14"/>
      <c r="K794" s="14"/>
    </row>
    <row r="795" spans="1:15" x14ac:dyDescent="0.3">
      <c r="A795" s="452"/>
      <c r="B795" s="450"/>
      <c r="C795" s="450"/>
      <c r="D795" s="450"/>
      <c r="E795" s="450"/>
      <c r="F795" s="450"/>
      <c r="G795" s="450"/>
      <c r="H795" s="48"/>
      <c r="I795" s="48"/>
      <c r="J795" s="14"/>
      <c r="K795" s="14"/>
    </row>
    <row r="796" spans="1:15" ht="49.2" x14ac:dyDescent="0.3">
      <c r="A796" s="452" t="s">
        <v>8</v>
      </c>
      <c r="B796" s="452" t="s">
        <v>9</v>
      </c>
      <c r="C796" s="452" t="s">
        <v>10</v>
      </c>
      <c r="D796" s="452" t="s">
        <v>11</v>
      </c>
      <c r="E796" s="43" t="s">
        <v>12</v>
      </c>
      <c r="F796" s="43" t="s">
        <v>13</v>
      </c>
      <c r="G796" s="43" t="s">
        <v>14</v>
      </c>
      <c r="H796" s="43" t="s">
        <v>208</v>
      </c>
      <c r="I796" s="43" t="s">
        <v>209</v>
      </c>
      <c r="J796" s="43" t="s">
        <v>15</v>
      </c>
      <c r="K796" s="43" t="s">
        <v>16</v>
      </c>
      <c r="L796" s="14" t="s">
        <v>17</v>
      </c>
      <c r="M796" s="14" t="s">
        <v>18</v>
      </c>
      <c r="N796" s="14" t="s">
        <v>19</v>
      </c>
    </row>
    <row r="797" spans="1:15" x14ac:dyDescent="0.3">
      <c r="A797" s="12"/>
      <c r="B797" s="452"/>
      <c r="C797" s="452"/>
      <c r="D797" s="452"/>
      <c r="E797" s="452"/>
      <c r="F797" s="452"/>
      <c r="G797" s="452"/>
      <c r="H797" s="452"/>
      <c r="I797" s="452"/>
      <c r="J797" s="452"/>
      <c r="K797" s="452"/>
      <c r="N797" t="s">
        <v>20</v>
      </c>
      <c r="O797">
        <f>COUNT(G798:G820)</f>
        <v>21</v>
      </c>
    </row>
    <row r="798" spans="1:15" x14ac:dyDescent="0.3">
      <c r="A798" s="12">
        <v>1</v>
      </c>
      <c r="B798" s="45" t="s">
        <v>203</v>
      </c>
      <c r="C798" s="45" t="s">
        <v>92</v>
      </c>
      <c r="D798" s="12" t="s">
        <v>893</v>
      </c>
      <c r="E798" s="12">
        <v>9</v>
      </c>
      <c r="F798" s="12">
        <v>27</v>
      </c>
      <c r="G798" s="12">
        <f>SUM(E798:F798)</f>
        <v>36</v>
      </c>
      <c r="H798" s="12"/>
      <c r="I798" s="12"/>
      <c r="J798" s="12">
        <v>38</v>
      </c>
      <c r="K798" s="12">
        <f>SUM(G798:J798)</f>
        <v>74</v>
      </c>
      <c r="L798" t="str">
        <f t="shared" ref="L798:L820" si="55">IF(K798&gt;=80,"A",IF(K798&gt;=70,"B+",IF(K798&gt;=60,"B",IF(K798&gt;=55,"C+",IF(K798&gt;=50,"C",IF(K798&gt;=45,"D+",IF(K798&gt;=40,"D","F")))))))</f>
        <v>B+</v>
      </c>
      <c r="M798" t="str">
        <f t="shared" ref="M798:M820" si="56">IF(K798&gt;=50,"Passed","Failed")</f>
        <v>Passed</v>
      </c>
      <c r="N798" t="s">
        <v>21</v>
      </c>
      <c r="O798">
        <f>COUNT(J798:J820)</f>
        <v>21</v>
      </c>
    </row>
    <row r="799" spans="1:15" x14ac:dyDescent="0.3">
      <c r="A799" s="12">
        <v>2</v>
      </c>
      <c r="B799" s="45" t="s">
        <v>145</v>
      </c>
      <c r="C799" s="45" t="s">
        <v>93</v>
      </c>
      <c r="D799" s="12" t="s">
        <v>904</v>
      </c>
      <c r="E799" s="12">
        <v>9</v>
      </c>
      <c r="F799" s="12">
        <v>27</v>
      </c>
      <c r="G799" s="12">
        <f t="shared" ref="G799:G820" si="57">SUM(E799:F799)</f>
        <v>36</v>
      </c>
      <c r="H799" s="12"/>
      <c r="I799" s="12"/>
      <c r="J799" s="12">
        <v>30</v>
      </c>
      <c r="K799" s="12">
        <f t="shared" ref="K799:K820" si="58">SUM(G799:J799)</f>
        <v>66</v>
      </c>
      <c r="L799" t="str">
        <f t="shared" si="55"/>
        <v>B</v>
      </c>
      <c r="M799" t="str">
        <f t="shared" si="56"/>
        <v>Passed</v>
      </c>
      <c r="N799" t="s">
        <v>22</v>
      </c>
      <c r="O799">
        <f>O797-O798</f>
        <v>0</v>
      </c>
    </row>
    <row r="800" spans="1:15" x14ac:dyDescent="0.3">
      <c r="A800" s="12">
        <v>3</v>
      </c>
      <c r="B800" s="45" t="s">
        <v>149</v>
      </c>
      <c r="C800" s="45" t="s">
        <v>97</v>
      </c>
      <c r="D800" s="12" t="s">
        <v>899</v>
      </c>
      <c r="E800" s="12">
        <v>9</v>
      </c>
      <c r="F800" s="12">
        <v>26</v>
      </c>
      <c r="G800" s="12">
        <f t="shared" si="57"/>
        <v>35</v>
      </c>
      <c r="H800" s="12"/>
      <c r="I800" s="12"/>
      <c r="J800" s="12">
        <v>50</v>
      </c>
      <c r="K800" s="12">
        <f t="shared" si="58"/>
        <v>85</v>
      </c>
      <c r="L800" t="str">
        <f t="shared" si="55"/>
        <v>A</v>
      </c>
      <c r="M800" t="str">
        <f t="shared" si="56"/>
        <v>Passed</v>
      </c>
      <c r="N800" t="s">
        <v>23</v>
      </c>
      <c r="O800">
        <f>COUNTIF(M798:M820,"Passed")</f>
        <v>19</v>
      </c>
    </row>
    <row r="801" spans="1:22" x14ac:dyDescent="0.3">
      <c r="A801" s="12">
        <v>4</v>
      </c>
      <c r="B801" s="45" t="s">
        <v>152</v>
      </c>
      <c r="C801" s="45" t="s">
        <v>100</v>
      </c>
      <c r="D801" s="12" t="s">
        <v>909</v>
      </c>
      <c r="E801" s="12">
        <v>8</v>
      </c>
      <c r="F801" s="12">
        <v>27</v>
      </c>
      <c r="G801" s="12">
        <f t="shared" si="57"/>
        <v>35</v>
      </c>
      <c r="H801" s="12"/>
      <c r="I801" s="12"/>
      <c r="J801" s="12">
        <v>50</v>
      </c>
      <c r="K801" s="12">
        <f t="shared" si="58"/>
        <v>85</v>
      </c>
      <c r="L801" t="str">
        <f t="shared" si="55"/>
        <v>A</v>
      </c>
      <c r="M801" t="str">
        <f t="shared" si="56"/>
        <v>Passed</v>
      </c>
      <c r="N801" t="s">
        <v>24</v>
      </c>
      <c r="O801">
        <f>O800/O798%</f>
        <v>90.476190476190482</v>
      </c>
    </row>
    <row r="802" spans="1:22" x14ac:dyDescent="0.3">
      <c r="A802" s="12">
        <v>5</v>
      </c>
      <c r="B802" s="45" t="s">
        <v>156</v>
      </c>
      <c r="C802" s="45" t="s">
        <v>104</v>
      </c>
      <c r="D802" s="12" t="s">
        <v>902</v>
      </c>
      <c r="E802" s="12">
        <v>9</v>
      </c>
      <c r="F802" s="12">
        <v>26</v>
      </c>
      <c r="G802" s="12">
        <f t="shared" si="57"/>
        <v>35</v>
      </c>
      <c r="H802" s="12"/>
      <c r="I802" s="12"/>
      <c r="J802" s="12">
        <v>28</v>
      </c>
      <c r="K802" s="12">
        <f t="shared" si="58"/>
        <v>63</v>
      </c>
      <c r="L802" t="str">
        <f t="shared" si="55"/>
        <v>B</v>
      </c>
      <c r="M802" t="str">
        <f t="shared" si="56"/>
        <v>Passed</v>
      </c>
      <c r="N802" t="s">
        <v>25</v>
      </c>
      <c r="O802">
        <f>COUNTIF(M798:M820,"failed")</f>
        <v>2</v>
      </c>
    </row>
    <row r="803" spans="1:22" x14ac:dyDescent="0.3">
      <c r="A803" s="12">
        <v>6</v>
      </c>
      <c r="B803" s="45" t="s">
        <v>160</v>
      </c>
      <c r="C803" s="45" t="s">
        <v>109</v>
      </c>
      <c r="D803" s="12" t="s">
        <v>903</v>
      </c>
      <c r="E803" s="12">
        <v>9</v>
      </c>
      <c r="F803" s="12">
        <v>26</v>
      </c>
      <c r="G803" s="12">
        <f t="shared" si="57"/>
        <v>35</v>
      </c>
      <c r="H803" s="12"/>
      <c r="I803" s="12"/>
      <c r="J803" s="12">
        <v>50</v>
      </c>
      <c r="K803" s="12">
        <f t="shared" si="58"/>
        <v>85</v>
      </c>
      <c r="L803" t="str">
        <f t="shared" si="55"/>
        <v>A</v>
      </c>
      <c r="M803" t="str">
        <f t="shared" si="56"/>
        <v>Passed</v>
      </c>
      <c r="N803" t="s">
        <v>26</v>
      </c>
      <c r="O803">
        <f>O802/O798%</f>
        <v>9.5238095238095237</v>
      </c>
    </row>
    <row r="804" spans="1:22" x14ac:dyDescent="0.3">
      <c r="A804" s="12">
        <v>7</v>
      </c>
      <c r="B804" s="45" t="s">
        <v>207</v>
      </c>
      <c r="C804" s="45" t="s">
        <v>110</v>
      </c>
      <c r="D804" s="12" t="s">
        <v>964</v>
      </c>
      <c r="E804" s="12"/>
      <c r="F804" s="12"/>
      <c r="G804" s="12"/>
      <c r="H804" s="12"/>
      <c r="I804" s="12"/>
      <c r="J804" s="12"/>
      <c r="K804" s="12"/>
      <c r="N804" t="s">
        <v>27</v>
      </c>
      <c r="O804">
        <f>AVERAGE(K798:K820)</f>
        <v>71.476190476190482</v>
      </c>
    </row>
    <row r="805" spans="1:22" x14ac:dyDescent="0.3">
      <c r="A805" s="12">
        <v>8</v>
      </c>
      <c r="B805" s="45" t="s">
        <v>163</v>
      </c>
      <c r="C805" s="45" t="s">
        <v>113</v>
      </c>
      <c r="D805" s="12" t="s">
        <v>908</v>
      </c>
      <c r="E805" s="12">
        <v>10</v>
      </c>
      <c r="F805" s="12">
        <v>27</v>
      </c>
      <c r="G805" s="12">
        <f t="shared" si="57"/>
        <v>37</v>
      </c>
      <c r="H805" s="12"/>
      <c r="I805" s="12"/>
      <c r="J805" s="12">
        <v>30</v>
      </c>
      <c r="K805" s="12">
        <f t="shared" si="58"/>
        <v>67</v>
      </c>
      <c r="L805" t="str">
        <f t="shared" si="55"/>
        <v>B</v>
      </c>
      <c r="M805" t="str">
        <f t="shared" si="56"/>
        <v>Passed</v>
      </c>
    </row>
    <row r="806" spans="1:22" x14ac:dyDescent="0.3">
      <c r="A806" s="12">
        <v>9</v>
      </c>
      <c r="B806" s="45" t="s">
        <v>480</v>
      </c>
      <c r="C806" s="45" t="s">
        <v>115</v>
      </c>
      <c r="D806" s="12" t="s">
        <v>907</v>
      </c>
      <c r="E806" s="12">
        <v>10</v>
      </c>
      <c r="F806" s="12">
        <v>27</v>
      </c>
      <c r="G806" s="12">
        <f t="shared" si="57"/>
        <v>37</v>
      </c>
      <c r="H806" s="12"/>
      <c r="I806" s="12"/>
      <c r="J806" s="12">
        <v>50</v>
      </c>
      <c r="K806" s="12">
        <f t="shared" si="58"/>
        <v>87</v>
      </c>
      <c r="L806" t="str">
        <f t="shared" si="55"/>
        <v>A</v>
      </c>
      <c r="M806" t="str">
        <f t="shared" si="56"/>
        <v>Passed</v>
      </c>
    </row>
    <row r="807" spans="1:22" x14ac:dyDescent="0.3">
      <c r="A807" s="12">
        <v>10</v>
      </c>
      <c r="B807" s="45" t="s">
        <v>200</v>
      </c>
      <c r="C807" s="45" t="s">
        <v>119</v>
      </c>
      <c r="D807" s="12" t="s">
        <v>898</v>
      </c>
      <c r="E807" s="12">
        <v>9</v>
      </c>
      <c r="F807" s="12">
        <v>10</v>
      </c>
      <c r="G807" s="12">
        <f t="shared" si="57"/>
        <v>19</v>
      </c>
      <c r="H807" s="12"/>
      <c r="I807" s="12"/>
      <c r="J807" s="12">
        <v>35</v>
      </c>
      <c r="K807" s="12">
        <f t="shared" si="58"/>
        <v>54</v>
      </c>
      <c r="L807" t="str">
        <f t="shared" si="55"/>
        <v>C</v>
      </c>
      <c r="M807" t="str">
        <f t="shared" si="56"/>
        <v>Passed</v>
      </c>
    </row>
    <row r="808" spans="1:22" x14ac:dyDescent="0.3">
      <c r="A808" s="12">
        <v>11</v>
      </c>
      <c r="B808" s="45" t="s">
        <v>205</v>
      </c>
      <c r="C808" s="45" t="s">
        <v>120</v>
      </c>
      <c r="D808" s="12" t="s">
        <v>964</v>
      </c>
      <c r="E808" s="12"/>
      <c r="F808" s="12"/>
      <c r="G808" s="12"/>
      <c r="H808" s="12"/>
      <c r="I808" s="12"/>
      <c r="J808" s="12"/>
      <c r="K808" s="12"/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 t="s">
        <v>33</v>
      </c>
      <c r="U808" t="s">
        <v>34</v>
      </c>
      <c r="V808" t="s">
        <v>35</v>
      </c>
    </row>
    <row r="809" spans="1:22" x14ac:dyDescent="0.3">
      <c r="A809" s="12">
        <v>12</v>
      </c>
      <c r="B809" s="45" t="s">
        <v>168</v>
      </c>
      <c r="C809" s="45" t="s">
        <v>121</v>
      </c>
      <c r="D809" s="12" t="s">
        <v>900</v>
      </c>
      <c r="E809" s="12">
        <v>8</v>
      </c>
      <c r="F809" s="12">
        <v>16</v>
      </c>
      <c r="G809" s="12">
        <f t="shared" si="57"/>
        <v>24</v>
      </c>
      <c r="H809" s="12"/>
      <c r="I809" s="12"/>
      <c r="J809" s="12">
        <v>45</v>
      </c>
      <c r="K809" s="12">
        <f t="shared" si="58"/>
        <v>69</v>
      </c>
      <c r="L809" t="str">
        <f t="shared" si="55"/>
        <v>B</v>
      </c>
      <c r="M809" t="str">
        <f t="shared" si="56"/>
        <v>Passed</v>
      </c>
      <c r="O809">
        <f>COUNTIF(L798:L820,"A")</f>
        <v>8</v>
      </c>
      <c r="P809">
        <f>COUNTIF(L798:L820,"B+")</f>
        <v>4</v>
      </c>
      <c r="Q809">
        <f>COUNTIF(L798:L820,"B")</f>
        <v>6</v>
      </c>
      <c r="R809">
        <f>COUNTIF(L798:L820,"C+")</f>
        <v>0</v>
      </c>
      <c r="S809">
        <f>COUNTIF(L798:L820,"C")</f>
        <v>1</v>
      </c>
      <c r="T809">
        <f>COUNTIF(L798:L820,"D+")</f>
        <v>1</v>
      </c>
      <c r="U809">
        <f>COUNTIF(L798:L820,"D")</f>
        <v>0</v>
      </c>
      <c r="V809">
        <f>COUNTIF(L798:L820,"F")</f>
        <v>1</v>
      </c>
    </row>
    <row r="810" spans="1:22" x14ac:dyDescent="0.3">
      <c r="A810" s="12">
        <v>13</v>
      </c>
      <c r="B810" s="45" t="s">
        <v>170</v>
      </c>
      <c r="C810" s="45" t="s">
        <v>124</v>
      </c>
      <c r="D810" s="12" t="s">
        <v>892</v>
      </c>
      <c r="E810" s="12">
        <v>9</v>
      </c>
      <c r="F810" s="12">
        <v>27</v>
      </c>
      <c r="G810" s="12">
        <f t="shared" si="57"/>
        <v>36</v>
      </c>
      <c r="H810" s="12"/>
      <c r="I810" s="12"/>
      <c r="J810" s="12">
        <v>45</v>
      </c>
      <c r="K810" s="12">
        <f t="shared" si="58"/>
        <v>81</v>
      </c>
      <c r="L810" t="str">
        <f t="shared" si="55"/>
        <v>A</v>
      </c>
      <c r="M810" t="str">
        <f t="shared" si="56"/>
        <v>Passed</v>
      </c>
    </row>
    <row r="811" spans="1:22" x14ac:dyDescent="0.3">
      <c r="A811" s="12">
        <v>14</v>
      </c>
      <c r="B811" s="45" t="s">
        <v>172</v>
      </c>
      <c r="C811" s="45" t="s">
        <v>126</v>
      </c>
      <c r="D811" s="12" t="s">
        <v>901</v>
      </c>
      <c r="E811" s="12">
        <v>8</v>
      </c>
      <c r="F811" s="12">
        <v>25</v>
      </c>
      <c r="G811" s="12">
        <f t="shared" si="57"/>
        <v>33</v>
      </c>
      <c r="H811" s="12"/>
      <c r="I811" s="12"/>
      <c r="J811" s="12">
        <v>40</v>
      </c>
      <c r="K811" s="12">
        <f t="shared" si="58"/>
        <v>73</v>
      </c>
      <c r="L811" t="str">
        <f t="shared" si="55"/>
        <v>B+</v>
      </c>
      <c r="M811" t="str">
        <f t="shared" si="56"/>
        <v>Passed</v>
      </c>
    </row>
    <row r="812" spans="1:22" x14ac:dyDescent="0.3">
      <c r="A812" s="12">
        <v>15</v>
      </c>
      <c r="B812" s="45" t="s">
        <v>173</v>
      </c>
      <c r="C812" s="45" t="s">
        <v>127</v>
      </c>
      <c r="D812" s="12" t="s">
        <v>912</v>
      </c>
      <c r="E812" s="12">
        <v>9</v>
      </c>
      <c r="F812" s="12">
        <v>27</v>
      </c>
      <c r="G812" s="12">
        <f t="shared" si="57"/>
        <v>36</v>
      </c>
      <c r="H812" s="12"/>
      <c r="I812" s="12"/>
      <c r="J812" s="12">
        <v>50</v>
      </c>
      <c r="K812" s="12">
        <f t="shared" si="58"/>
        <v>86</v>
      </c>
      <c r="L812" t="str">
        <f t="shared" si="55"/>
        <v>A</v>
      </c>
      <c r="M812" t="str">
        <f t="shared" si="56"/>
        <v>Passed</v>
      </c>
    </row>
    <row r="813" spans="1:22" x14ac:dyDescent="0.3">
      <c r="A813" s="12">
        <v>16</v>
      </c>
      <c r="B813" s="45" t="s">
        <v>175</v>
      </c>
      <c r="C813" s="45" t="s">
        <v>131</v>
      </c>
      <c r="D813" s="12" t="s">
        <v>906</v>
      </c>
      <c r="E813" s="12">
        <v>8</v>
      </c>
      <c r="F813" s="12">
        <v>28</v>
      </c>
      <c r="G813" s="12">
        <f t="shared" si="57"/>
        <v>36</v>
      </c>
      <c r="H813" s="12"/>
      <c r="I813" s="12"/>
      <c r="J813" s="12">
        <v>51</v>
      </c>
      <c r="K813" s="12">
        <f t="shared" si="58"/>
        <v>87</v>
      </c>
      <c r="L813" t="str">
        <f t="shared" si="55"/>
        <v>A</v>
      </c>
      <c r="M813" t="str">
        <f t="shared" si="56"/>
        <v>Passed</v>
      </c>
    </row>
    <row r="814" spans="1:22" x14ac:dyDescent="0.3">
      <c r="A814" s="12">
        <v>17</v>
      </c>
      <c r="B814" s="277" t="s">
        <v>178</v>
      </c>
      <c r="C814" s="45" t="s">
        <v>133</v>
      </c>
      <c r="D814" s="12" t="s">
        <v>896</v>
      </c>
      <c r="E814" s="12">
        <v>9</v>
      </c>
      <c r="F814" s="12">
        <v>26</v>
      </c>
      <c r="G814" s="12">
        <f t="shared" si="57"/>
        <v>35</v>
      </c>
      <c r="H814" s="12"/>
      <c r="I814" s="12"/>
      <c r="J814" s="12">
        <v>40</v>
      </c>
      <c r="K814" s="12">
        <f t="shared" si="58"/>
        <v>75</v>
      </c>
      <c r="L814" t="str">
        <f t="shared" si="55"/>
        <v>B+</v>
      </c>
      <c r="M814" t="str">
        <f t="shared" si="56"/>
        <v>Passed</v>
      </c>
    </row>
    <row r="815" spans="1:22" x14ac:dyDescent="0.3">
      <c r="A815" s="12">
        <v>18</v>
      </c>
      <c r="B815" s="45" t="s">
        <v>534</v>
      </c>
      <c r="C815" s="303" t="s">
        <v>363</v>
      </c>
      <c r="D815" s="12" t="s">
        <v>905</v>
      </c>
      <c r="E815" s="12">
        <v>7.5</v>
      </c>
      <c r="F815" s="12">
        <v>0</v>
      </c>
      <c r="G815" s="12">
        <f t="shared" si="57"/>
        <v>7.5</v>
      </c>
      <c r="H815" s="12"/>
      <c r="I815" s="12"/>
      <c r="J815" s="12">
        <v>20</v>
      </c>
      <c r="K815" s="12">
        <f t="shared" si="58"/>
        <v>27.5</v>
      </c>
      <c r="L815" t="str">
        <f t="shared" si="55"/>
        <v>F</v>
      </c>
      <c r="M815" t="str">
        <f t="shared" si="56"/>
        <v>Failed</v>
      </c>
    </row>
    <row r="816" spans="1:22" x14ac:dyDescent="0.3">
      <c r="A816" s="12">
        <v>19</v>
      </c>
      <c r="B816" s="389" t="s">
        <v>144</v>
      </c>
      <c r="C816" s="304" t="s">
        <v>137</v>
      </c>
      <c r="D816" s="12" t="s">
        <v>897</v>
      </c>
      <c r="E816" s="12">
        <v>8</v>
      </c>
      <c r="F816" s="12">
        <v>17</v>
      </c>
      <c r="G816" s="12">
        <f t="shared" si="57"/>
        <v>25</v>
      </c>
      <c r="H816" s="12"/>
      <c r="I816" s="12"/>
      <c r="J816" s="12">
        <v>20</v>
      </c>
      <c r="K816" s="12">
        <f t="shared" si="58"/>
        <v>45</v>
      </c>
      <c r="L816" t="str">
        <f t="shared" si="55"/>
        <v>D+</v>
      </c>
      <c r="M816" t="str">
        <f t="shared" si="56"/>
        <v>Failed</v>
      </c>
    </row>
    <row r="817" spans="1:15" x14ac:dyDescent="0.3">
      <c r="A817" s="12">
        <v>20</v>
      </c>
      <c r="B817" s="390" t="s">
        <v>204</v>
      </c>
      <c r="C817" s="390" t="s">
        <v>138</v>
      </c>
      <c r="D817" s="12" t="s">
        <v>894</v>
      </c>
      <c r="E817" s="12">
        <v>8</v>
      </c>
      <c r="F817" s="12">
        <v>27</v>
      </c>
      <c r="G817" s="12">
        <f t="shared" si="57"/>
        <v>35</v>
      </c>
      <c r="H817" s="12"/>
      <c r="I817" s="12"/>
      <c r="J817" s="12">
        <v>40</v>
      </c>
      <c r="K817" s="12">
        <f t="shared" si="58"/>
        <v>75</v>
      </c>
      <c r="L817" t="str">
        <f t="shared" si="55"/>
        <v>B+</v>
      </c>
      <c r="M817" t="str">
        <f t="shared" si="56"/>
        <v>Passed</v>
      </c>
    </row>
    <row r="818" spans="1:15" x14ac:dyDescent="0.3">
      <c r="A818" s="12">
        <v>21</v>
      </c>
      <c r="B818" s="305" t="s">
        <v>181</v>
      </c>
      <c r="C818" s="45" t="s">
        <v>139</v>
      </c>
      <c r="D818" s="12" t="s">
        <v>895</v>
      </c>
      <c r="E818" s="12">
        <v>10</v>
      </c>
      <c r="F818" s="12">
        <v>25</v>
      </c>
      <c r="G818" s="12">
        <f t="shared" si="57"/>
        <v>35</v>
      </c>
      <c r="H818" s="12"/>
      <c r="I818" s="12"/>
      <c r="J818" s="12">
        <v>32</v>
      </c>
      <c r="K818" s="12">
        <f t="shared" si="58"/>
        <v>67</v>
      </c>
      <c r="L818" t="str">
        <f t="shared" si="55"/>
        <v>B</v>
      </c>
      <c r="M818" t="str">
        <f t="shared" si="56"/>
        <v>Passed</v>
      </c>
    </row>
    <row r="819" spans="1:15" x14ac:dyDescent="0.3">
      <c r="A819" s="12">
        <v>22</v>
      </c>
      <c r="B819" s="391" t="s">
        <v>201</v>
      </c>
      <c r="C819" s="45" t="s">
        <v>141</v>
      </c>
      <c r="D819" s="12" t="s">
        <v>911</v>
      </c>
      <c r="E819" s="12">
        <v>8</v>
      </c>
      <c r="F819" s="12">
        <v>27</v>
      </c>
      <c r="G819" s="12">
        <f t="shared" si="57"/>
        <v>35</v>
      </c>
      <c r="H819" s="12"/>
      <c r="I819" s="12"/>
      <c r="J819" s="12">
        <v>50</v>
      </c>
      <c r="K819" s="12">
        <f t="shared" si="58"/>
        <v>85</v>
      </c>
      <c r="L819" t="str">
        <f t="shared" si="55"/>
        <v>A</v>
      </c>
      <c r="M819" t="str">
        <f t="shared" si="56"/>
        <v>Passed</v>
      </c>
    </row>
    <row r="820" spans="1:15" x14ac:dyDescent="0.3">
      <c r="A820" s="12">
        <v>23</v>
      </c>
      <c r="B820" s="45" t="s">
        <v>176</v>
      </c>
      <c r="C820" s="45" t="s">
        <v>481</v>
      </c>
      <c r="D820" s="12" t="s">
        <v>910</v>
      </c>
      <c r="E820" s="12">
        <v>7.5</v>
      </c>
      <c r="F820" s="12">
        <v>12</v>
      </c>
      <c r="G820" s="12">
        <f t="shared" si="57"/>
        <v>19.5</v>
      </c>
      <c r="H820" s="12"/>
      <c r="I820" s="12"/>
      <c r="J820" s="12">
        <v>45</v>
      </c>
      <c r="K820" s="12">
        <f t="shared" si="58"/>
        <v>64.5</v>
      </c>
      <c r="L820" t="str">
        <f t="shared" si="55"/>
        <v>B</v>
      </c>
      <c r="M820" t="str">
        <f t="shared" si="56"/>
        <v>Passed</v>
      </c>
    </row>
    <row r="827" spans="1:15" x14ac:dyDescent="0.3">
      <c r="A827" s="450" t="s">
        <v>0</v>
      </c>
      <c r="B827" s="451"/>
      <c r="C827" s="451"/>
      <c r="D827" s="451"/>
      <c r="E827" s="451"/>
      <c r="F827" s="451"/>
      <c r="G827" s="451"/>
      <c r="H827" s="451"/>
      <c r="I827" s="451"/>
      <c r="J827" s="451"/>
      <c r="K827" s="451"/>
      <c r="L827" s="451"/>
    </row>
    <row r="828" spans="1:15" x14ac:dyDescent="0.3">
      <c r="A828" s="14" t="s">
        <v>66</v>
      </c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 spans="1:15" x14ac:dyDescent="0.3">
      <c r="A829" s="460" t="s">
        <v>362</v>
      </c>
      <c r="B829" s="461"/>
      <c r="C829" s="461"/>
      <c r="D829" s="2"/>
      <c r="E829" s="2"/>
      <c r="F829" s="2"/>
      <c r="G829" s="2"/>
      <c r="H829" s="2"/>
      <c r="I829" s="2"/>
      <c r="J829" s="2"/>
      <c r="K829" s="2"/>
      <c r="L829" s="1"/>
      <c r="M829" s="16"/>
      <c r="N829" s="16"/>
      <c r="O829" s="13"/>
    </row>
    <row r="830" spans="1:15" x14ac:dyDescent="0.3">
      <c r="A830" s="450" t="s">
        <v>1</v>
      </c>
      <c r="B830" s="462" t="s">
        <v>891</v>
      </c>
      <c r="C830" s="462"/>
      <c r="D830" s="450"/>
      <c r="E830" s="450"/>
      <c r="F830" s="450"/>
      <c r="G830" s="450"/>
      <c r="H830" s="450"/>
      <c r="I830" s="450"/>
      <c r="J830" s="450"/>
      <c r="K830" s="450"/>
      <c r="L830" s="451"/>
    </row>
    <row r="831" spans="1:15" x14ac:dyDescent="0.3">
      <c r="A831" s="450" t="s">
        <v>3</v>
      </c>
      <c r="B831" s="462" t="s">
        <v>1238</v>
      </c>
      <c r="C831" s="462"/>
      <c r="D831" s="450"/>
      <c r="E831" s="450"/>
      <c r="F831" s="450"/>
      <c r="G831" s="450"/>
      <c r="H831" s="450"/>
      <c r="I831" s="450"/>
      <c r="J831" s="450"/>
      <c r="K831" s="450"/>
      <c r="L831" s="451"/>
    </row>
    <row r="832" spans="1:15" x14ac:dyDescent="0.3">
      <c r="A832" s="450" t="s">
        <v>4</v>
      </c>
      <c r="B832" s="462" t="s">
        <v>221</v>
      </c>
      <c r="C832" s="462"/>
      <c r="D832" s="450"/>
      <c r="E832" s="450"/>
      <c r="F832" s="450"/>
      <c r="G832" s="450"/>
      <c r="H832" s="450"/>
      <c r="I832" s="450"/>
      <c r="J832" s="450"/>
      <c r="K832" s="450"/>
      <c r="L832" s="451"/>
    </row>
    <row r="833" spans="1:15" x14ac:dyDescent="0.3">
      <c r="A833" s="450" t="s">
        <v>5</v>
      </c>
      <c r="B833" s="463">
        <v>3</v>
      </c>
      <c r="C833" s="463"/>
      <c r="D833" s="450"/>
      <c r="E833" s="450"/>
      <c r="F833" s="450"/>
      <c r="G833" s="450"/>
      <c r="H833" s="450"/>
      <c r="I833" s="450"/>
      <c r="J833" s="450"/>
      <c r="K833" s="450"/>
      <c r="L833" s="451"/>
    </row>
    <row r="834" spans="1:15" x14ac:dyDescent="0.3">
      <c r="A834" s="450" t="s">
        <v>6</v>
      </c>
      <c r="B834" s="462" t="s">
        <v>833</v>
      </c>
      <c r="C834" s="462"/>
      <c r="D834" s="450"/>
      <c r="E834" s="450"/>
      <c r="F834" s="450"/>
      <c r="G834" s="450"/>
      <c r="H834" s="450"/>
      <c r="I834" s="450"/>
      <c r="J834" s="450"/>
      <c r="K834" s="450"/>
      <c r="L834" s="451"/>
    </row>
    <row r="835" spans="1:15" x14ac:dyDescent="0.3">
      <c r="A835" s="450" t="s">
        <v>68</v>
      </c>
      <c r="B835" s="450" t="s">
        <v>540</v>
      </c>
      <c r="D835" s="450"/>
      <c r="E835" s="450"/>
      <c r="F835" s="450"/>
      <c r="G835" s="450"/>
      <c r="H835" s="450"/>
      <c r="I835" s="450"/>
      <c r="J835" s="450"/>
      <c r="K835" s="450"/>
    </row>
    <row r="836" spans="1:15" x14ac:dyDescent="0.3">
      <c r="A836" s="4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 spans="1:15" ht="60" x14ac:dyDescent="0.3">
      <c r="A837" s="452" t="s">
        <v>8</v>
      </c>
      <c r="B837" s="452" t="s">
        <v>9</v>
      </c>
      <c r="C837" s="452" t="s">
        <v>10</v>
      </c>
      <c r="D837" s="43" t="s">
        <v>11</v>
      </c>
      <c r="E837" s="43" t="s">
        <v>12</v>
      </c>
      <c r="F837" s="43" t="s">
        <v>13</v>
      </c>
      <c r="G837" s="43" t="s">
        <v>14</v>
      </c>
      <c r="H837" s="43" t="s">
        <v>208</v>
      </c>
      <c r="I837" s="43" t="s">
        <v>209</v>
      </c>
      <c r="J837" s="43" t="s">
        <v>15</v>
      </c>
      <c r="K837" s="43" t="s">
        <v>16</v>
      </c>
      <c r="L837" s="14" t="s">
        <v>17</v>
      </c>
      <c r="M837" s="14" t="s">
        <v>18</v>
      </c>
      <c r="N837" s="14" t="s">
        <v>19</v>
      </c>
    </row>
    <row r="838" spans="1:15" x14ac:dyDescent="0.3">
      <c r="A838" s="12"/>
      <c r="B838" s="12"/>
      <c r="C838" s="12"/>
      <c r="D838" s="452"/>
      <c r="E838" s="452"/>
      <c r="F838" s="452"/>
      <c r="G838" s="452"/>
      <c r="H838" s="452"/>
      <c r="I838" s="452"/>
      <c r="J838" s="452"/>
      <c r="K838" s="452"/>
      <c r="N838" t="s">
        <v>20</v>
      </c>
      <c r="O838">
        <f>COUNT(G839:G870)</f>
        <v>31</v>
      </c>
    </row>
    <row r="839" spans="1:15" x14ac:dyDescent="0.3">
      <c r="A839" s="12">
        <v>1</v>
      </c>
      <c r="B839" s="45" t="s">
        <v>203</v>
      </c>
      <c r="C839" s="45" t="s">
        <v>92</v>
      </c>
      <c r="D839" s="12" t="s">
        <v>1245</v>
      </c>
      <c r="E839" s="12">
        <v>10</v>
      </c>
      <c r="F839" s="12">
        <v>25</v>
      </c>
      <c r="G839" s="12">
        <f>SUM(E839:F839)</f>
        <v>35</v>
      </c>
      <c r="H839" s="12"/>
      <c r="I839" s="12"/>
      <c r="J839" s="12">
        <v>34</v>
      </c>
      <c r="K839" s="12">
        <f>SUM(G839:J839)</f>
        <v>69</v>
      </c>
      <c r="L839" t="str">
        <f t="shared" ref="L839:L844" si="59">IF(K839&gt;=80,"A",IF(K839&gt;=70,"B+",IF(K839&gt;=60,"B",IF(K839&gt;=55,"C+",IF(K839&gt;=50,"C",IF(K839&gt;=45,"D+",IF(K839&gt;=40,"D","F")))))))</f>
        <v>B</v>
      </c>
      <c r="M839" t="str">
        <f t="shared" ref="M839:M844" si="60">IF(K839&gt;=50,"Passed","Failed")</f>
        <v>Passed</v>
      </c>
      <c r="N839" t="s">
        <v>21</v>
      </c>
      <c r="O839">
        <f>COUNT(J839:J870)</f>
        <v>30</v>
      </c>
    </row>
    <row r="840" spans="1:15" x14ac:dyDescent="0.3">
      <c r="A840" s="12">
        <v>2</v>
      </c>
      <c r="B840" s="45" t="s">
        <v>145</v>
      </c>
      <c r="C840" s="45" t="s">
        <v>93</v>
      </c>
      <c r="D840" s="12" t="s">
        <v>1251</v>
      </c>
      <c r="E840" s="12">
        <v>10</v>
      </c>
      <c r="F840" s="12">
        <v>22</v>
      </c>
      <c r="G840" s="12">
        <f t="shared" ref="G840:G870" si="61">SUM(E840:F840)</f>
        <v>32</v>
      </c>
      <c r="H840" s="12"/>
      <c r="I840" s="12"/>
      <c r="J840" s="12">
        <v>16</v>
      </c>
      <c r="K840" s="12">
        <f t="shared" ref="K840:K870" si="62">SUM(G840:J840)</f>
        <v>48</v>
      </c>
      <c r="L840" t="str">
        <f t="shared" si="59"/>
        <v>D+</v>
      </c>
      <c r="M840" t="str">
        <f t="shared" si="60"/>
        <v>Failed</v>
      </c>
      <c r="N840" t="s">
        <v>22</v>
      </c>
      <c r="O840">
        <f>O838-O839</f>
        <v>1</v>
      </c>
    </row>
    <row r="841" spans="1:15" x14ac:dyDescent="0.3">
      <c r="A841" s="12">
        <v>3</v>
      </c>
      <c r="B841" s="45" t="s">
        <v>149</v>
      </c>
      <c r="C841" s="45" t="s">
        <v>97</v>
      </c>
      <c r="D841" s="12" t="s">
        <v>1256</v>
      </c>
      <c r="E841" s="12">
        <v>10</v>
      </c>
      <c r="F841" s="12">
        <v>25</v>
      </c>
      <c r="G841" s="12">
        <f t="shared" si="61"/>
        <v>35</v>
      </c>
      <c r="H841" s="12"/>
      <c r="I841" s="12"/>
      <c r="J841" s="12">
        <v>49</v>
      </c>
      <c r="K841" s="12">
        <f t="shared" si="62"/>
        <v>84</v>
      </c>
      <c r="L841" t="str">
        <f t="shared" si="59"/>
        <v>A</v>
      </c>
      <c r="M841" t="str">
        <f t="shared" si="60"/>
        <v>Passed</v>
      </c>
      <c r="N841" t="s">
        <v>23</v>
      </c>
      <c r="O841">
        <f>COUNTIF(M839:M870,"Passed")</f>
        <v>25</v>
      </c>
    </row>
    <row r="842" spans="1:15" x14ac:dyDescent="0.3">
      <c r="A842" s="12">
        <v>4</v>
      </c>
      <c r="B842" s="45" t="s">
        <v>152</v>
      </c>
      <c r="C842" s="45" t="s">
        <v>100</v>
      </c>
      <c r="D842" s="12" t="s">
        <v>1253</v>
      </c>
      <c r="E842" s="12">
        <v>10</v>
      </c>
      <c r="F842" s="12">
        <v>22</v>
      </c>
      <c r="G842" s="12">
        <f t="shared" si="61"/>
        <v>32</v>
      </c>
      <c r="H842" s="12"/>
      <c r="I842" s="12"/>
      <c r="J842" s="12">
        <v>29</v>
      </c>
      <c r="K842" s="12">
        <f t="shared" si="62"/>
        <v>61</v>
      </c>
      <c r="L842" t="str">
        <f t="shared" si="59"/>
        <v>B</v>
      </c>
      <c r="M842" t="str">
        <f t="shared" si="60"/>
        <v>Passed</v>
      </c>
      <c r="N842" t="s">
        <v>24</v>
      </c>
      <c r="O842">
        <f>O841/O839%</f>
        <v>83.333333333333343</v>
      </c>
    </row>
    <row r="843" spans="1:15" x14ac:dyDescent="0.3">
      <c r="A843" s="12">
        <v>5</v>
      </c>
      <c r="B843" s="45" t="s">
        <v>156</v>
      </c>
      <c r="C843" s="45" t="s">
        <v>104</v>
      </c>
      <c r="D843" s="12" t="s">
        <v>1255</v>
      </c>
      <c r="E843" s="12">
        <v>10</v>
      </c>
      <c r="F843" s="12">
        <v>25</v>
      </c>
      <c r="G843" s="12">
        <f t="shared" si="61"/>
        <v>35</v>
      </c>
      <c r="H843" s="12"/>
      <c r="I843" s="12"/>
      <c r="J843" s="12">
        <v>46</v>
      </c>
      <c r="K843" s="12">
        <f t="shared" si="62"/>
        <v>81</v>
      </c>
      <c r="L843" t="str">
        <f t="shared" si="59"/>
        <v>A</v>
      </c>
      <c r="M843" t="str">
        <f t="shared" si="60"/>
        <v>Passed</v>
      </c>
      <c r="N843" t="s">
        <v>25</v>
      </c>
      <c r="O843">
        <f>COUNTIF(M839:M870,"failed")</f>
        <v>5</v>
      </c>
    </row>
    <row r="844" spans="1:15" x14ac:dyDescent="0.3">
      <c r="A844" s="12">
        <v>6</v>
      </c>
      <c r="B844" s="45" t="s">
        <v>160</v>
      </c>
      <c r="C844" s="45" t="s">
        <v>109</v>
      </c>
      <c r="D844" s="12" t="s">
        <v>1244</v>
      </c>
      <c r="E844" s="12">
        <v>10</v>
      </c>
      <c r="F844" s="12">
        <v>25</v>
      </c>
      <c r="G844" s="12">
        <f t="shared" si="61"/>
        <v>35</v>
      </c>
      <c r="H844" s="12"/>
      <c r="I844" s="12"/>
      <c r="J844" s="12">
        <v>35</v>
      </c>
      <c r="K844" s="12">
        <f t="shared" si="62"/>
        <v>70</v>
      </c>
      <c r="L844" t="str">
        <f t="shared" si="59"/>
        <v>B+</v>
      </c>
      <c r="M844" t="str">
        <f t="shared" si="60"/>
        <v>Passed</v>
      </c>
      <c r="N844" t="s">
        <v>26</v>
      </c>
      <c r="O844">
        <f>O843/O839%</f>
        <v>16.666666666666668</v>
      </c>
    </row>
    <row r="845" spans="1:15" x14ac:dyDescent="0.3">
      <c r="A845" s="12">
        <v>7</v>
      </c>
      <c r="B845" s="45" t="s">
        <v>207</v>
      </c>
      <c r="C845" s="45" t="s">
        <v>110</v>
      </c>
      <c r="D845" s="12" t="s">
        <v>1239</v>
      </c>
      <c r="E845" s="12">
        <v>2</v>
      </c>
      <c r="F845" s="12"/>
      <c r="G845" s="12">
        <f t="shared" si="61"/>
        <v>2</v>
      </c>
      <c r="H845" s="12"/>
      <c r="I845" s="12"/>
      <c r="J845" s="12" t="s">
        <v>1938</v>
      </c>
      <c r="K845" s="12"/>
      <c r="N845" t="s">
        <v>27</v>
      </c>
      <c r="O845" s="179">
        <f>AVERAGE(K839:K870)</f>
        <v>59.716666666666669</v>
      </c>
    </row>
    <row r="846" spans="1:15" x14ac:dyDescent="0.3">
      <c r="A846" s="12">
        <v>8</v>
      </c>
      <c r="B846" s="45" t="s">
        <v>163</v>
      </c>
      <c r="C846" s="45" t="s">
        <v>113</v>
      </c>
      <c r="D846" s="12" t="s">
        <v>1257</v>
      </c>
      <c r="E846" s="12">
        <v>10</v>
      </c>
      <c r="F846" s="12">
        <v>23</v>
      </c>
      <c r="G846" s="12">
        <f t="shared" si="61"/>
        <v>33</v>
      </c>
      <c r="H846" s="12"/>
      <c r="I846" s="12"/>
      <c r="J846" s="12">
        <v>35</v>
      </c>
      <c r="K846" s="12">
        <f t="shared" si="62"/>
        <v>68</v>
      </c>
      <c r="L846" t="str">
        <f t="shared" ref="L846:L848" si="63">IF(K846&gt;=80,"A",IF(K846&gt;=70,"B+",IF(K846&gt;=60,"B",IF(K846&gt;=55,"C+",IF(K846&gt;=50,"C",IF(K846&gt;=45,"D+",IF(K846&gt;=40,"D","F")))))))</f>
        <v>B</v>
      </c>
      <c r="M846" t="str">
        <f t="shared" ref="M846:M848" si="64">IF(K846&gt;=50,"Passed","Failed")</f>
        <v>Passed</v>
      </c>
    </row>
    <row r="847" spans="1:15" x14ac:dyDescent="0.3">
      <c r="A847" s="12">
        <v>9</v>
      </c>
      <c r="B847" s="45" t="s">
        <v>480</v>
      </c>
      <c r="C847" s="45" t="s">
        <v>115</v>
      </c>
      <c r="D847" s="12" t="s">
        <v>1248</v>
      </c>
      <c r="E847" s="12">
        <v>10</v>
      </c>
      <c r="F847" s="12">
        <v>17</v>
      </c>
      <c r="G847" s="12">
        <f t="shared" si="61"/>
        <v>27</v>
      </c>
      <c r="H847" s="12"/>
      <c r="I847" s="12"/>
      <c r="J847" s="12">
        <v>32</v>
      </c>
      <c r="K847" s="12">
        <f t="shared" si="62"/>
        <v>59</v>
      </c>
      <c r="L847" t="str">
        <f t="shared" si="63"/>
        <v>C+</v>
      </c>
      <c r="M847" t="str">
        <f t="shared" si="64"/>
        <v>Passed</v>
      </c>
    </row>
    <row r="848" spans="1:15" x14ac:dyDescent="0.3">
      <c r="A848" s="12">
        <v>10</v>
      </c>
      <c r="B848" s="45" t="s">
        <v>200</v>
      </c>
      <c r="C848" s="45" t="s">
        <v>119</v>
      </c>
      <c r="D848" s="12" t="s">
        <v>1263</v>
      </c>
      <c r="E848" s="12">
        <v>10</v>
      </c>
      <c r="F848" s="12"/>
      <c r="G848" s="12">
        <f t="shared" si="61"/>
        <v>10</v>
      </c>
      <c r="H848" s="12"/>
      <c r="I848" s="12"/>
      <c r="J848" s="12">
        <v>12</v>
      </c>
      <c r="K848" s="12">
        <f t="shared" si="62"/>
        <v>22</v>
      </c>
      <c r="L848" t="str">
        <f t="shared" si="63"/>
        <v>F</v>
      </c>
      <c r="M848" t="str">
        <f t="shared" si="64"/>
        <v>Failed</v>
      </c>
    </row>
    <row r="849" spans="1:22" x14ac:dyDescent="0.3">
      <c r="A849" s="12">
        <v>11</v>
      </c>
      <c r="B849" s="45" t="s">
        <v>205</v>
      </c>
      <c r="C849" s="45" t="s">
        <v>120</v>
      </c>
      <c r="D849" s="12" t="s">
        <v>1239</v>
      </c>
      <c r="E849" s="12"/>
      <c r="F849" s="12"/>
      <c r="G849" s="12"/>
      <c r="H849" s="12"/>
      <c r="I849" s="12"/>
      <c r="J849" s="12"/>
      <c r="K849" s="12"/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 t="s">
        <v>33</v>
      </c>
      <c r="U849" t="s">
        <v>34</v>
      </c>
      <c r="V849" t="s">
        <v>35</v>
      </c>
    </row>
    <row r="850" spans="1:22" x14ac:dyDescent="0.3">
      <c r="A850" s="12">
        <v>12</v>
      </c>
      <c r="B850" s="45" t="s">
        <v>168</v>
      </c>
      <c r="C850" s="45" t="s">
        <v>121</v>
      </c>
      <c r="D850" s="12" t="s">
        <v>1262</v>
      </c>
      <c r="E850" s="12">
        <v>10</v>
      </c>
      <c r="F850" s="12">
        <v>24</v>
      </c>
      <c r="G850" s="12">
        <f t="shared" si="61"/>
        <v>34</v>
      </c>
      <c r="H850" s="12"/>
      <c r="I850" s="12"/>
      <c r="J850" s="12">
        <v>25</v>
      </c>
      <c r="K850" s="12">
        <f t="shared" si="62"/>
        <v>59</v>
      </c>
      <c r="L850" t="str">
        <f t="shared" ref="L850:L870" si="65">IF(K850&gt;=80,"A",IF(K850&gt;=70,"B+",IF(K850&gt;=60,"B",IF(K850&gt;=55,"C+",IF(K850&gt;=50,"C",IF(K850&gt;=45,"D+",IF(K850&gt;=40,"D","F")))))))</f>
        <v>C+</v>
      </c>
      <c r="M850" t="str">
        <f t="shared" ref="M850:M870" si="66">IF(K850&gt;=50,"Passed","Failed")</f>
        <v>Passed</v>
      </c>
      <c r="O850">
        <f>COUNTIF(L839:L870,"A")</f>
        <v>4</v>
      </c>
      <c r="P850">
        <f>COUNTIF(L839:L870,"B+")</f>
        <v>2</v>
      </c>
      <c r="Q850">
        <f>COUNTIF(L839:L870,"B")</f>
        <v>7</v>
      </c>
      <c r="R850">
        <f>COUNTIF(L839:L870,"C+")</f>
        <v>7</v>
      </c>
      <c r="S850">
        <f>COUNTIF(L839:L870,"C")</f>
        <v>5</v>
      </c>
      <c r="T850">
        <f>COUNTIF(L839:L870,"D+")</f>
        <v>2</v>
      </c>
      <c r="U850">
        <f>COUNTIF(L839:L870,"D")</f>
        <v>1</v>
      </c>
      <c r="V850">
        <f>COUNTIF(L839:L870,"F")</f>
        <v>2</v>
      </c>
    </row>
    <row r="851" spans="1:22" x14ac:dyDescent="0.3">
      <c r="A851" s="12">
        <v>13</v>
      </c>
      <c r="B851" s="45" t="s">
        <v>170</v>
      </c>
      <c r="C851" s="45" t="s">
        <v>124</v>
      </c>
      <c r="D851" s="12" t="s">
        <v>1264</v>
      </c>
      <c r="E851" s="12">
        <v>9</v>
      </c>
      <c r="F851" s="12">
        <v>23</v>
      </c>
      <c r="G851" s="12">
        <f t="shared" si="61"/>
        <v>32</v>
      </c>
      <c r="H851" s="12"/>
      <c r="I851" s="12"/>
      <c r="J851" s="12">
        <v>32</v>
      </c>
      <c r="K851" s="12">
        <f t="shared" si="62"/>
        <v>64</v>
      </c>
      <c r="L851" t="str">
        <f t="shared" si="65"/>
        <v>B</v>
      </c>
      <c r="M851" t="str">
        <f t="shared" si="66"/>
        <v>Passed</v>
      </c>
    </row>
    <row r="852" spans="1:22" x14ac:dyDescent="0.3">
      <c r="A852" s="12">
        <v>14</v>
      </c>
      <c r="B852" s="45" t="s">
        <v>172</v>
      </c>
      <c r="C852" s="45" t="s">
        <v>126</v>
      </c>
      <c r="D852" s="12" t="s">
        <v>1246</v>
      </c>
      <c r="E852" s="12">
        <v>10</v>
      </c>
      <c r="F852" s="12">
        <v>23</v>
      </c>
      <c r="G852" s="12">
        <f t="shared" si="61"/>
        <v>33</v>
      </c>
      <c r="H852" s="12"/>
      <c r="I852" s="12"/>
      <c r="J852" s="12">
        <v>18</v>
      </c>
      <c r="K852" s="12">
        <f t="shared" si="62"/>
        <v>51</v>
      </c>
      <c r="L852" t="str">
        <f t="shared" si="65"/>
        <v>C</v>
      </c>
      <c r="M852" t="str">
        <f t="shared" si="66"/>
        <v>Passed</v>
      </c>
    </row>
    <row r="853" spans="1:22" x14ac:dyDescent="0.3">
      <c r="A853" s="12">
        <v>15</v>
      </c>
      <c r="B853" s="45" t="s">
        <v>173</v>
      </c>
      <c r="C853" s="45" t="s">
        <v>127</v>
      </c>
      <c r="D853" s="12" t="s">
        <v>1243</v>
      </c>
      <c r="E853" s="12">
        <v>10</v>
      </c>
      <c r="F853" s="12">
        <v>20</v>
      </c>
      <c r="G853" s="12">
        <f t="shared" si="61"/>
        <v>30</v>
      </c>
      <c r="H853" s="12"/>
      <c r="I853" s="12"/>
      <c r="J853" s="12">
        <v>29</v>
      </c>
      <c r="K853" s="12">
        <f t="shared" si="62"/>
        <v>59</v>
      </c>
      <c r="L853" t="str">
        <f t="shared" si="65"/>
        <v>C+</v>
      </c>
      <c r="M853" t="str">
        <f t="shared" si="66"/>
        <v>Passed</v>
      </c>
    </row>
    <row r="854" spans="1:22" x14ac:dyDescent="0.3">
      <c r="A854" s="12">
        <v>16</v>
      </c>
      <c r="B854" s="45" t="s">
        <v>175</v>
      </c>
      <c r="C854" s="45" t="s">
        <v>131</v>
      </c>
      <c r="D854" s="12" t="s">
        <v>1258</v>
      </c>
      <c r="E854" s="12">
        <v>10</v>
      </c>
      <c r="F854" s="12">
        <v>18</v>
      </c>
      <c r="G854" s="12">
        <f t="shared" si="61"/>
        <v>28</v>
      </c>
      <c r="H854" s="12"/>
      <c r="I854" s="12"/>
      <c r="J854" s="12">
        <v>30</v>
      </c>
      <c r="K854" s="12">
        <f t="shared" si="62"/>
        <v>58</v>
      </c>
      <c r="L854" t="str">
        <f t="shared" si="65"/>
        <v>C+</v>
      </c>
      <c r="M854" t="str">
        <f t="shared" si="66"/>
        <v>Passed</v>
      </c>
    </row>
    <row r="855" spans="1:22" x14ac:dyDescent="0.3">
      <c r="A855" s="12">
        <v>17</v>
      </c>
      <c r="B855" s="277" t="s">
        <v>178</v>
      </c>
      <c r="C855" s="45" t="s">
        <v>133</v>
      </c>
      <c r="D855" s="12" t="s">
        <v>1260</v>
      </c>
      <c r="E855" s="12">
        <v>10</v>
      </c>
      <c r="F855" s="12">
        <v>23</v>
      </c>
      <c r="G855" s="12">
        <f t="shared" si="61"/>
        <v>33</v>
      </c>
      <c r="H855" s="12"/>
      <c r="I855" s="12"/>
      <c r="J855" s="12">
        <v>49</v>
      </c>
      <c r="K855" s="12">
        <f t="shared" si="62"/>
        <v>82</v>
      </c>
      <c r="L855" t="str">
        <f t="shared" si="65"/>
        <v>A</v>
      </c>
      <c r="M855" t="str">
        <f t="shared" si="66"/>
        <v>Passed</v>
      </c>
    </row>
    <row r="856" spans="1:22" x14ac:dyDescent="0.3">
      <c r="A856" s="12">
        <v>18</v>
      </c>
      <c r="B856" s="45" t="s">
        <v>534</v>
      </c>
      <c r="C856" s="303" t="s">
        <v>363</v>
      </c>
      <c r="D856" s="12" t="s">
        <v>1252</v>
      </c>
      <c r="E856" s="12">
        <v>10</v>
      </c>
      <c r="F856" s="12">
        <v>20</v>
      </c>
      <c r="G856" s="12">
        <f t="shared" si="61"/>
        <v>30</v>
      </c>
      <c r="H856" s="12"/>
      <c r="I856" s="12"/>
      <c r="J856" s="12">
        <v>8</v>
      </c>
      <c r="K856" s="12">
        <f t="shared" si="62"/>
        <v>38</v>
      </c>
      <c r="L856" t="str">
        <f t="shared" si="65"/>
        <v>F</v>
      </c>
      <c r="M856" t="str">
        <f t="shared" si="66"/>
        <v>Failed</v>
      </c>
    </row>
    <row r="857" spans="1:22" x14ac:dyDescent="0.3">
      <c r="A857" s="12">
        <v>19</v>
      </c>
      <c r="B857" s="389" t="s">
        <v>144</v>
      </c>
      <c r="C857" s="304" t="s">
        <v>137</v>
      </c>
      <c r="D857" s="12" t="s">
        <v>1242</v>
      </c>
      <c r="E857" s="12">
        <v>10</v>
      </c>
      <c r="F857" s="12">
        <v>23</v>
      </c>
      <c r="G857" s="12">
        <f t="shared" si="61"/>
        <v>33</v>
      </c>
      <c r="H857" s="12"/>
      <c r="I857" s="12"/>
      <c r="J857" s="12">
        <v>20</v>
      </c>
      <c r="K857" s="12">
        <f t="shared" si="62"/>
        <v>53</v>
      </c>
      <c r="L857" t="str">
        <f t="shared" si="65"/>
        <v>C</v>
      </c>
      <c r="M857" t="str">
        <f t="shared" si="66"/>
        <v>Passed</v>
      </c>
    </row>
    <row r="858" spans="1:22" x14ac:dyDescent="0.3">
      <c r="A858" s="12">
        <v>20</v>
      </c>
      <c r="B858" s="390" t="s">
        <v>204</v>
      </c>
      <c r="C858" s="390" t="s">
        <v>138</v>
      </c>
      <c r="D858" s="12" t="s">
        <v>1259</v>
      </c>
      <c r="E858" s="12">
        <v>10</v>
      </c>
      <c r="F858" s="12">
        <v>21</v>
      </c>
      <c r="G858" s="12">
        <f t="shared" si="61"/>
        <v>31</v>
      </c>
      <c r="H858" s="12"/>
      <c r="I858" s="12"/>
      <c r="J858" s="12">
        <v>42</v>
      </c>
      <c r="K858" s="12">
        <f t="shared" si="62"/>
        <v>73</v>
      </c>
      <c r="L858" t="str">
        <f t="shared" si="65"/>
        <v>B+</v>
      </c>
      <c r="M858" t="str">
        <f t="shared" si="66"/>
        <v>Passed</v>
      </c>
    </row>
    <row r="859" spans="1:22" x14ac:dyDescent="0.3">
      <c r="A859" s="12">
        <v>21</v>
      </c>
      <c r="B859" s="305" t="s">
        <v>181</v>
      </c>
      <c r="C859" s="45" t="s">
        <v>139</v>
      </c>
      <c r="D859" s="12" t="s">
        <v>1265</v>
      </c>
      <c r="E859" s="12">
        <v>10</v>
      </c>
      <c r="F859" s="12">
        <v>23</v>
      </c>
      <c r="G859" s="12">
        <f t="shared" si="61"/>
        <v>33</v>
      </c>
      <c r="H859" s="12"/>
      <c r="I859" s="12"/>
      <c r="J859" s="12">
        <v>18</v>
      </c>
      <c r="K859" s="12">
        <f t="shared" si="62"/>
        <v>51</v>
      </c>
      <c r="L859" t="str">
        <f t="shared" si="65"/>
        <v>C</v>
      </c>
      <c r="M859" t="str">
        <f t="shared" si="66"/>
        <v>Passed</v>
      </c>
    </row>
    <row r="860" spans="1:22" x14ac:dyDescent="0.3">
      <c r="A860" s="12">
        <v>22</v>
      </c>
      <c r="B860" s="391" t="s">
        <v>201</v>
      </c>
      <c r="C860" s="45" t="s">
        <v>141</v>
      </c>
      <c r="D860" s="12" t="s">
        <v>1240</v>
      </c>
      <c r="E860" s="12">
        <v>10</v>
      </c>
      <c r="F860" s="12">
        <v>25</v>
      </c>
      <c r="G860" s="12">
        <f t="shared" si="61"/>
        <v>35</v>
      </c>
      <c r="H860" s="12"/>
      <c r="I860" s="12"/>
      <c r="J860" s="12">
        <v>13</v>
      </c>
      <c r="K860" s="12">
        <f t="shared" si="62"/>
        <v>48</v>
      </c>
      <c r="L860" t="str">
        <f t="shared" si="65"/>
        <v>D+</v>
      </c>
      <c r="M860" t="str">
        <f t="shared" si="66"/>
        <v>Failed</v>
      </c>
    </row>
    <row r="861" spans="1:22" x14ac:dyDescent="0.3">
      <c r="A861" s="12">
        <v>23</v>
      </c>
      <c r="B861" s="45" t="s">
        <v>176</v>
      </c>
      <c r="C861" s="45" t="s">
        <v>481</v>
      </c>
      <c r="D861" s="12" t="s">
        <v>1241</v>
      </c>
      <c r="E861" s="12">
        <v>8</v>
      </c>
      <c r="F861" s="12">
        <v>20</v>
      </c>
      <c r="G861" s="12">
        <f t="shared" si="61"/>
        <v>28</v>
      </c>
      <c r="H861" s="12"/>
      <c r="I861" s="12"/>
      <c r="J861" s="12">
        <v>15</v>
      </c>
      <c r="K861" s="12">
        <f t="shared" si="62"/>
        <v>43</v>
      </c>
      <c r="L861" t="str">
        <f t="shared" si="65"/>
        <v>D</v>
      </c>
      <c r="M861" t="str">
        <f t="shared" si="66"/>
        <v>Failed</v>
      </c>
    </row>
    <row r="862" spans="1:22" x14ac:dyDescent="0.3">
      <c r="A862" s="12">
        <v>24</v>
      </c>
      <c r="B862" s="12" t="s">
        <v>148</v>
      </c>
      <c r="C862" s="12" t="s">
        <v>96</v>
      </c>
      <c r="D862" s="12" t="s">
        <v>1266</v>
      </c>
      <c r="E862" s="12">
        <v>10</v>
      </c>
      <c r="F862" s="12">
        <v>24</v>
      </c>
      <c r="G862" s="12">
        <f t="shared" si="61"/>
        <v>34</v>
      </c>
      <c r="H862" s="12"/>
      <c r="I862" s="12"/>
      <c r="J862" s="12">
        <v>24</v>
      </c>
      <c r="K862" s="12">
        <f t="shared" si="62"/>
        <v>58</v>
      </c>
      <c r="L862" t="str">
        <f t="shared" si="65"/>
        <v>C+</v>
      </c>
      <c r="M862" t="str">
        <f t="shared" si="66"/>
        <v>Passed</v>
      </c>
    </row>
    <row r="863" spans="1:22" x14ac:dyDescent="0.3">
      <c r="A863" s="12">
        <v>25</v>
      </c>
      <c r="B863" s="12" t="s">
        <v>153</v>
      </c>
      <c r="C863" s="12" t="s">
        <v>101</v>
      </c>
      <c r="D863" s="12" t="s">
        <v>1261</v>
      </c>
      <c r="E863" s="12">
        <v>8</v>
      </c>
      <c r="F863" s="12">
        <v>22</v>
      </c>
      <c r="G863" s="12">
        <f t="shared" si="61"/>
        <v>30</v>
      </c>
      <c r="H863" s="12"/>
      <c r="I863" s="12"/>
      <c r="J863" s="12">
        <v>29</v>
      </c>
      <c r="K863" s="12">
        <f t="shared" si="62"/>
        <v>59</v>
      </c>
      <c r="L863" t="str">
        <f t="shared" si="65"/>
        <v>C+</v>
      </c>
      <c r="M863" t="str">
        <f t="shared" si="66"/>
        <v>Passed</v>
      </c>
    </row>
    <row r="864" spans="1:22" x14ac:dyDescent="0.3">
      <c r="A864" s="12">
        <v>26</v>
      </c>
      <c r="B864" s="12" t="s">
        <v>154</v>
      </c>
      <c r="C864" s="12" t="s">
        <v>102</v>
      </c>
      <c r="D864" s="12" t="s">
        <v>1268</v>
      </c>
      <c r="E864" s="12">
        <v>9</v>
      </c>
      <c r="F864" s="12">
        <v>23</v>
      </c>
      <c r="G864" s="12">
        <f t="shared" si="61"/>
        <v>32</v>
      </c>
      <c r="H864" s="12"/>
      <c r="I864" s="12"/>
      <c r="J864" s="12">
        <v>18</v>
      </c>
      <c r="K864" s="12">
        <f t="shared" si="62"/>
        <v>50</v>
      </c>
      <c r="L864" t="str">
        <f t="shared" si="65"/>
        <v>C</v>
      </c>
      <c r="M864" t="str">
        <f t="shared" si="66"/>
        <v>Passed</v>
      </c>
    </row>
    <row r="865" spans="1:13" x14ac:dyDescent="0.3">
      <c r="A865" s="12">
        <v>27</v>
      </c>
      <c r="B865" s="12" t="s">
        <v>162</v>
      </c>
      <c r="C865" s="12" t="s">
        <v>112</v>
      </c>
      <c r="D865" s="12" t="s">
        <v>1269</v>
      </c>
      <c r="E865" s="12">
        <v>9</v>
      </c>
      <c r="F865" s="12">
        <v>24</v>
      </c>
      <c r="G865" s="12">
        <f t="shared" si="61"/>
        <v>33</v>
      </c>
      <c r="H865" s="12"/>
      <c r="I865" s="12"/>
      <c r="J865" s="12">
        <v>27</v>
      </c>
      <c r="K865" s="12">
        <f t="shared" si="62"/>
        <v>60</v>
      </c>
      <c r="L865" t="str">
        <f t="shared" si="65"/>
        <v>B</v>
      </c>
      <c r="M865" t="str">
        <f t="shared" si="66"/>
        <v>Passed</v>
      </c>
    </row>
    <row r="866" spans="1:13" x14ac:dyDescent="0.3">
      <c r="A866" s="12">
        <v>28</v>
      </c>
      <c r="B866" s="12" t="s">
        <v>164</v>
      </c>
      <c r="C866" s="12" t="s">
        <v>114</v>
      </c>
      <c r="D866" s="12" t="s">
        <v>1254</v>
      </c>
      <c r="E866" s="12">
        <v>10</v>
      </c>
      <c r="F866" s="12">
        <v>26</v>
      </c>
      <c r="G866" s="12">
        <f t="shared" si="61"/>
        <v>36</v>
      </c>
      <c r="H866" s="12"/>
      <c r="I866" s="12"/>
      <c r="J866" s="12">
        <v>24</v>
      </c>
      <c r="K866" s="12">
        <f t="shared" si="62"/>
        <v>60</v>
      </c>
      <c r="L866" t="str">
        <f t="shared" si="65"/>
        <v>B</v>
      </c>
      <c r="M866" t="str">
        <f t="shared" si="66"/>
        <v>Passed</v>
      </c>
    </row>
    <row r="867" spans="1:13" x14ac:dyDescent="0.3">
      <c r="A867" s="12">
        <v>29</v>
      </c>
      <c r="B867" s="60" t="s">
        <v>165</v>
      </c>
      <c r="C867" s="12" t="s">
        <v>116</v>
      </c>
      <c r="D867" s="12" t="s">
        <v>1247</v>
      </c>
      <c r="E867" s="12">
        <v>10</v>
      </c>
      <c r="F867" s="12">
        <v>27</v>
      </c>
      <c r="G867" s="12">
        <f t="shared" si="61"/>
        <v>37</v>
      </c>
      <c r="H867" s="12"/>
      <c r="I867" s="12"/>
      <c r="J867" s="12">
        <v>52</v>
      </c>
      <c r="K867" s="12">
        <f t="shared" si="62"/>
        <v>89</v>
      </c>
      <c r="L867" t="str">
        <f t="shared" si="65"/>
        <v>A</v>
      </c>
      <c r="M867" t="str">
        <f t="shared" si="66"/>
        <v>Passed</v>
      </c>
    </row>
    <row r="868" spans="1:13" x14ac:dyDescent="0.3">
      <c r="A868" s="12">
        <v>30</v>
      </c>
      <c r="B868" s="12" t="s">
        <v>206</v>
      </c>
      <c r="C868" s="12" t="s">
        <v>123</v>
      </c>
      <c r="D868" s="12" t="s">
        <v>1267</v>
      </c>
      <c r="E868" s="12">
        <v>10</v>
      </c>
      <c r="F868" s="12">
        <v>24</v>
      </c>
      <c r="G868" s="12">
        <f t="shared" si="61"/>
        <v>34</v>
      </c>
      <c r="H868" s="12"/>
      <c r="I868" s="12"/>
      <c r="J868" s="12">
        <v>31</v>
      </c>
      <c r="K868" s="12">
        <f t="shared" si="62"/>
        <v>65</v>
      </c>
      <c r="L868" t="str">
        <f t="shared" si="65"/>
        <v>B</v>
      </c>
      <c r="M868" t="str">
        <f t="shared" si="66"/>
        <v>Passed</v>
      </c>
    </row>
    <row r="869" spans="1:13" x14ac:dyDescent="0.3">
      <c r="A869" s="12">
        <v>31</v>
      </c>
      <c r="B869" s="12" t="s">
        <v>202</v>
      </c>
      <c r="C869" s="12" t="s">
        <v>135</v>
      </c>
      <c r="D869" s="12" t="s">
        <v>1270</v>
      </c>
      <c r="E869" s="12">
        <v>7.5</v>
      </c>
      <c r="F869" s="12">
        <v>20</v>
      </c>
      <c r="G869" s="12">
        <f t="shared" si="61"/>
        <v>27.5</v>
      </c>
      <c r="H869" s="12"/>
      <c r="I869" s="12"/>
      <c r="J869" s="12">
        <v>23</v>
      </c>
      <c r="K869" s="241">
        <f t="shared" si="62"/>
        <v>50.5</v>
      </c>
      <c r="L869" t="str">
        <f t="shared" si="65"/>
        <v>C</v>
      </c>
      <c r="M869" t="str">
        <f t="shared" si="66"/>
        <v>Passed</v>
      </c>
    </row>
    <row r="870" spans="1:13" x14ac:dyDescent="0.3">
      <c r="A870" s="12">
        <v>32</v>
      </c>
      <c r="B870" s="12" t="s">
        <v>1249</v>
      </c>
      <c r="C870" s="12" t="s">
        <v>422</v>
      </c>
      <c r="D870" s="12" t="s">
        <v>1250</v>
      </c>
      <c r="E870" s="12">
        <v>8</v>
      </c>
      <c r="F870" s="12">
        <v>22</v>
      </c>
      <c r="G870" s="12">
        <f t="shared" si="61"/>
        <v>30</v>
      </c>
      <c r="H870" s="12"/>
      <c r="I870" s="12"/>
      <c r="J870" s="12">
        <v>29</v>
      </c>
      <c r="K870" s="12">
        <f t="shared" si="62"/>
        <v>59</v>
      </c>
      <c r="L870" t="str">
        <f t="shared" si="65"/>
        <v>C+</v>
      </c>
      <c r="M870" t="str">
        <f t="shared" si="66"/>
        <v>Passed</v>
      </c>
    </row>
    <row r="871" spans="1:13" x14ac:dyDescent="0.3">
      <c r="B871" s="56"/>
      <c r="C871" s="56"/>
    </row>
    <row r="872" spans="1:13" x14ac:dyDescent="0.3">
      <c r="B872" s="56"/>
      <c r="C872" s="56"/>
    </row>
    <row r="873" spans="1:13" x14ac:dyDescent="0.3">
      <c r="B873" s="56"/>
      <c r="C873" s="56"/>
    </row>
    <row r="874" spans="1:13" x14ac:dyDescent="0.3">
      <c r="B874" s="56"/>
      <c r="C874" s="56"/>
    </row>
    <row r="875" spans="1:13" x14ac:dyDescent="0.3">
      <c r="B875" s="56"/>
      <c r="C875" s="56"/>
    </row>
    <row r="876" spans="1:13" x14ac:dyDescent="0.3">
      <c r="B876" s="56"/>
      <c r="C876" s="56"/>
    </row>
    <row r="877" spans="1:13" x14ac:dyDescent="0.3">
      <c r="B877" s="56"/>
      <c r="C877" s="56"/>
    </row>
    <row r="878" spans="1:13" x14ac:dyDescent="0.3">
      <c r="B878" s="56"/>
      <c r="C878" s="56"/>
    </row>
    <row r="879" spans="1:13" x14ac:dyDescent="0.3">
      <c r="B879" s="56"/>
      <c r="C879" s="56"/>
    </row>
    <row r="880" spans="1:13" x14ac:dyDescent="0.3">
      <c r="B880" s="56"/>
      <c r="C880" s="56"/>
    </row>
    <row r="883" spans="1:15" x14ac:dyDescent="0.3">
      <c r="A883" s="450" t="s">
        <v>0</v>
      </c>
      <c r="B883" s="451"/>
      <c r="C883" s="451"/>
      <c r="D883" s="451"/>
      <c r="E883" s="451"/>
      <c r="F883" s="451"/>
      <c r="G883" s="451"/>
      <c r="H883" s="451"/>
      <c r="I883" s="451"/>
      <c r="J883" s="451"/>
      <c r="K883" s="451"/>
      <c r="L883" s="451"/>
    </row>
    <row r="884" spans="1:15" x14ac:dyDescent="0.3">
      <c r="A884" s="14" t="s">
        <v>66</v>
      </c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 spans="1:15" x14ac:dyDescent="0.3">
      <c r="A885" s="460" t="s">
        <v>362</v>
      </c>
      <c r="B885" s="461"/>
      <c r="C885" s="461"/>
      <c r="D885" s="40"/>
      <c r="E885" s="40"/>
      <c r="F885" s="40"/>
      <c r="G885" s="40"/>
      <c r="H885" s="40"/>
      <c r="I885" s="40"/>
      <c r="J885" s="40"/>
      <c r="K885" s="40"/>
      <c r="L885" s="52"/>
      <c r="M885" s="53"/>
      <c r="N885" s="53"/>
      <c r="O885" s="54"/>
    </row>
    <row r="886" spans="1:15" x14ac:dyDescent="0.3">
      <c r="A886" s="450" t="s">
        <v>1</v>
      </c>
      <c r="B886" s="462" t="s">
        <v>483</v>
      </c>
      <c r="C886" s="462"/>
      <c r="D886" s="450"/>
      <c r="E886" s="450"/>
      <c r="F886" s="450"/>
      <c r="G886" s="450"/>
      <c r="H886" s="450"/>
      <c r="I886" s="450"/>
      <c r="J886" s="450"/>
      <c r="K886" s="450"/>
      <c r="L886" s="451"/>
    </row>
    <row r="887" spans="1:15" x14ac:dyDescent="0.3">
      <c r="A887" s="450" t="s">
        <v>3</v>
      </c>
      <c r="B887" s="462" t="s">
        <v>1539</v>
      </c>
      <c r="C887" s="462"/>
      <c r="D887" s="450"/>
      <c r="E887" s="450"/>
      <c r="F887" s="450"/>
      <c r="G887" s="450"/>
      <c r="H887" s="450"/>
      <c r="I887" s="450"/>
      <c r="J887" s="450"/>
      <c r="K887" s="450"/>
      <c r="L887" s="451"/>
    </row>
    <row r="888" spans="1:15" x14ac:dyDescent="0.3">
      <c r="A888" s="450" t="s">
        <v>4</v>
      </c>
      <c r="B888" s="462" t="s">
        <v>482</v>
      </c>
      <c r="C888" s="462"/>
      <c r="D888" s="450"/>
      <c r="E888" s="450"/>
      <c r="F888" s="450"/>
      <c r="G888" s="450"/>
      <c r="H888" s="450"/>
      <c r="I888" s="450"/>
      <c r="J888" s="450"/>
      <c r="K888" s="450"/>
      <c r="L888" s="451"/>
    </row>
    <row r="889" spans="1:15" x14ac:dyDescent="0.3">
      <c r="A889" s="450" t="s">
        <v>5</v>
      </c>
      <c r="B889" s="463">
        <v>3</v>
      </c>
      <c r="C889" s="463"/>
      <c r="D889" s="450"/>
      <c r="E889" s="450"/>
      <c r="F889" s="450"/>
      <c r="G889" s="450"/>
      <c r="H889" s="450"/>
      <c r="I889" s="450"/>
      <c r="J889" s="450"/>
      <c r="K889" s="450"/>
      <c r="L889" s="451"/>
    </row>
    <row r="890" spans="1:15" x14ac:dyDescent="0.3">
      <c r="A890" s="450" t="s">
        <v>6</v>
      </c>
      <c r="B890" s="462" t="s">
        <v>1068</v>
      </c>
      <c r="C890" s="462"/>
      <c r="D890" s="450"/>
      <c r="E890" s="450"/>
      <c r="F890" s="450"/>
      <c r="G890" s="450"/>
      <c r="H890" s="450"/>
      <c r="I890" s="450"/>
      <c r="J890" s="450"/>
      <c r="K890" s="450"/>
      <c r="L890" s="451"/>
    </row>
    <row r="891" spans="1:15" x14ac:dyDescent="0.3">
      <c r="A891" s="450" t="s">
        <v>68</v>
      </c>
      <c r="B891" s="462" t="s">
        <v>540</v>
      </c>
      <c r="C891" s="462"/>
      <c r="D891" s="450"/>
      <c r="E891" s="450"/>
      <c r="F891" s="450"/>
      <c r="G891" s="450"/>
      <c r="H891" s="450"/>
      <c r="I891" s="450"/>
      <c r="J891" s="450"/>
      <c r="K891" s="450"/>
    </row>
    <row r="892" spans="1:15" x14ac:dyDescent="0.3">
      <c r="A892" s="4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 spans="1:15" ht="60" x14ac:dyDescent="0.3">
      <c r="A893" s="452" t="s">
        <v>8</v>
      </c>
      <c r="B893" s="452" t="s">
        <v>9</v>
      </c>
      <c r="C893" s="452" t="s">
        <v>10</v>
      </c>
      <c r="D893" s="43" t="s">
        <v>11</v>
      </c>
      <c r="E893" s="43" t="s">
        <v>12</v>
      </c>
      <c r="F893" s="43" t="s">
        <v>13</v>
      </c>
      <c r="G893" s="43" t="s">
        <v>14</v>
      </c>
      <c r="H893" s="43" t="s">
        <v>210</v>
      </c>
      <c r="I893" s="43" t="s">
        <v>209</v>
      </c>
      <c r="J893" s="43" t="s">
        <v>15</v>
      </c>
      <c r="K893" s="43" t="s">
        <v>16</v>
      </c>
      <c r="L893" s="14" t="s">
        <v>17</v>
      </c>
      <c r="M893" s="14" t="s">
        <v>18</v>
      </c>
      <c r="N893" s="14" t="s">
        <v>19</v>
      </c>
    </row>
    <row r="894" spans="1:15" x14ac:dyDescent="0.3">
      <c r="A894" s="12"/>
      <c r="B894" s="452"/>
      <c r="C894" s="452"/>
      <c r="D894" s="452"/>
      <c r="E894" s="452"/>
      <c r="F894" s="452"/>
      <c r="G894" s="452"/>
      <c r="H894" s="452"/>
      <c r="I894" s="452"/>
      <c r="J894" s="452"/>
      <c r="K894" s="452"/>
      <c r="N894" t="s">
        <v>20</v>
      </c>
      <c r="O894">
        <f>COUNT(G895:G903)</f>
        <v>9</v>
      </c>
    </row>
    <row r="895" spans="1:15" x14ac:dyDescent="0.3">
      <c r="A895" s="12">
        <v>1</v>
      </c>
      <c r="B895" s="12" t="s">
        <v>148</v>
      </c>
      <c r="C895" s="12" t="s">
        <v>96</v>
      </c>
      <c r="D895" s="12" t="s">
        <v>1540</v>
      </c>
      <c r="E895" s="12">
        <v>9</v>
      </c>
      <c r="F895" s="12">
        <v>21</v>
      </c>
      <c r="G895" s="12">
        <f>SUM(E895:F895)</f>
        <v>30</v>
      </c>
      <c r="H895" s="12"/>
      <c r="I895" s="12"/>
      <c r="J895" s="12">
        <v>13</v>
      </c>
      <c r="K895" s="12">
        <f>SUM(G895:J895)</f>
        <v>43</v>
      </c>
      <c r="L895" t="str">
        <f t="shared" ref="L895:L903" si="67">IF(K895&gt;=80,"A",IF(K895&gt;=70,"B+",IF(K895&gt;=60,"B",IF(K895&gt;=55,"C+",IF(K895&gt;=50,"C",IF(K895&gt;=45,"D+",IF(K895&gt;=40,"D","F")))))))</f>
        <v>D</v>
      </c>
      <c r="M895" t="str">
        <f t="shared" ref="M895:M903" si="68">IF(K895&gt;=50,"Passed","Failed")</f>
        <v>Failed</v>
      </c>
      <c r="N895" t="s">
        <v>21</v>
      </c>
      <c r="O895">
        <f>COUNT(J895:J903)</f>
        <v>9</v>
      </c>
    </row>
    <row r="896" spans="1:15" x14ac:dyDescent="0.3">
      <c r="A896" s="12">
        <v>2</v>
      </c>
      <c r="B896" s="12" t="s">
        <v>153</v>
      </c>
      <c r="C896" s="12" t="s">
        <v>101</v>
      </c>
      <c r="D896" s="12" t="s">
        <v>1544</v>
      </c>
      <c r="E896" s="12">
        <v>8</v>
      </c>
      <c r="F896" s="12">
        <v>24</v>
      </c>
      <c r="G896" s="12">
        <f t="shared" ref="G896:G903" si="69">SUM(E896:F896)</f>
        <v>32</v>
      </c>
      <c r="H896" s="12"/>
      <c r="I896" s="12"/>
      <c r="J896" s="12">
        <v>37</v>
      </c>
      <c r="K896" s="12">
        <f t="shared" ref="K896:K903" si="70">SUM(G896:J896)</f>
        <v>69</v>
      </c>
      <c r="L896" t="str">
        <f t="shared" si="67"/>
        <v>B</v>
      </c>
      <c r="M896" t="str">
        <f t="shared" si="68"/>
        <v>Passed</v>
      </c>
      <c r="N896" t="s">
        <v>22</v>
      </c>
      <c r="O896">
        <f>O894-O895</f>
        <v>0</v>
      </c>
    </row>
    <row r="897" spans="1:22" x14ac:dyDescent="0.3">
      <c r="A897" s="12">
        <v>3</v>
      </c>
      <c r="B897" s="12" t="s">
        <v>154</v>
      </c>
      <c r="C897" s="12" t="s">
        <v>102</v>
      </c>
      <c r="D897" s="12" t="s">
        <v>1542</v>
      </c>
      <c r="E897" s="12">
        <v>9</v>
      </c>
      <c r="F897" s="12">
        <v>23</v>
      </c>
      <c r="G897" s="12">
        <f t="shared" si="69"/>
        <v>32</v>
      </c>
      <c r="H897" s="12"/>
      <c r="I897" s="12"/>
      <c r="J897" s="12">
        <v>33</v>
      </c>
      <c r="K897" s="12">
        <f t="shared" si="70"/>
        <v>65</v>
      </c>
      <c r="L897" t="str">
        <f t="shared" si="67"/>
        <v>B</v>
      </c>
      <c r="M897" t="str">
        <f t="shared" si="68"/>
        <v>Passed</v>
      </c>
      <c r="N897" t="s">
        <v>23</v>
      </c>
      <c r="O897">
        <f>COUNTIF(M895:M903,"Passed")</f>
        <v>8</v>
      </c>
    </row>
    <row r="898" spans="1:22" x14ac:dyDescent="0.3">
      <c r="A898" s="12">
        <v>4</v>
      </c>
      <c r="B898" s="12" t="s">
        <v>162</v>
      </c>
      <c r="C898" s="12" t="s">
        <v>112</v>
      </c>
      <c r="D898" s="12" t="s">
        <v>1546</v>
      </c>
      <c r="E898" s="12">
        <v>10</v>
      </c>
      <c r="F898" s="12">
        <v>24</v>
      </c>
      <c r="G898" s="12">
        <f t="shared" si="69"/>
        <v>34</v>
      </c>
      <c r="H898" s="12"/>
      <c r="I898" s="12"/>
      <c r="J898" s="12">
        <v>32</v>
      </c>
      <c r="K898" s="12">
        <f t="shared" si="70"/>
        <v>66</v>
      </c>
      <c r="L898" t="str">
        <f t="shared" si="67"/>
        <v>B</v>
      </c>
      <c r="M898" t="str">
        <f t="shared" si="68"/>
        <v>Passed</v>
      </c>
      <c r="N898" t="s">
        <v>24</v>
      </c>
      <c r="O898">
        <f>O897/O895%</f>
        <v>88.888888888888886</v>
      </c>
    </row>
    <row r="899" spans="1:22" x14ac:dyDescent="0.3">
      <c r="A899" s="12">
        <v>5</v>
      </c>
      <c r="B899" s="12" t="s">
        <v>164</v>
      </c>
      <c r="C899" s="12" t="s">
        <v>114</v>
      </c>
      <c r="D899" s="12" t="s">
        <v>1548</v>
      </c>
      <c r="E899" s="12">
        <v>10</v>
      </c>
      <c r="F899" s="12">
        <v>25</v>
      </c>
      <c r="G899" s="12">
        <f t="shared" si="69"/>
        <v>35</v>
      </c>
      <c r="H899" s="12"/>
      <c r="I899" s="12"/>
      <c r="J899" s="12">
        <v>39</v>
      </c>
      <c r="K899" s="12">
        <f t="shared" si="70"/>
        <v>74</v>
      </c>
      <c r="L899" t="str">
        <f t="shared" si="67"/>
        <v>B+</v>
      </c>
      <c r="M899" t="str">
        <f t="shared" si="68"/>
        <v>Passed</v>
      </c>
      <c r="N899" t="s">
        <v>25</v>
      </c>
      <c r="O899">
        <f>COUNTIF(M895:M903,"failed")</f>
        <v>1</v>
      </c>
    </row>
    <row r="900" spans="1:22" x14ac:dyDescent="0.3">
      <c r="A900" s="12">
        <v>6</v>
      </c>
      <c r="B900" s="60" t="s">
        <v>165</v>
      </c>
      <c r="C900" s="12" t="s">
        <v>116</v>
      </c>
      <c r="D900" s="12" t="s">
        <v>1545</v>
      </c>
      <c r="E900" s="12">
        <v>10</v>
      </c>
      <c r="F900" s="12">
        <v>24</v>
      </c>
      <c r="G900" s="12">
        <f t="shared" si="69"/>
        <v>34</v>
      </c>
      <c r="H900" s="12"/>
      <c r="I900" s="12"/>
      <c r="J900" s="12">
        <v>54</v>
      </c>
      <c r="K900" s="12">
        <f t="shared" si="70"/>
        <v>88</v>
      </c>
      <c r="L900" t="str">
        <f t="shared" si="67"/>
        <v>A</v>
      </c>
      <c r="M900" t="str">
        <f t="shared" si="68"/>
        <v>Passed</v>
      </c>
      <c r="N900" t="s">
        <v>26</v>
      </c>
      <c r="O900">
        <f>O899/O895%</f>
        <v>11.111111111111111</v>
      </c>
    </row>
    <row r="901" spans="1:22" x14ac:dyDescent="0.3">
      <c r="A901" s="12">
        <v>7</v>
      </c>
      <c r="B901" s="12" t="s">
        <v>206</v>
      </c>
      <c r="C901" s="12" t="s">
        <v>123</v>
      </c>
      <c r="D901" s="12" t="s">
        <v>1543</v>
      </c>
      <c r="E901" s="12">
        <v>10</v>
      </c>
      <c r="F901" s="12">
        <v>25</v>
      </c>
      <c r="G901" s="12">
        <f t="shared" si="69"/>
        <v>35</v>
      </c>
      <c r="H901" s="12"/>
      <c r="I901" s="12"/>
      <c r="J901" s="12">
        <v>37</v>
      </c>
      <c r="K901" s="12">
        <f t="shared" si="70"/>
        <v>72</v>
      </c>
      <c r="L901" t="str">
        <f t="shared" si="67"/>
        <v>B+</v>
      </c>
      <c r="M901" t="str">
        <f t="shared" si="68"/>
        <v>Passed</v>
      </c>
      <c r="N901" t="s">
        <v>27</v>
      </c>
      <c r="O901" s="179">
        <f>AVERAGE(K895:K903)</f>
        <v>65.666666666666671</v>
      </c>
    </row>
    <row r="902" spans="1:22" x14ac:dyDescent="0.3">
      <c r="A902" s="12">
        <v>8</v>
      </c>
      <c r="B902" s="12" t="s">
        <v>202</v>
      </c>
      <c r="C902" s="12" t="s">
        <v>135</v>
      </c>
      <c r="D902" s="12" t="s">
        <v>1541</v>
      </c>
      <c r="E902" s="12">
        <v>5</v>
      </c>
      <c r="F902" s="12">
        <v>25</v>
      </c>
      <c r="G902" s="12">
        <f t="shared" si="69"/>
        <v>30</v>
      </c>
      <c r="H902" s="12"/>
      <c r="I902" s="12"/>
      <c r="J902" s="12">
        <v>24</v>
      </c>
      <c r="K902" s="12">
        <f t="shared" si="70"/>
        <v>54</v>
      </c>
      <c r="L902" t="str">
        <f t="shared" si="67"/>
        <v>C</v>
      </c>
      <c r="M902" t="str">
        <f t="shared" si="68"/>
        <v>Passed</v>
      </c>
    </row>
    <row r="903" spans="1:22" x14ac:dyDescent="0.3">
      <c r="A903" s="12">
        <v>9</v>
      </c>
      <c r="B903" s="12" t="s">
        <v>1249</v>
      </c>
      <c r="C903" s="12" t="s">
        <v>422</v>
      </c>
      <c r="D903" s="12" t="s">
        <v>1547</v>
      </c>
      <c r="E903" s="12">
        <v>8</v>
      </c>
      <c r="F903" s="12">
        <v>22</v>
      </c>
      <c r="G903" s="12">
        <f t="shared" si="69"/>
        <v>30</v>
      </c>
      <c r="H903" s="12"/>
      <c r="I903" s="12"/>
      <c r="J903" s="12">
        <v>30</v>
      </c>
      <c r="K903" s="12">
        <f t="shared" si="70"/>
        <v>60</v>
      </c>
      <c r="L903" t="str">
        <f t="shared" si="67"/>
        <v>B</v>
      </c>
      <c r="M903" t="str">
        <f t="shared" si="68"/>
        <v>Passed</v>
      </c>
    </row>
    <row r="904" spans="1:22" x14ac:dyDescent="0.3"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 t="s">
        <v>33</v>
      </c>
      <c r="U904" t="s">
        <v>34</v>
      </c>
      <c r="V904" t="s">
        <v>35</v>
      </c>
    </row>
    <row r="905" spans="1:22" x14ac:dyDescent="0.3">
      <c r="O905">
        <f>COUNTIF(L895:L903,"A")</f>
        <v>1</v>
      </c>
      <c r="P905">
        <f>COUNTIF(L895:L903,"B+")</f>
        <v>2</v>
      </c>
      <c r="Q905">
        <f>COUNTIF(L895:L903,"B")</f>
        <v>4</v>
      </c>
      <c r="R905">
        <f>COUNTIF(L895:L903,"C+")</f>
        <v>0</v>
      </c>
      <c r="S905">
        <f>COUNTIF(L895:L903,"C")</f>
        <v>1</v>
      </c>
      <c r="T905">
        <f>COUNTIF(L895:L903,"D+")</f>
        <v>0</v>
      </c>
      <c r="U905">
        <f>COUNTIF(L895:L903,"D")</f>
        <v>1</v>
      </c>
      <c r="V905">
        <f>COUNTIF(L895:L903,"F")</f>
        <v>0</v>
      </c>
    </row>
    <row r="918" spans="1:15" x14ac:dyDescent="0.3">
      <c r="A918" s="450" t="s">
        <v>0</v>
      </c>
      <c r="B918" s="451"/>
      <c r="C918" s="451"/>
      <c r="D918" s="451"/>
      <c r="E918" s="451"/>
      <c r="F918" s="451"/>
      <c r="G918" s="451"/>
      <c r="H918" s="451"/>
      <c r="I918" s="451"/>
      <c r="J918" s="451"/>
      <c r="K918" s="451"/>
      <c r="L918" s="451"/>
    </row>
    <row r="919" spans="1:15" x14ac:dyDescent="0.3">
      <c r="A919" s="14" t="s">
        <v>66</v>
      </c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 spans="1:15" x14ac:dyDescent="0.3">
      <c r="A920" s="471" t="s">
        <v>362</v>
      </c>
      <c r="B920" s="463"/>
      <c r="C920" s="463"/>
      <c r="D920" s="2"/>
      <c r="E920" s="2"/>
      <c r="F920" s="2"/>
      <c r="G920" s="2"/>
      <c r="H920" s="2"/>
      <c r="I920" s="2"/>
      <c r="J920" s="2"/>
      <c r="K920" s="2"/>
      <c r="L920" s="1"/>
      <c r="M920" s="16"/>
      <c r="N920" s="16"/>
      <c r="O920" s="13"/>
    </row>
    <row r="921" spans="1:15" x14ac:dyDescent="0.3">
      <c r="A921" s="450" t="s">
        <v>1</v>
      </c>
      <c r="B921" s="462" t="s">
        <v>484</v>
      </c>
      <c r="C921" s="462"/>
      <c r="D921" s="450"/>
      <c r="E921" s="450"/>
      <c r="F921" s="450"/>
      <c r="G921" s="450"/>
      <c r="H921" s="450"/>
      <c r="I921" s="450"/>
      <c r="J921" s="450"/>
      <c r="K921" s="450"/>
      <c r="L921" s="451"/>
    </row>
    <row r="922" spans="1:15" x14ac:dyDescent="0.3">
      <c r="A922" s="450" t="s">
        <v>3</v>
      </c>
      <c r="B922" s="462" t="s">
        <v>1519</v>
      </c>
      <c r="C922" s="462"/>
      <c r="D922" s="450"/>
      <c r="E922" s="450"/>
      <c r="F922" s="450"/>
      <c r="G922" s="450"/>
      <c r="H922" s="450"/>
      <c r="I922" s="450"/>
      <c r="J922" s="450"/>
      <c r="K922" s="450"/>
      <c r="L922" s="451"/>
    </row>
    <row r="923" spans="1:15" x14ac:dyDescent="0.3">
      <c r="A923" s="450" t="s">
        <v>4</v>
      </c>
      <c r="B923" s="462" t="s">
        <v>485</v>
      </c>
      <c r="C923" s="462"/>
      <c r="D923" s="450"/>
      <c r="E923" s="450"/>
      <c r="F923" s="450"/>
      <c r="G923" s="450"/>
      <c r="H923" s="450"/>
      <c r="I923" s="450"/>
      <c r="J923" s="450"/>
      <c r="K923" s="450"/>
      <c r="L923" s="451"/>
    </row>
    <row r="924" spans="1:15" x14ac:dyDescent="0.3">
      <c r="A924" s="450" t="s">
        <v>5</v>
      </c>
      <c r="B924" s="463">
        <v>3</v>
      </c>
      <c r="C924" s="463"/>
      <c r="D924" s="450"/>
      <c r="E924" s="450"/>
      <c r="F924" s="450"/>
      <c r="G924" s="450"/>
      <c r="H924" s="450"/>
      <c r="I924" s="450"/>
      <c r="J924" s="450"/>
      <c r="K924" s="450"/>
      <c r="L924" s="451"/>
    </row>
    <row r="925" spans="1:15" x14ac:dyDescent="0.3">
      <c r="A925" s="450" t="s">
        <v>6</v>
      </c>
      <c r="B925" s="462" t="s">
        <v>1068</v>
      </c>
      <c r="C925" s="462"/>
      <c r="D925" s="450"/>
      <c r="E925" s="450"/>
      <c r="F925" s="450"/>
      <c r="G925" s="450"/>
      <c r="H925" s="450"/>
      <c r="I925" s="450"/>
      <c r="J925" s="450"/>
      <c r="K925" s="450"/>
      <c r="L925" s="451"/>
    </row>
    <row r="926" spans="1:15" x14ac:dyDescent="0.3">
      <c r="A926" s="450" t="s">
        <v>68</v>
      </c>
      <c r="B926" s="465" t="s">
        <v>540</v>
      </c>
      <c r="C926" s="465"/>
      <c r="D926" s="450"/>
      <c r="E926" s="450"/>
      <c r="F926" s="450"/>
      <c r="G926" s="450"/>
      <c r="H926" s="450"/>
      <c r="I926" s="450"/>
      <c r="J926" s="450"/>
      <c r="K926" s="450"/>
    </row>
    <row r="927" spans="1:15" x14ac:dyDescent="0.3">
      <c r="A927" s="4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 spans="1:15" ht="60" x14ac:dyDescent="0.3">
      <c r="A928" s="452" t="s">
        <v>8</v>
      </c>
      <c r="B928" s="452" t="s">
        <v>9</v>
      </c>
      <c r="C928" s="452" t="s">
        <v>10</v>
      </c>
      <c r="D928" s="43" t="s">
        <v>11</v>
      </c>
      <c r="E928" s="43" t="s">
        <v>12</v>
      </c>
      <c r="F928" s="43" t="s">
        <v>13</v>
      </c>
      <c r="G928" s="43" t="s">
        <v>14</v>
      </c>
      <c r="H928" s="43" t="s">
        <v>208</v>
      </c>
      <c r="I928" s="43" t="s">
        <v>209</v>
      </c>
      <c r="J928" s="43" t="s">
        <v>15</v>
      </c>
      <c r="K928" s="43" t="s">
        <v>91</v>
      </c>
      <c r="L928" s="14" t="s">
        <v>17</v>
      </c>
      <c r="M928" s="14" t="s">
        <v>18</v>
      </c>
      <c r="N928" s="14" t="s">
        <v>19</v>
      </c>
    </row>
    <row r="929" spans="1:22" x14ac:dyDescent="0.3">
      <c r="A929" s="12"/>
      <c r="B929" s="452"/>
      <c r="C929" s="452"/>
      <c r="D929" s="452"/>
      <c r="E929" s="452"/>
      <c r="F929" s="452"/>
      <c r="G929" s="452"/>
      <c r="H929" s="452"/>
      <c r="I929" s="452"/>
      <c r="J929" s="452"/>
      <c r="K929" s="452"/>
      <c r="N929" t="s">
        <v>20</v>
      </c>
      <c r="O929">
        <f>COUNT(G930:G938)</f>
        <v>9</v>
      </c>
    </row>
    <row r="930" spans="1:22" x14ac:dyDescent="0.3">
      <c r="A930" s="12">
        <v>1</v>
      </c>
      <c r="B930" s="12" t="s">
        <v>148</v>
      </c>
      <c r="C930" s="12" t="s">
        <v>96</v>
      </c>
      <c r="D930" s="12" t="s">
        <v>1520</v>
      </c>
      <c r="E930" s="12">
        <v>9</v>
      </c>
      <c r="F930" s="12">
        <v>23</v>
      </c>
      <c r="G930" s="12">
        <f>SUM(E930:F930)</f>
        <v>32</v>
      </c>
      <c r="H930" s="12"/>
      <c r="I930" s="12"/>
      <c r="J930" s="12">
        <v>37</v>
      </c>
      <c r="K930" s="12">
        <f>SUM(G930:J930)</f>
        <v>69</v>
      </c>
      <c r="L930" t="str">
        <f>IF(K930&gt;=80,"A",IF(K930&gt;=70,"B+",IF(K930&gt;=60,"B",IF(K930&gt;=55,"C+",IF(K930&gt;=50,"C",IF(K930&gt;=45,"D+",IF(K930&gt;=40,"D","F")))))))</f>
        <v>B</v>
      </c>
      <c r="M930" t="str">
        <f>IF(K930&gt;=50,"Passed","Failed")</f>
        <v>Passed</v>
      </c>
      <c r="N930" t="s">
        <v>21</v>
      </c>
      <c r="O930">
        <f>COUNT(J930:J938)</f>
        <v>9</v>
      </c>
    </row>
    <row r="931" spans="1:22" x14ac:dyDescent="0.3">
      <c r="A931" s="12">
        <v>2</v>
      </c>
      <c r="B931" s="12" t="s">
        <v>153</v>
      </c>
      <c r="C931" s="12" t="s">
        <v>101</v>
      </c>
      <c r="D931" s="12" t="s">
        <v>1526</v>
      </c>
      <c r="E931" s="12">
        <v>8</v>
      </c>
      <c r="F931" s="12">
        <v>23</v>
      </c>
      <c r="G931" s="12">
        <f t="shared" ref="G931:G938" si="71">SUM(E931:F931)</f>
        <v>31</v>
      </c>
      <c r="H931" s="12"/>
      <c r="I931" s="12"/>
      <c r="J931" s="12">
        <v>33</v>
      </c>
      <c r="K931" s="12">
        <f t="shared" ref="K931:K938" si="72">SUM(G931:J931)</f>
        <v>64</v>
      </c>
      <c r="L931" t="str">
        <f t="shared" ref="L931:L938" si="73">IF(K931&gt;=80,"A",IF(K931&gt;=70,"B+",IF(K931&gt;=60,"B",IF(K931&gt;=55,"C+",IF(K931&gt;=50,"C",IF(K931&gt;=45,"D+",IF(K931&gt;=40,"D","F")))))))</f>
        <v>B</v>
      </c>
      <c r="M931" t="str">
        <f t="shared" ref="M931:M938" si="74">IF(K931&gt;=50,"Passed","Failed")</f>
        <v>Passed</v>
      </c>
      <c r="N931" t="s">
        <v>22</v>
      </c>
      <c r="O931">
        <f>O929-O930</f>
        <v>0</v>
      </c>
    </row>
    <row r="932" spans="1:22" x14ac:dyDescent="0.3">
      <c r="A932" s="12">
        <v>3</v>
      </c>
      <c r="B932" s="12" t="s">
        <v>154</v>
      </c>
      <c r="C932" s="12" t="s">
        <v>102</v>
      </c>
      <c r="D932" s="12" t="s">
        <v>1522</v>
      </c>
      <c r="E932" s="12">
        <v>9</v>
      </c>
      <c r="F932" s="12">
        <v>24</v>
      </c>
      <c r="G932" s="12">
        <f t="shared" si="71"/>
        <v>33</v>
      </c>
      <c r="H932" s="12"/>
      <c r="I932" s="12"/>
      <c r="J932" s="12">
        <v>34</v>
      </c>
      <c r="K932" s="12">
        <f t="shared" si="72"/>
        <v>67</v>
      </c>
      <c r="L932" t="str">
        <f>IF(K932&gt;=80,"A",IF(K932&gt;=70,"B+",IF(K932&gt;=60,"B",IF(K932&gt;=55,"C+",IF(K932&gt;=50,"C",IF(K932&gt;=45,"D+",IF(K932&gt;=40,"D","F")))))))</f>
        <v>B</v>
      </c>
      <c r="M932" t="str">
        <f>IF(K932&gt;=50,"Passed","Failed")</f>
        <v>Passed</v>
      </c>
      <c r="N932" t="s">
        <v>23</v>
      </c>
      <c r="O932">
        <f>COUNTIF(M930:M938,"Passed")</f>
        <v>9</v>
      </c>
    </row>
    <row r="933" spans="1:22" x14ac:dyDescent="0.3">
      <c r="A933" s="12">
        <v>4</v>
      </c>
      <c r="B933" s="12" t="s">
        <v>162</v>
      </c>
      <c r="C933" s="12" t="s">
        <v>112</v>
      </c>
      <c r="D933" s="12" t="s">
        <v>1527</v>
      </c>
      <c r="E933" s="12">
        <v>10</v>
      </c>
      <c r="F933" s="12">
        <v>23</v>
      </c>
      <c r="G933" s="12">
        <f t="shared" si="71"/>
        <v>33</v>
      </c>
      <c r="H933" s="12"/>
      <c r="I933" s="12"/>
      <c r="J933" s="12">
        <v>30</v>
      </c>
      <c r="K933" s="12">
        <f t="shared" si="72"/>
        <v>63</v>
      </c>
      <c r="L933" t="str">
        <f t="shared" si="73"/>
        <v>B</v>
      </c>
      <c r="M933" t="str">
        <f t="shared" si="74"/>
        <v>Passed</v>
      </c>
      <c r="N933" t="s">
        <v>24</v>
      </c>
      <c r="O933">
        <f>O932/O930%</f>
        <v>100</v>
      </c>
    </row>
    <row r="934" spans="1:22" x14ac:dyDescent="0.3">
      <c r="A934" s="12">
        <v>5</v>
      </c>
      <c r="B934" s="12" t="s">
        <v>164</v>
      </c>
      <c r="C934" s="12" t="s">
        <v>114</v>
      </c>
      <c r="D934" s="12" t="s">
        <v>1524</v>
      </c>
      <c r="E934" s="12">
        <v>10</v>
      </c>
      <c r="F934" s="12">
        <v>25</v>
      </c>
      <c r="G934" s="12">
        <f t="shared" si="71"/>
        <v>35</v>
      </c>
      <c r="H934" s="12"/>
      <c r="I934" s="12"/>
      <c r="J934" s="12">
        <v>30</v>
      </c>
      <c r="K934" s="12">
        <f t="shared" si="72"/>
        <v>65</v>
      </c>
      <c r="L934" t="str">
        <f t="shared" si="73"/>
        <v>B</v>
      </c>
      <c r="M934" t="str">
        <f t="shared" si="74"/>
        <v>Passed</v>
      </c>
      <c r="N934" t="s">
        <v>25</v>
      </c>
      <c r="O934">
        <f>COUNTIF(M930:M938,"failed")</f>
        <v>0</v>
      </c>
    </row>
    <row r="935" spans="1:22" x14ac:dyDescent="0.3">
      <c r="A935" s="12">
        <v>6</v>
      </c>
      <c r="B935" s="60" t="s">
        <v>165</v>
      </c>
      <c r="C935" s="12" t="s">
        <v>116</v>
      </c>
      <c r="D935" s="12" t="s">
        <v>1523</v>
      </c>
      <c r="E935" s="12">
        <v>10</v>
      </c>
      <c r="F935" s="12">
        <v>25</v>
      </c>
      <c r="G935" s="12">
        <f t="shared" si="71"/>
        <v>35</v>
      </c>
      <c r="H935" s="12"/>
      <c r="I935" s="12"/>
      <c r="J935" s="12">
        <v>49</v>
      </c>
      <c r="K935" s="12">
        <f t="shared" si="72"/>
        <v>84</v>
      </c>
      <c r="L935" t="str">
        <f t="shared" si="73"/>
        <v>A</v>
      </c>
      <c r="M935" t="str">
        <f t="shared" si="74"/>
        <v>Passed</v>
      </c>
      <c r="N935" t="s">
        <v>26</v>
      </c>
      <c r="O935">
        <f>O934/O930%</f>
        <v>0</v>
      </c>
    </row>
    <row r="936" spans="1:22" x14ac:dyDescent="0.3">
      <c r="A936" s="12">
        <v>7</v>
      </c>
      <c r="B936" s="12" t="s">
        <v>206</v>
      </c>
      <c r="C936" s="12" t="s">
        <v>123</v>
      </c>
      <c r="D936" s="12" t="s">
        <v>1521</v>
      </c>
      <c r="E936" s="12">
        <v>10</v>
      </c>
      <c r="F936" s="12">
        <v>25</v>
      </c>
      <c r="G936" s="12">
        <f t="shared" si="71"/>
        <v>35</v>
      </c>
      <c r="H936" s="12"/>
      <c r="I936" s="12"/>
      <c r="J936" s="12">
        <v>34</v>
      </c>
      <c r="K936" s="12">
        <f t="shared" si="72"/>
        <v>69</v>
      </c>
      <c r="L936" t="str">
        <f t="shared" si="73"/>
        <v>B</v>
      </c>
      <c r="M936" t="str">
        <f t="shared" si="74"/>
        <v>Passed</v>
      </c>
      <c r="N936" t="s">
        <v>27</v>
      </c>
      <c r="O936">
        <f>AVERAGE(K930:K938)</f>
        <v>68.166666666666671</v>
      </c>
    </row>
    <row r="937" spans="1:22" x14ac:dyDescent="0.3">
      <c r="A937" s="12">
        <v>8</v>
      </c>
      <c r="B937" s="12" t="s">
        <v>202</v>
      </c>
      <c r="C937" s="12" t="s">
        <v>135</v>
      </c>
      <c r="D937" s="12" t="s">
        <v>1525</v>
      </c>
      <c r="E937" s="12">
        <v>7.5</v>
      </c>
      <c r="F937" s="12">
        <v>24</v>
      </c>
      <c r="G937" s="12">
        <f t="shared" si="71"/>
        <v>31.5</v>
      </c>
      <c r="H937" s="12"/>
      <c r="I937" s="12"/>
      <c r="J937" s="12">
        <v>35</v>
      </c>
      <c r="K937" s="12">
        <f t="shared" si="72"/>
        <v>66.5</v>
      </c>
      <c r="L937" t="str">
        <f t="shared" si="73"/>
        <v>B</v>
      </c>
      <c r="M937" t="str">
        <f t="shared" si="74"/>
        <v>Passed</v>
      </c>
    </row>
    <row r="938" spans="1:22" x14ac:dyDescent="0.3">
      <c r="A938" s="12">
        <v>9</v>
      </c>
      <c r="B938" s="12" t="s">
        <v>1249</v>
      </c>
      <c r="C938" s="12" t="s">
        <v>422</v>
      </c>
      <c r="D938" s="12" t="s">
        <v>1528</v>
      </c>
      <c r="E938" s="12">
        <v>8</v>
      </c>
      <c r="F938" s="12">
        <v>25</v>
      </c>
      <c r="G938" s="12">
        <f t="shared" si="71"/>
        <v>33</v>
      </c>
      <c r="H938" s="12"/>
      <c r="I938" s="12"/>
      <c r="J938" s="12">
        <v>33</v>
      </c>
      <c r="K938" s="12">
        <f t="shared" si="72"/>
        <v>66</v>
      </c>
      <c r="L938" t="str">
        <f t="shared" si="73"/>
        <v>B</v>
      </c>
      <c r="M938" t="str">
        <f t="shared" si="74"/>
        <v>Passed</v>
      </c>
    </row>
    <row r="939" spans="1:22" x14ac:dyDescent="0.3"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 t="s">
        <v>33</v>
      </c>
      <c r="U939" t="s">
        <v>34</v>
      </c>
      <c r="V939" t="s">
        <v>35</v>
      </c>
    </row>
    <row r="940" spans="1:22" x14ac:dyDescent="0.3">
      <c r="O940">
        <f>COUNTIF(L930:L938,"A")</f>
        <v>1</v>
      </c>
      <c r="P940">
        <f>COUNTIF(L930:L938,"B+")</f>
        <v>0</v>
      </c>
      <c r="Q940">
        <f>COUNTIF(L930:L938,"B")</f>
        <v>8</v>
      </c>
      <c r="R940">
        <f>COUNTIF(L930:L938,"C+")</f>
        <v>0</v>
      </c>
      <c r="S940">
        <f>COUNTIF(L930:L938,"C")</f>
        <v>0</v>
      </c>
      <c r="T940">
        <f>COUNTIF(L930:L938,"D+")</f>
        <v>0</v>
      </c>
      <c r="U940">
        <f>COUNTIF(L930:L938,"D")</f>
        <v>0</v>
      </c>
      <c r="V940">
        <f>COUNTIF(L930:L938,"F")</f>
        <v>0</v>
      </c>
    </row>
    <row r="944" spans="1:22" x14ac:dyDescent="0.3">
      <c r="E944" s="55"/>
    </row>
    <row r="951" spans="1:15" x14ac:dyDescent="0.3">
      <c r="A951" s="450" t="s">
        <v>0</v>
      </c>
      <c r="B951" s="451"/>
      <c r="C951" s="451"/>
      <c r="D951" s="451"/>
      <c r="E951" s="451"/>
      <c r="F951" s="451"/>
      <c r="G951" s="451"/>
      <c r="H951" s="451"/>
      <c r="I951" s="451"/>
      <c r="J951" s="451"/>
      <c r="K951" s="451"/>
      <c r="L951" s="451"/>
    </row>
    <row r="952" spans="1:15" x14ac:dyDescent="0.3">
      <c r="A952" s="48" t="s">
        <v>66</v>
      </c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56"/>
    </row>
    <row r="953" spans="1:15" x14ac:dyDescent="0.3">
      <c r="A953" s="471" t="s">
        <v>362</v>
      </c>
      <c r="B953" s="463"/>
      <c r="C953" s="463"/>
      <c r="D953" s="2"/>
      <c r="E953" s="2"/>
      <c r="F953" s="2"/>
      <c r="G953" s="2"/>
      <c r="H953" s="2"/>
      <c r="I953" s="2"/>
      <c r="J953" s="2"/>
      <c r="K953" s="2"/>
      <c r="L953" s="1"/>
      <c r="M953" s="16"/>
      <c r="N953" s="16"/>
      <c r="O953" s="13"/>
    </row>
    <row r="954" spans="1:15" x14ac:dyDescent="0.3">
      <c r="A954" s="450" t="s">
        <v>1</v>
      </c>
      <c r="B954" s="462" t="s">
        <v>48</v>
      </c>
      <c r="C954" s="462"/>
      <c r="D954" s="450"/>
      <c r="E954" s="450"/>
      <c r="F954" s="450"/>
      <c r="G954" s="450"/>
      <c r="H954" s="450"/>
      <c r="I954" s="450"/>
      <c r="J954" s="450"/>
      <c r="K954" s="450"/>
      <c r="L954" s="451"/>
    </row>
    <row r="955" spans="1:15" x14ac:dyDescent="0.3">
      <c r="A955" s="453" t="s">
        <v>3</v>
      </c>
      <c r="B955" s="462" t="s">
        <v>834</v>
      </c>
      <c r="C955" s="462"/>
      <c r="D955" s="453"/>
      <c r="E955" s="453"/>
      <c r="F955" s="453"/>
      <c r="G955" s="453"/>
      <c r="H955" s="453"/>
      <c r="I955" s="453"/>
      <c r="J955" s="453"/>
      <c r="K955" s="453"/>
      <c r="L955" s="454"/>
    </row>
    <row r="956" spans="1:15" x14ac:dyDescent="0.3">
      <c r="A956" s="450" t="s">
        <v>4</v>
      </c>
      <c r="B956" s="462" t="s">
        <v>486</v>
      </c>
      <c r="C956" s="462"/>
      <c r="D956" s="450"/>
      <c r="E956" s="450"/>
      <c r="F956" s="450"/>
      <c r="G956" s="450"/>
      <c r="H956" s="450"/>
      <c r="I956" s="450"/>
      <c r="J956" s="450"/>
      <c r="K956" s="450"/>
      <c r="L956" s="451"/>
    </row>
    <row r="957" spans="1:15" x14ac:dyDescent="0.3">
      <c r="A957" s="450" t="s">
        <v>5</v>
      </c>
      <c r="B957" s="463">
        <v>3</v>
      </c>
      <c r="C957" s="463"/>
      <c r="D957" s="450"/>
      <c r="E957" s="450"/>
      <c r="F957" s="450"/>
      <c r="G957" s="450"/>
      <c r="H957" s="450"/>
      <c r="I957" s="450"/>
      <c r="J957" s="450"/>
      <c r="K957" s="450"/>
      <c r="L957" s="451"/>
    </row>
    <row r="958" spans="1:15" x14ac:dyDescent="0.3">
      <c r="A958" s="450" t="s">
        <v>6</v>
      </c>
      <c r="B958" s="462" t="s">
        <v>833</v>
      </c>
      <c r="C958" s="462"/>
      <c r="D958" s="450"/>
      <c r="E958" s="450"/>
      <c r="F958" s="450"/>
      <c r="G958" s="450"/>
      <c r="H958" s="450"/>
      <c r="I958" s="450"/>
      <c r="J958" s="450"/>
      <c r="K958" s="450"/>
      <c r="L958" s="451"/>
    </row>
    <row r="959" spans="1:15" x14ac:dyDescent="0.3">
      <c r="A959" s="450" t="s">
        <v>68</v>
      </c>
      <c r="B959" s="465"/>
      <c r="C959" s="465"/>
      <c r="D959" s="450"/>
      <c r="E959" s="450"/>
      <c r="F959" s="450"/>
      <c r="G959" s="450"/>
      <c r="H959" s="450"/>
      <c r="I959" s="450"/>
      <c r="J959" s="450"/>
      <c r="K959" s="450"/>
    </row>
    <row r="960" spans="1:15" x14ac:dyDescent="0.3">
      <c r="A960" s="4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 spans="1:22" ht="60" x14ac:dyDescent="0.3">
      <c r="A961" s="452" t="s">
        <v>8</v>
      </c>
      <c r="B961" s="452" t="s">
        <v>9</v>
      </c>
      <c r="C961" s="452" t="s">
        <v>10</v>
      </c>
      <c r="D961" s="43" t="s">
        <v>11</v>
      </c>
      <c r="E961" s="43" t="s">
        <v>12</v>
      </c>
      <c r="F961" s="43" t="s">
        <v>13</v>
      </c>
      <c r="G961" s="43" t="s">
        <v>14</v>
      </c>
      <c r="H961" s="43" t="s">
        <v>208</v>
      </c>
      <c r="I961" s="43" t="s">
        <v>209</v>
      </c>
      <c r="J961" s="43" t="s">
        <v>15</v>
      </c>
      <c r="K961" s="43" t="s">
        <v>16</v>
      </c>
      <c r="L961" s="14" t="s">
        <v>17</v>
      </c>
      <c r="M961" s="14" t="s">
        <v>18</v>
      </c>
      <c r="N961" s="14" t="s">
        <v>19</v>
      </c>
    </row>
    <row r="962" spans="1:22" x14ac:dyDescent="0.3">
      <c r="A962" s="12"/>
      <c r="B962" s="452"/>
      <c r="C962" s="452"/>
      <c r="D962" s="452"/>
      <c r="E962" s="452"/>
      <c r="F962" s="452"/>
      <c r="G962" s="452"/>
      <c r="H962" s="452"/>
      <c r="I962" s="452"/>
      <c r="J962" s="452"/>
      <c r="K962" s="452"/>
      <c r="N962" t="s">
        <v>20</v>
      </c>
      <c r="O962">
        <f>COUNT(G963:G971)</f>
        <v>9</v>
      </c>
    </row>
    <row r="963" spans="1:22" x14ac:dyDescent="0.3">
      <c r="A963" s="12">
        <v>1</v>
      </c>
      <c r="B963" s="12" t="s">
        <v>148</v>
      </c>
      <c r="C963" s="12" t="s">
        <v>96</v>
      </c>
      <c r="D963" s="12" t="s">
        <v>1331</v>
      </c>
      <c r="E963" s="12">
        <v>9</v>
      </c>
      <c r="F963" s="12">
        <v>15</v>
      </c>
      <c r="G963" s="12">
        <f>SUM(E963:F963)</f>
        <v>24</v>
      </c>
      <c r="H963" s="12"/>
      <c r="I963" s="12"/>
      <c r="J963" s="12">
        <v>24</v>
      </c>
      <c r="K963" s="12">
        <f>SUM(G963:J963)</f>
        <v>48</v>
      </c>
      <c r="L963" t="str">
        <f t="shared" ref="L963:L971" si="75">IF(K963&gt;=80,"A",IF(K963&gt;=70,"B+",IF(K963&gt;=60,"B",IF(K963&gt;=55,"C+",IF(K963&gt;=50,"C",IF(K963&gt;=45,"D+",IF(K963&gt;=40,"D","F")))))))</f>
        <v>D+</v>
      </c>
      <c r="M963" t="str">
        <f t="shared" ref="M963:M971" si="76">IF(K963&gt;=50,"Passed","Failed")</f>
        <v>Failed</v>
      </c>
      <c r="N963" t="s">
        <v>21</v>
      </c>
      <c r="O963">
        <f>COUNT(J963:J971)</f>
        <v>9</v>
      </c>
    </row>
    <row r="964" spans="1:22" x14ac:dyDescent="0.3">
      <c r="A964" s="12">
        <v>2</v>
      </c>
      <c r="B964" s="12" t="s">
        <v>153</v>
      </c>
      <c r="C964" s="12" t="s">
        <v>101</v>
      </c>
      <c r="D964" s="12" t="s">
        <v>1336</v>
      </c>
      <c r="E964" s="12">
        <v>8</v>
      </c>
      <c r="F964" s="12">
        <v>20</v>
      </c>
      <c r="G964" s="12">
        <f t="shared" ref="G964:G971" si="77">SUM(E964:F964)</f>
        <v>28</v>
      </c>
      <c r="H964" s="12"/>
      <c r="I964" s="12"/>
      <c r="J964" s="12">
        <v>36</v>
      </c>
      <c r="K964" s="12">
        <f t="shared" ref="K964:K971" si="78">SUM(G964:J964)</f>
        <v>64</v>
      </c>
      <c r="L964" t="str">
        <f t="shared" si="75"/>
        <v>B</v>
      </c>
      <c r="M964" t="str">
        <f t="shared" si="76"/>
        <v>Passed</v>
      </c>
      <c r="N964" t="s">
        <v>22</v>
      </c>
      <c r="O964">
        <f>O962-O963</f>
        <v>0</v>
      </c>
    </row>
    <row r="965" spans="1:22" x14ac:dyDescent="0.3">
      <c r="A965" s="12">
        <v>3</v>
      </c>
      <c r="B965" s="12" t="s">
        <v>154</v>
      </c>
      <c r="C965" s="12" t="s">
        <v>102</v>
      </c>
      <c r="D965" s="12" t="s">
        <v>1333</v>
      </c>
      <c r="E965" s="12">
        <v>9</v>
      </c>
      <c r="F965" s="12">
        <v>20</v>
      </c>
      <c r="G965" s="12">
        <f t="shared" si="77"/>
        <v>29</v>
      </c>
      <c r="H965" s="12"/>
      <c r="I965" s="12"/>
      <c r="J965" s="12">
        <v>26</v>
      </c>
      <c r="K965" s="12">
        <f t="shared" si="78"/>
        <v>55</v>
      </c>
      <c r="L965" t="str">
        <f t="shared" si="75"/>
        <v>C+</v>
      </c>
      <c r="M965" t="str">
        <f t="shared" si="76"/>
        <v>Passed</v>
      </c>
      <c r="N965" t="s">
        <v>23</v>
      </c>
      <c r="O965">
        <f>COUNTIF(M963:M971,"Passed")</f>
        <v>8</v>
      </c>
    </row>
    <row r="966" spans="1:22" x14ac:dyDescent="0.3">
      <c r="A966" s="12">
        <v>4</v>
      </c>
      <c r="B966" s="12" t="s">
        <v>162</v>
      </c>
      <c r="C966" s="12" t="s">
        <v>112</v>
      </c>
      <c r="D966" s="12" t="s">
        <v>1335</v>
      </c>
      <c r="E966" s="12">
        <v>10</v>
      </c>
      <c r="F966" s="12">
        <v>23</v>
      </c>
      <c r="G966" s="12">
        <f t="shared" si="77"/>
        <v>33</v>
      </c>
      <c r="H966" s="12"/>
      <c r="I966" s="12"/>
      <c r="J966" s="12">
        <v>28</v>
      </c>
      <c r="K966" s="12">
        <f t="shared" si="78"/>
        <v>61</v>
      </c>
      <c r="L966" t="str">
        <f t="shared" si="75"/>
        <v>B</v>
      </c>
      <c r="M966" t="str">
        <f t="shared" si="76"/>
        <v>Passed</v>
      </c>
      <c r="N966" t="s">
        <v>24</v>
      </c>
      <c r="O966">
        <f>O965/O963%</f>
        <v>88.888888888888886</v>
      </c>
    </row>
    <row r="967" spans="1:22" x14ac:dyDescent="0.3">
      <c r="A967" s="12">
        <v>5</v>
      </c>
      <c r="B967" s="12" t="s">
        <v>164</v>
      </c>
      <c r="C967" s="12" t="s">
        <v>114</v>
      </c>
      <c r="D967" s="12" t="s">
        <v>1334</v>
      </c>
      <c r="E967" s="12">
        <v>10</v>
      </c>
      <c r="F967" s="12">
        <v>20</v>
      </c>
      <c r="G967" s="12">
        <f t="shared" si="77"/>
        <v>30</v>
      </c>
      <c r="H967" s="12"/>
      <c r="I967" s="12"/>
      <c r="J967" s="12">
        <v>37</v>
      </c>
      <c r="K967" s="12">
        <f t="shared" si="78"/>
        <v>67</v>
      </c>
      <c r="L967" t="str">
        <f t="shared" si="75"/>
        <v>B</v>
      </c>
      <c r="M967" t="str">
        <f t="shared" si="76"/>
        <v>Passed</v>
      </c>
      <c r="N967" t="s">
        <v>25</v>
      </c>
      <c r="O967">
        <f>COUNTIF(M963:M971,"failed")</f>
        <v>1</v>
      </c>
    </row>
    <row r="968" spans="1:22" x14ac:dyDescent="0.3">
      <c r="A968" s="12">
        <v>6</v>
      </c>
      <c r="B968" s="60" t="s">
        <v>165</v>
      </c>
      <c r="C968" s="12" t="s">
        <v>116</v>
      </c>
      <c r="D968" s="12" t="s">
        <v>1338</v>
      </c>
      <c r="E968" s="12">
        <v>10</v>
      </c>
      <c r="F968" s="12">
        <v>26</v>
      </c>
      <c r="G968" s="12">
        <f t="shared" si="77"/>
        <v>36</v>
      </c>
      <c r="H968" s="12"/>
      <c r="I968" s="12"/>
      <c r="J968" s="12">
        <v>43</v>
      </c>
      <c r="K968" s="12">
        <f t="shared" si="78"/>
        <v>79</v>
      </c>
      <c r="L968" t="str">
        <f t="shared" si="75"/>
        <v>B+</v>
      </c>
      <c r="M968" t="str">
        <f t="shared" si="76"/>
        <v>Passed</v>
      </c>
      <c r="N968" t="s">
        <v>26</v>
      </c>
      <c r="O968" s="179">
        <f>O967/O963%</f>
        <v>11.111111111111111</v>
      </c>
    </row>
    <row r="969" spans="1:22" x14ac:dyDescent="0.3">
      <c r="A969" s="12">
        <v>7</v>
      </c>
      <c r="B969" s="12" t="s">
        <v>206</v>
      </c>
      <c r="C969" s="12" t="s">
        <v>123</v>
      </c>
      <c r="D969" s="12" t="s">
        <v>1332</v>
      </c>
      <c r="E969" s="12">
        <v>10</v>
      </c>
      <c r="F969" s="12">
        <v>20</v>
      </c>
      <c r="G969" s="12">
        <f t="shared" si="77"/>
        <v>30</v>
      </c>
      <c r="H969" s="12"/>
      <c r="I969" s="12"/>
      <c r="J969" s="12">
        <v>34</v>
      </c>
      <c r="K969" s="12">
        <f t="shared" si="78"/>
        <v>64</v>
      </c>
      <c r="L969" t="str">
        <f t="shared" si="75"/>
        <v>B</v>
      </c>
      <c r="M969" t="str">
        <f t="shared" si="76"/>
        <v>Passed</v>
      </c>
      <c r="N969" t="s">
        <v>27</v>
      </c>
      <c r="O969" s="179">
        <f>AVERAGE(K963:K971)</f>
        <v>62.277777777777779</v>
      </c>
    </row>
    <row r="970" spans="1:22" x14ac:dyDescent="0.3">
      <c r="A970" s="12">
        <v>8</v>
      </c>
      <c r="B970" s="12" t="s">
        <v>202</v>
      </c>
      <c r="C970" s="12" t="s">
        <v>135</v>
      </c>
      <c r="D970" s="12" t="s">
        <v>1337</v>
      </c>
      <c r="E970" s="12">
        <v>7.5</v>
      </c>
      <c r="F970" s="12">
        <v>25</v>
      </c>
      <c r="G970" s="12">
        <f t="shared" si="77"/>
        <v>32.5</v>
      </c>
      <c r="H970" s="12"/>
      <c r="I970" s="12"/>
      <c r="J970" s="12">
        <v>31</v>
      </c>
      <c r="K970" s="12">
        <f t="shared" si="78"/>
        <v>63.5</v>
      </c>
      <c r="L970" t="str">
        <f t="shared" si="75"/>
        <v>B</v>
      </c>
      <c r="M970" t="str">
        <f t="shared" si="76"/>
        <v>Passed</v>
      </c>
    </row>
    <row r="971" spans="1:22" x14ac:dyDescent="0.3">
      <c r="A971" s="12">
        <v>9</v>
      </c>
      <c r="B971" s="12" t="s">
        <v>1249</v>
      </c>
      <c r="C971" s="12" t="s">
        <v>422</v>
      </c>
      <c r="D971" s="12" t="s">
        <v>1339</v>
      </c>
      <c r="E971" s="12">
        <v>8</v>
      </c>
      <c r="F971" s="12">
        <v>25</v>
      </c>
      <c r="G971" s="12">
        <f t="shared" si="77"/>
        <v>33</v>
      </c>
      <c r="H971" s="12"/>
      <c r="I971" s="12"/>
      <c r="J971" s="12">
        <v>26</v>
      </c>
      <c r="K971" s="12">
        <f t="shared" si="78"/>
        <v>59</v>
      </c>
      <c r="L971" t="str">
        <f t="shared" si="75"/>
        <v>C+</v>
      </c>
      <c r="M971" t="str">
        <f t="shared" si="76"/>
        <v>Passed</v>
      </c>
    </row>
    <row r="972" spans="1:22" x14ac:dyDescent="0.3"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 t="s">
        <v>33</v>
      </c>
      <c r="U972" t="s">
        <v>34</v>
      </c>
      <c r="V972" t="s">
        <v>35</v>
      </c>
    </row>
    <row r="973" spans="1:22" x14ac:dyDescent="0.3">
      <c r="O973">
        <f>COUNTIF(L963:L971,"A")</f>
        <v>0</v>
      </c>
      <c r="P973">
        <f>COUNTIF(L963:L971,"B+")</f>
        <v>1</v>
      </c>
      <c r="Q973">
        <f>COUNTIF(L963:L971,"B")</f>
        <v>5</v>
      </c>
      <c r="R973">
        <f>COUNTIF(L963:L971,"C+")</f>
        <v>2</v>
      </c>
      <c r="S973">
        <f>COUNTIF(L963:L971,"C")</f>
        <v>0</v>
      </c>
      <c r="T973">
        <f>COUNTIF(L963:L971,"D+")</f>
        <v>1</v>
      </c>
      <c r="U973">
        <f>COUNTIF(L963:L971,"D")</f>
        <v>0</v>
      </c>
      <c r="V973">
        <f>COUNTIF(L963:L971,"F")</f>
        <v>0</v>
      </c>
    </row>
    <row r="985" spans="1:15" x14ac:dyDescent="0.3">
      <c r="A985" s="450" t="s">
        <v>0</v>
      </c>
      <c r="B985" s="451"/>
      <c r="C985" s="451"/>
      <c r="D985" s="451"/>
      <c r="E985" s="451"/>
      <c r="F985" s="451"/>
      <c r="G985" s="451"/>
      <c r="H985" s="451"/>
      <c r="I985" s="451"/>
      <c r="J985" s="451"/>
      <c r="K985" s="451"/>
      <c r="L985" s="451"/>
    </row>
    <row r="986" spans="1:15" x14ac:dyDescent="0.3">
      <c r="A986" s="48" t="s">
        <v>66</v>
      </c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56"/>
    </row>
    <row r="987" spans="1:15" x14ac:dyDescent="0.3">
      <c r="A987" s="471" t="s">
        <v>362</v>
      </c>
      <c r="B987" s="463"/>
      <c r="C987" s="463"/>
      <c r="D987" s="2"/>
      <c r="E987" s="2"/>
      <c r="F987" s="2"/>
      <c r="G987" s="2"/>
      <c r="H987" s="2"/>
      <c r="I987" s="2"/>
      <c r="J987" s="2"/>
      <c r="K987" s="2"/>
      <c r="L987" s="1"/>
      <c r="M987" s="16"/>
      <c r="N987" s="16"/>
      <c r="O987" s="13"/>
    </row>
    <row r="988" spans="1:15" x14ac:dyDescent="0.3">
      <c r="A988" s="450" t="s">
        <v>1</v>
      </c>
      <c r="B988" s="462" t="s">
        <v>197</v>
      </c>
      <c r="C988" s="462"/>
      <c r="D988" s="450"/>
      <c r="E988" s="450"/>
      <c r="F988" s="450"/>
      <c r="G988" s="450"/>
      <c r="H988" s="450"/>
      <c r="I988" s="450"/>
      <c r="J988" s="450"/>
      <c r="K988" s="450"/>
      <c r="L988" s="451"/>
    </row>
    <row r="989" spans="1:15" x14ac:dyDescent="0.3">
      <c r="A989" s="453" t="s">
        <v>3</v>
      </c>
      <c r="B989" s="462" t="s">
        <v>187</v>
      </c>
      <c r="C989" s="462"/>
      <c r="D989" s="453"/>
      <c r="E989" s="453"/>
      <c r="F989" s="453"/>
      <c r="G989" s="453"/>
      <c r="H989" s="453"/>
      <c r="I989" s="453"/>
      <c r="J989" s="453"/>
      <c r="K989" s="453"/>
      <c r="L989" s="454"/>
    </row>
    <row r="990" spans="1:15" x14ac:dyDescent="0.3">
      <c r="A990" s="450" t="s">
        <v>4</v>
      </c>
      <c r="B990" s="462" t="s">
        <v>188</v>
      </c>
      <c r="C990" s="462"/>
      <c r="D990" s="450"/>
      <c r="E990" s="450"/>
      <c r="F990" s="450"/>
      <c r="G990" s="450"/>
      <c r="H990" s="450"/>
      <c r="I990" s="450"/>
      <c r="J990" s="450"/>
      <c r="K990" s="450"/>
      <c r="L990" s="451"/>
    </row>
    <row r="991" spans="1:15" x14ac:dyDescent="0.3">
      <c r="A991" s="450" t="s">
        <v>5</v>
      </c>
      <c r="B991" s="463">
        <v>3</v>
      </c>
      <c r="C991" s="463"/>
      <c r="D991" s="450"/>
      <c r="E991" s="450"/>
      <c r="F991" s="450"/>
      <c r="G991" s="450"/>
      <c r="H991" s="450"/>
      <c r="I991" s="450"/>
      <c r="J991" s="450"/>
      <c r="K991" s="450"/>
      <c r="L991" s="451"/>
    </row>
    <row r="992" spans="1:15" x14ac:dyDescent="0.3">
      <c r="A992" s="450" t="s">
        <v>6</v>
      </c>
      <c r="B992" s="462" t="s">
        <v>430</v>
      </c>
      <c r="C992" s="462"/>
      <c r="D992" s="450"/>
      <c r="E992" s="450"/>
      <c r="F992" s="450"/>
      <c r="G992" s="450"/>
      <c r="H992" s="450"/>
      <c r="I992" s="450"/>
      <c r="J992" s="450"/>
      <c r="K992" s="450"/>
      <c r="L992" s="451"/>
    </row>
    <row r="993" spans="1:22" x14ac:dyDescent="0.3">
      <c r="A993" s="450" t="s">
        <v>68</v>
      </c>
      <c r="B993" s="465"/>
      <c r="C993" s="465"/>
      <c r="D993" s="450"/>
      <c r="E993" s="450"/>
      <c r="F993" s="450"/>
      <c r="G993" s="450"/>
      <c r="H993" s="450"/>
      <c r="I993" s="450"/>
      <c r="J993" s="450"/>
      <c r="K993" s="450"/>
    </row>
    <row r="994" spans="1:22" x14ac:dyDescent="0.3">
      <c r="A994" s="4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 spans="1:22" ht="60" x14ac:dyDescent="0.3">
      <c r="A995" s="452" t="s">
        <v>8</v>
      </c>
      <c r="B995" s="452" t="s">
        <v>9</v>
      </c>
      <c r="C995" s="452" t="s">
        <v>10</v>
      </c>
      <c r="D995" s="43" t="s">
        <v>11</v>
      </c>
      <c r="E995" s="43" t="s">
        <v>12</v>
      </c>
      <c r="F995" s="43" t="s">
        <v>13</v>
      </c>
      <c r="G995" s="43" t="s">
        <v>14</v>
      </c>
      <c r="H995" s="43" t="s">
        <v>208</v>
      </c>
      <c r="I995" s="43" t="s">
        <v>209</v>
      </c>
      <c r="J995" s="43" t="s">
        <v>15</v>
      </c>
      <c r="K995" s="43" t="s">
        <v>16</v>
      </c>
      <c r="L995" t="s">
        <v>17</v>
      </c>
      <c r="M995" t="s">
        <v>18</v>
      </c>
      <c r="N995" t="s">
        <v>19</v>
      </c>
    </row>
    <row r="996" spans="1:22" x14ac:dyDescent="0.3">
      <c r="A996" s="12"/>
      <c r="B996" s="452"/>
      <c r="C996" s="452"/>
      <c r="D996" s="452"/>
      <c r="E996" s="452"/>
      <c r="F996" s="452"/>
      <c r="G996" s="452"/>
      <c r="H996" s="452"/>
      <c r="I996" s="452"/>
      <c r="J996" s="452"/>
      <c r="K996" s="452"/>
      <c r="N996" t="s">
        <v>20</v>
      </c>
      <c r="O996">
        <f>COUNT(G997:G1006)</f>
        <v>10</v>
      </c>
    </row>
    <row r="997" spans="1:22" x14ac:dyDescent="0.3">
      <c r="A997" s="12">
        <v>1</v>
      </c>
      <c r="B997" s="12" t="s">
        <v>150</v>
      </c>
      <c r="C997" s="12" t="s">
        <v>98</v>
      </c>
      <c r="D997" s="12" t="s">
        <v>1535</v>
      </c>
      <c r="E997" s="12">
        <v>10</v>
      </c>
      <c r="F997" s="12">
        <v>21</v>
      </c>
      <c r="G997" s="12">
        <f>SUM(E997:F997)</f>
        <v>31</v>
      </c>
      <c r="H997" s="12"/>
      <c r="I997" s="12"/>
      <c r="J997" s="12">
        <v>35</v>
      </c>
      <c r="K997" s="12">
        <f>SUM(G997:J997)</f>
        <v>66</v>
      </c>
      <c r="L997" t="str">
        <f t="shared" ref="L997:L1006" si="79">IF(K997&gt;=80,"A",IF(K997&gt;=70,"B+",IF(K997&gt;=60,"B",IF(K997&gt;=55,"C+",IF(K997&gt;=50,"C",IF(K997&gt;=45,"D+",IF(K997&gt;=40,"D","F")))))))</f>
        <v>B</v>
      </c>
      <c r="M997" t="str">
        <f t="shared" ref="M997:M1006" si="80">IF(K997&gt;=50,"Passed","Failed")</f>
        <v>Passed</v>
      </c>
      <c r="N997" t="s">
        <v>21</v>
      </c>
      <c r="O997">
        <f>COUNT(J997:J1006)</f>
        <v>10</v>
      </c>
    </row>
    <row r="998" spans="1:22" x14ac:dyDescent="0.3">
      <c r="A998" s="12">
        <v>2</v>
      </c>
      <c r="B998" s="12" t="s">
        <v>151</v>
      </c>
      <c r="C998" s="12" t="s">
        <v>99</v>
      </c>
      <c r="D998" s="12" t="s">
        <v>1533</v>
      </c>
      <c r="E998" s="12">
        <v>7.5</v>
      </c>
      <c r="F998" s="12">
        <v>24</v>
      </c>
      <c r="G998" s="12">
        <f t="shared" ref="G998:G1006" si="81">SUM(E998:F998)</f>
        <v>31.5</v>
      </c>
      <c r="H998" s="12"/>
      <c r="I998" s="12"/>
      <c r="J998" s="12">
        <v>51</v>
      </c>
      <c r="K998" s="241">
        <f t="shared" ref="K998:K1006" si="82">SUM(G998:J998)</f>
        <v>82.5</v>
      </c>
      <c r="L998" t="str">
        <f t="shared" si="79"/>
        <v>A</v>
      </c>
      <c r="M998" t="str">
        <f t="shared" si="80"/>
        <v>Passed</v>
      </c>
      <c r="N998" t="s">
        <v>22</v>
      </c>
      <c r="O998">
        <f>O996-O997</f>
        <v>0</v>
      </c>
    </row>
    <row r="999" spans="1:22" x14ac:dyDescent="0.3">
      <c r="A999" s="12">
        <v>3</v>
      </c>
      <c r="B999" s="12" t="s">
        <v>157</v>
      </c>
      <c r="C999" s="12" t="s">
        <v>106</v>
      </c>
      <c r="D999" s="12" t="s">
        <v>1531</v>
      </c>
      <c r="E999" s="12">
        <v>10</v>
      </c>
      <c r="F999" s="12">
        <v>22</v>
      </c>
      <c r="G999" s="12">
        <f t="shared" si="81"/>
        <v>32</v>
      </c>
      <c r="H999" s="12"/>
      <c r="I999" s="12"/>
      <c r="J999" s="12">
        <v>40</v>
      </c>
      <c r="K999" s="12">
        <f t="shared" si="82"/>
        <v>72</v>
      </c>
      <c r="L999" t="str">
        <f t="shared" si="79"/>
        <v>B+</v>
      </c>
      <c r="M999" t="str">
        <f t="shared" si="80"/>
        <v>Passed</v>
      </c>
      <c r="N999" t="s">
        <v>23</v>
      </c>
      <c r="O999">
        <f>COUNTIF(M997:M1006,"Passed")</f>
        <v>9</v>
      </c>
    </row>
    <row r="1000" spans="1:22" x14ac:dyDescent="0.3">
      <c r="A1000" s="12">
        <v>4</v>
      </c>
      <c r="B1000" s="12" t="s">
        <v>158</v>
      </c>
      <c r="C1000" s="12" t="s">
        <v>107</v>
      </c>
      <c r="D1000" s="12" t="s">
        <v>1534</v>
      </c>
      <c r="E1000" s="12">
        <v>9</v>
      </c>
      <c r="F1000" s="12">
        <v>26</v>
      </c>
      <c r="G1000" s="12">
        <f t="shared" si="81"/>
        <v>35</v>
      </c>
      <c r="H1000" s="12"/>
      <c r="I1000" s="12"/>
      <c r="J1000" s="12">
        <v>41</v>
      </c>
      <c r="K1000" s="12">
        <f t="shared" si="82"/>
        <v>76</v>
      </c>
      <c r="L1000" t="str">
        <f t="shared" si="79"/>
        <v>B+</v>
      </c>
      <c r="M1000" t="str">
        <f t="shared" si="80"/>
        <v>Passed</v>
      </c>
      <c r="N1000" t="s">
        <v>24</v>
      </c>
      <c r="O1000" s="179">
        <f>O999/O997%</f>
        <v>90</v>
      </c>
    </row>
    <row r="1001" spans="1:22" x14ac:dyDescent="0.3">
      <c r="A1001" s="12">
        <v>5</v>
      </c>
      <c r="B1001" s="12" t="s">
        <v>159</v>
      </c>
      <c r="C1001" s="12" t="s">
        <v>108</v>
      </c>
      <c r="D1001" s="12" t="s">
        <v>1532</v>
      </c>
      <c r="E1001" s="12">
        <v>9</v>
      </c>
      <c r="F1001" s="12">
        <v>20</v>
      </c>
      <c r="G1001" s="12">
        <f t="shared" si="81"/>
        <v>29</v>
      </c>
      <c r="H1001" s="12"/>
      <c r="I1001" s="12"/>
      <c r="J1001" s="12">
        <v>53</v>
      </c>
      <c r="K1001" s="12">
        <f t="shared" si="82"/>
        <v>82</v>
      </c>
      <c r="L1001" t="str">
        <f t="shared" si="79"/>
        <v>A</v>
      </c>
      <c r="M1001" t="str">
        <f t="shared" si="80"/>
        <v>Passed</v>
      </c>
      <c r="N1001" t="s">
        <v>25</v>
      </c>
      <c r="O1001">
        <f>COUNTIF(M997:M1006,"failed")</f>
        <v>1</v>
      </c>
    </row>
    <row r="1002" spans="1:22" x14ac:dyDescent="0.3">
      <c r="A1002" s="12">
        <v>6</v>
      </c>
      <c r="B1002" s="12" t="s">
        <v>167</v>
      </c>
      <c r="C1002" s="12" t="s">
        <v>118</v>
      </c>
      <c r="D1002" s="12" t="s">
        <v>1536</v>
      </c>
      <c r="E1002" s="12">
        <v>8</v>
      </c>
      <c r="F1002" s="12">
        <v>25</v>
      </c>
      <c r="G1002" s="12">
        <f t="shared" si="81"/>
        <v>33</v>
      </c>
      <c r="H1002" s="12"/>
      <c r="I1002" s="12"/>
      <c r="J1002" s="12">
        <v>43</v>
      </c>
      <c r="K1002" s="12">
        <f t="shared" si="82"/>
        <v>76</v>
      </c>
      <c r="L1002" t="str">
        <f t="shared" si="79"/>
        <v>B+</v>
      </c>
      <c r="M1002" t="str">
        <f t="shared" si="80"/>
        <v>Passed</v>
      </c>
      <c r="N1002" t="s">
        <v>26</v>
      </c>
      <c r="O1002" s="179">
        <f>O1001/O997%</f>
        <v>10</v>
      </c>
    </row>
    <row r="1003" spans="1:22" x14ac:dyDescent="0.3">
      <c r="A1003" s="12">
        <v>7</v>
      </c>
      <c r="B1003" s="12" t="s">
        <v>171</v>
      </c>
      <c r="C1003" s="12" t="s">
        <v>125</v>
      </c>
      <c r="D1003" s="12" t="s">
        <v>1530</v>
      </c>
      <c r="E1003" s="12">
        <v>8</v>
      </c>
      <c r="F1003" s="12">
        <v>12</v>
      </c>
      <c r="G1003" s="12">
        <f t="shared" si="81"/>
        <v>20</v>
      </c>
      <c r="H1003" s="12"/>
      <c r="I1003" s="12"/>
      <c r="J1003" s="12">
        <v>20</v>
      </c>
      <c r="K1003" s="12">
        <f t="shared" si="82"/>
        <v>40</v>
      </c>
      <c r="L1003" t="str">
        <f t="shared" si="79"/>
        <v>D</v>
      </c>
      <c r="M1003" t="str">
        <f t="shared" si="80"/>
        <v>Failed</v>
      </c>
      <c r="N1003" t="s">
        <v>27</v>
      </c>
      <c r="O1003" s="179">
        <f>AVERAGE(K997:K1006)</f>
        <v>72.650000000000006</v>
      </c>
    </row>
    <row r="1004" spans="1:22" x14ac:dyDescent="0.3">
      <c r="A1004" s="12">
        <v>8</v>
      </c>
      <c r="B1004" s="12" t="s">
        <v>174</v>
      </c>
      <c r="C1004" s="12" t="s">
        <v>128</v>
      </c>
      <c r="D1004" s="12" t="s">
        <v>1537</v>
      </c>
      <c r="E1004" s="12">
        <v>8</v>
      </c>
      <c r="F1004" s="12">
        <v>22</v>
      </c>
      <c r="G1004" s="12">
        <f t="shared" si="81"/>
        <v>30</v>
      </c>
      <c r="H1004" s="12"/>
      <c r="I1004" s="12"/>
      <c r="J1004" s="12">
        <v>42</v>
      </c>
      <c r="K1004" s="12">
        <f t="shared" si="82"/>
        <v>72</v>
      </c>
      <c r="L1004" t="str">
        <f t="shared" si="79"/>
        <v>B+</v>
      </c>
      <c r="M1004" t="str">
        <f t="shared" si="80"/>
        <v>Passed</v>
      </c>
    </row>
    <row r="1005" spans="1:22" x14ac:dyDescent="0.3">
      <c r="A1005" s="50">
        <v>9</v>
      </c>
      <c r="B1005" s="12" t="s">
        <v>220</v>
      </c>
      <c r="C1005" s="12" t="s">
        <v>130</v>
      </c>
      <c r="D1005" s="12" t="s">
        <v>1529</v>
      </c>
      <c r="E1005" s="12">
        <v>8</v>
      </c>
      <c r="F1005" s="12">
        <v>27</v>
      </c>
      <c r="G1005" s="12">
        <f t="shared" si="81"/>
        <v>35</v>
      </c>
      <c r="H1005" s="12"/>
      <c r="I1005" s="12"/>
      <c r="J1005" s="12">
        <v>43</v>
      </c>
      <c r="K1005" s="12">
        <f t="shared" si="82"/>
        <v>78</v>
      </c>
      <c r="L1005" t="str">
        <f t="shared" si="79"/>
        <v>B+</v>
      </c>
      <c r="M1005" t="str">
        <f t="shared" si="80"/>
        <v>Passed</v>
      </c>
    </row>
    <row r="1006" spans="1:22" x14ac:dyDescent="0.3">
      <c r="A1006" s="12">
        <v>10</v>
      </c>
      <c r="B1006" s="12" t="s">
        <v>166</v>
      </c>
      <c r="C1006" s="12" t="s">
        <v>117</v>
      </c>
      <c r="D1006" s="12" t="s">
        <v>1538</v>
      </c>
      <c r="E1006" s="12">
        <v>10</v>
      </c>
      <c r="F1006" s="12">
        <v>19</v>
      </c>
      <c r="G1006" s="12">
        <f t="shared" si="81"/>
        <v>29</v>
      </c>
      <c r="H1006" s="12"/>
      <c r="I1006" s="12"/>
      <c r="J1006" s="12">
        <v>53</v>
      </c>
      <c r="K1006" s="12">
        <f t="shared" si="82"/>
        <v>82</v>
      </c>
      <c r="L1006" t="str">
        <f t="shared" si="79"/>
        <v>A</v>
      </c>
      <c r="M1006" t="str">
        <f t="shared" si="80"/>
        <v>Passed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 t="s">
        <v>33</v>
      </c>
      <c r="U1006" t="s">
        <v>34</v>
      </c>
      <c r="V1006" t="s">
        <v>35</v>
      </c>
    </row>
    <row r="1007" spans="1:22" x14ac:dyDescent="0.3">
      <c r="O1007">
        <f>COUNTIF(L997:L1006,"A")</f>
        <v>3</v>
      </c>
      <c r="P1007">
        <f>COUNTIF(L997:L1006,"B+")</f>
        <v>5</v>
      </c>
      <c r="Q1007">
        <f>COUNTIF(L997:L1006,"B")</f>
        <v>1</v>
      </c>
      <c r="R1007">
        <f>COUNTIF(L997:L1006,"C+")</f>
        <v>0</v>
      </c>
      <c r="S1007">
        <f>COUNTIF(L997:L1006,"C")</f>
        <v>0</v>
      </c>
      <c r="T1007">
        <f>COUNTIF(L997:L1006,"D+")</f>
        <v>0</v>
      </c>
      <c r="U1007">
        <f>COUNTIF(L997:L1006,"D")</f>
        <v>1</v>
      </c>
      <c r="V1007">
        <f>COUNTIF(L997:L1006,"F")</f>
        <v>0</v>
      </c>
    </row>
    <row r="1017" spans="1:15" x14ac:dyDescent="0.3">
      <c r="A1017" s="450" t="s">
        <v>0</v>
      </c>
      <c r="B1017" s="451"/>
      <c r="C1017" s="451"/>
      <c r="D1017" s="451"/>
      <c r="E1017" s="451"/>
      <c r="F1017" s="451"/>
      <c r="G1017" s="451"/>
      <c r="H1017" s="451"/>
      <c r="I1017" s="451"/>
      <c r="J1017" s="451"/>
      <c r="K1017" s="451"/>
      <c r="L1017" s="451"/>
    </row>
    <row r="1018" spans="1:15" x14ac:dyDescent="0.3">
      <c r="A1018" s="48" t="s">
        <v>66</v>
      </c>
      <c r="B1018" s="48"/>
      <c r="C1018" s="48"/>
      <c r="D1018" s="48"/>
      <c r="E1018" s="48"/>
      <c r="F1018" s="48"/>
      <c r="G1018" s="48"/>
      <c r="H1018" s="48"/>
      <c r="I1018" s="48"/>
      <c r="J1018" s="48"/>
      <c r="K1018" s="48"/>
      <c r="L1018" s="56"/>
    </row>
    <row r="1019" spans="1:15" x14ac:dyDescent="0.3">
      <c r="A1019" s="471" t="s">
        <v>362</v>
      </c>
      <c r="B1019" s="463"/>
      <c r="C1019" s="463"/>
      <c r="D1019" s="2"/>
      <c r="E1019" s="2"/>
      <c r="F1019" s="2"/>
      <c r="G1019" s="2"/>
      <c r="H1019" s="2"/>
      <c r="I1019" s="2"/>
      <c r="J1019" s="2"/>
      <c r="K1019" s="2"/>
      <c r="L1019" s="1"/>
      <c r="M1019" s="16"/>
      <c r="N1019" s="16"/>
      <c r="O1019" s="13"/>
    </row>
    <row r="1020" spans="1:15" x14ac:dyDescent="0.3">
      <c r="A1020" s="450" t="s">
        <v>1</v>
      </c>
      <c r="B1020" s="462" t="s">
        <v>198</v>
      </c>
      <c r="C1020" s="462"/>
      <c r="D1020" s="450"/>
      <c r="E1020" s="450"/>
      <c r="F1020" s="450"/>
      <c r="G1020" s="450"/>
      <c r="H1020" s="450"/>
      <c r="I1020" s="450"/>
      <c r="J1020" s="450"/>
      <c r="K1020" s="450"/>
      <c r="L1020" s="451"/>
    </row>
    <row r="1021" spans="1:15" x14ac:dyDescent="0.3">
      <c r="A1021" s="453" t="s">
        <v>3</v>
      </c>
      <c r="B1021" s="462" t="s">
        <v>189</v>
      </c>
      <c r="C1021" s="462"/>
      <c r="D1021" s="453"/>
      <c r="E1021" s="453"/>
      <c r="F1021" s="453"/>
      <c r="G1021" s="453"/>
      <c r="H1021" s="453"/>
      <c r="I1021" s="453"/>
      <c r="J1021" s="453"/>
      <c r="K1021" s="453"/>
      <c r="L1021" s="454"/>
    </row>
    <row r="1022" spans="1:15" x14ac:dyDescent="0.3">
      <c r="A1022" s="450" t="s">
        <v>4</v>
      </c>
      <c r="B1022" s="462" t="s">
        <v>190</v>
      </c>
      <c r="C1022" s="462"/>
      <c r="D1022" s="450"/>
      <c r="E1022" s="450"/>
      <c r="F1022" s="450"/>
      <c r="G1022" s="450"/>
      <c r="H1022" s="450"/>
      <c r="I1022" s="450"/>
      <c r="J1022" s="450"/>
      <c r="K1022" s="450"/>
      <c r="L1022" s="451"/>
    </row>
    <row r="1023" spans="1:15" x14ac:dyDescent="0.3">
      <c r="A1023" s="450" t="s">
        <v>5</v>
      </c>
      <c r="B1023" s="463">
        <v>3</v>
      </c>
      <c r="C1023" s="463"/>
      <c r="D1023" s="450"/>
      <c r="E1023" s="450"/>
      <c r="F1023" s="450"/>
      <c r="G1023" s="450"/>
      <c r="H1023" s="450"/>
      <c r="I1023" s="450"/>
      <c r="J1023" s="450"/>
      <c r="K1023" s="450"/>
      <c r="L1023" s="451"/>
    </row>
    <row r="1024" spans="1:15" x14ac:dyDescent="0.3">
      <c r="A1024" s="450" t="s">
        <v>6</v>
      </c>
      <c r="B1024" s="462" t="s">
        <v>1932</v>
      </c>
      <c r="C1024" s="462"/>
      <c r="D1024" s="450"/>
      <c r="E1024" s="450"/>
      <c r="F1024" s="450"/>
      <c r="G1024" s="450"/>
      <c r="H1024" s="450"/>
      <c r="I1024" s="450"/>
      <c r="J1024" s="450"/>
      <c r="K1024" s="450"/>
      <c r="L1024" s="451"/>
    </row>
    <row r="1025" spans="1:22" x14ac:dyDescent="0.3">
      <c r="A1025" s="450" t="s">
        <v>68</v>
      </c>
      <c r="B1025" s="465" t="s">
        <v>540</v>
      </c>
      <c r="C1025" s="465"/>
      <c r="D1025" s="450"/>
      <c r="E1025" s="450"/>
      <c r="F1025" s="450"/>
      <c r="G1025" s="450"/>
      <c r="H1025" s="450"/>
      <c r="I1025" s="450"/>
      <c r="J1025" s="450"/>
      <c r="K1025" s="450"/>
    </row>
    <row r="1026" spans="1:22" x14ac:dyDescent="0.3">
      <c r="A1026" s="4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</row>
    <row r="1027" spans="1:22" ht="60" x14ac:dyDescent="0.3">
      <c r="A1027" s="452" t="s">
        <v>8</v>
      </c>
      <c r="B1027" s="452" t="s">
        <v>9</v>
      </c>
      <c r="C1027" s="452" t="s">
        <v>10</v>
      </c>
      <c r="D1027" s="43" t="s">
        <v>11</v>
      </c>
      <c r="E1027" s="43" t="s">
        <v>12</v>
      </c>
      <c r="F1027" s="43" t="s">
        <v>13</v>
      </c>
      <c r="G1027" s="43" t="s">
        <v>14</v>
      </c>
      <c r="H1027" s="43" t="s">
        <v>208</v>
      </c>
      <c r="I1027" s="43" t="s">
        <v>209</v>
      </c>
      <c r="J1027" s="43" t="s">
        <v>15</v>
      </c>
      <c r="K1027" s="43" t="s">
        <v>16</v>
      </c>
      <c r="L1027" t="s">
        <v>17</v>
      </c>
      <c r="M1027" t="s">
        <v>18</v>
      </c>
      <c r="N1027" t="s">
        <v>19</v>
      </c>
    </row>
    <row r="1028" spans="1:22" x14ac:dyDescent="0.3">
      <c r="A1028" s="12"/>
      <c r="B1028" s="452"/>
      <c r="C1028" s="452"/>
      <c r="D1028" s="452"/>
      <c r="E1028" s="452"/>
      <c r="F1028" s="452"/>
      <c r="G1028" s="452"/>
      <c r="H1028" s="452"/>
      <c r="I1028" s="452"/>
      <c r="J1028" s="452"/>
      <c r="K1028" s="452"/>
      <c r="N1028" t="s">
        <v>20</v>
      </c>
      <c r="O1028">
        <f>COUNT(G1029:G1038)</f>
        <v>10</v>
      </c>
    </row>
    <row r="1029" spans="1:22" x14ac:dyDescent="0.3">
      <c r="A1029" s="12">
        <v>1</v>
      </c>
      <c r="B1029" s="12" t="s">
        <v>150</v>
      </c>
      <c r="C1029" s="12" t="s">
        <v>98</v>
      </c>
      <c r="D1029" s="12" t="s">
        <v>1364</v>
      </c>
      <c r="E1029" s="12">
        <v>10</v>
      </c>
      <c r="F1029" s="12">
        <v>24</v>
      </c>
      <c r="G1029" s="12">
        <f>SUM(E1029:F1029)</f>
        <v>34</v>
      </c>
      <c r="H1029" s="12"/>
      <c r="I1029" s="12"/>
      <c r="J1029" s="12">
        <v>27</v>
      </c>
      <c r="K1029" s="12">
        <f>SUM(G1029:J1029)</f>
        <v>61</v>
      </c>
      <c r="L1029" t="str">
        <f t="shared" ref="L1029:L1038" si="83">IF(K1029&gt;=80,"A",IF(K1029&gt;=70,"B+",IF(K1029&gt;=60,"B",IF(K1029&gt;=55,"C+",IF(K1029&gt;=50,"C",IF(K1029&gt;=45,"D+",IF(K1029&gt;=40,"D","F")))))))</f>
        <v>B</v>
      </c>
      <c r="M1029" t="str">
        <f t="shared" ref="M1029:M1038" si="84">IF(K1029&gt;=50,"Passed","Failed")</f>
        <v>Passed</v>
      </c>
      <c r="N1029" t="s">
        <v>21</v>
      </c>
      <c r="O1029">
        <f>COUNT(J1029:J1038)</f>
        <v>10</v>
      </c>
    </row>
    <row r="1030" spans="1:22" x14ac:dyDescent="0.3">
      <c r="A1030" s="12">
        <v>2</v>
      </c>
      <c r="B1030" s="12" t="s">
        <v>151</v>
      </c>
      <c r="C1030" s="12" t="s">
        <v>99</v>
      </c>
      <c r="D1030" s="12" t="s">
        <v>1362</v>
      </c>
      <c r="E1030" s="12">
        <v>7.5</v>
      </c>
      <c r="F1030" s="12">
        <v>24</v>
      </c>
      <c r="G1030" s="12">
        <f t="shared" ref="G1030:G1038" si="85">SUM(E1030:F1030)</f>
        <v>31.5</v>
      </c>
      <c r="H1030" s="12"/>
      <c r="I1030" s="12"/>
      <c r="J1030" s="12">
        <v>33</v>
      </c>
      <c r="K1030" s="12">
        <f t="shared" ref="K1030:K1038" si="86">SUM(G1030:J1030)</f>
        <v>64.5</v>
      </c>
      <c r="L1030" t="str">
        <f t="shared" si="83"/>
        <v>B</v>
      </c>
      <c r="M1030" t="str">
        <f t="shared" si="84"/>
        <v>Passed</v>
      </c>
      <c r="N1030" t="s">
        <v>22</v>
      </c>
      <c r="O1030">
        <f>O1028-O1029</f>
        <v>0</v>
      </c>
    </row>
    <row r="1031" spans="1:22" x14ac:dyDescent="0.3">
      <c r="A1031" s="12">
        <v>3</v>
      </c>
      <c r="B1031" s="12" t="s">
        <v>157</v>
      </c>
      <c r="C1031" s="12" t="s">
        <v>106</v>
      </c>
      <c r="D1031" s="12" t="s">
        <v>1363</v>
      </c>
      <c r="E1031" s="12">
        <v>10</v>
      </c>
      <c r="F1031" s="12">
        <v>20</v>
      </c>
      <c r="G1031" s="12">
        <f t="shared" si="85"/>
        <v>30</v>
      </c>
      <c r="H1031" s="12"/>
      <c r="I1031" s="12"/>
      <c r="J1031" s="12">
        <v>40</v>
      </c>
      <c r="K1031" s="12">
        <f t="shared" si="86"/>
        <v>70</v>
      </c>
      <c r="L1031" t="str">
        <f t="shared" si="83"/>
        <v>B+</v>
      </c>
      <c r="M1031" t="str">
        <f t="shared" si="84"/>
        <v>Passed</v>
      </c>
      <c r="N1031" t="s">
        <v>23</v>
      </c>
      <c r="O1031">
        <f>COUNTIF(M1029:M1038,"Passed")</f>
        <v>9</v>
      </c>
    </row>
    <row r="1032" spans="1:22" x14ac:dyDescent="0.3">
      <c r="A1032" s="12">
        <v>4</v>
      </c>
      <c r="B1032" s="12" t="s">
        <v>158</v>
      </c>
      <c r="C1032" s="12" t="s">
        <v>107</v>
      </c>
      <c r="D1032" s="12" t="s">
        <v>1370</v>
      </c>
      <c r="E1032" s="12">
        <v>10</v>
      </c>
      <c r="F1032" s="12">
        <v>25</v>
      </c>
      <c r="G1032" s="12">
        <f t="shared" si="85"/>
        <v>35</v>
      </c>
      <c r="H1032" s="12"/>
      <c r="I1032" s="12"/>
      <c r="J1032" s="12">
        <v>50</v>
      </c>
      <c r="K1032" s="12">
        <f t="shared" si="86"/>
        <v>85</v>
      </c>
      <c r="L1032" t="str">
        <f t="shared" si="83"/>
        <v>A</v>
      </c>
      <c r="M1032" t="str">
        <f t="shared" si="84"/>
        <v>Passed</v>
      </c>
      <c r="N1032" t="s">
        <v>24</v>
      </c>
      <c r="O1032">
        <f>O1031/O1029%</f>
        <v>90</v>
      </c>
    </row>
    <row r="1033" spans="1:22" x14ac:dyDescent="0.3">
      <c r="A1033" s="12">
        <v>5</v>
      </c>
      <c r="B1033" s="12" t="s">
        <v>159</v>
      </c>
      <c r="C1033" s="12" t="s">
        <v>108</v>
      </c>
      <c r="D1033" s="12" t="s">
        <v>1369</v>
      </c>
      <c r="E1033" s="12">
        <v>10</v>
      </c>
      <c r="F1033" s="12">
        <v>30</v>
      </c>
      <c r="G1033" s="12">
        <f t="shared" si="85"/>
        <v>40</v>
      </c>
      <c r="H1033" s="12"/>
      <c r="I1033" s="12"/>
      <c r="J1033" s="12">
        <v>48</v>
      </c>
      <c r="K1033" s="12">
        <f t="shared" si="86"/>
        <v>88</v>
      </c>
      <c r="L1033" t="str">
        <f t="shared" si="83"/>
        <v>A</v>
      </c>
      <c r="M1033" t="str">
        <f t="shared" si="84"/>
        <v>Passed</v>
      </c>
      <c r="N1033" t="s">
        <v>25</v>
      </c>
      <c r="O1033">
        <f>COUNTIF(M1029:M1038,"failed")</f>
        <v>1</v>
      </c>
    </row>
    <row r="1034" spans="1:22" x14ac:dyDescent="0.3">
      <c r="A1034" s="12">
        <v>6</v>
      </c>
      <c r="B1034" s="12" t="s">
        <v>167</v>
      </c>
      <c r="C1034" s="12" t="s">
        <v>118</v>
      </c>
      <c r="D1034" s="12" t="s">
        <v>1367</v>
      </c>
      <c r="E1034" s="12">
        <v>10</v>
      </c>
      <c r="F1034" s="12">
        <v>20</v>
      </c>
      <c r="G1034" s="12">
        <f t="shared" si="85"/>
        <v>30</v>
      </c>
      <c r="H1034" s="12"/>
      <c r="I1034" s="12"/>
      <c r="J1034" s="12">
        <v>33</v>
      </c>
      <c r="K1034" s="12">
        <f t="shared" si="86"/>
        <v>63</v>
      </c>
      <c r="L1034" t="str">
        <f t="shared" si="83"/>
        <v>B</v>
      </c>
      <c r="M1034" t="str">
        <f t="shared" si="84"/>
        <v>Passed</v>
      </c>
      <c r="N1034" t="s">
        <v>26</v>
      </c>
      <c r="O1034">
        <f>O1033/O1029%</f>
        <v>10</v>
      </c>
    </row>
    <row r="1035" spans="1:22" x14ac:dyDescent="0.3">
      <c r="A1035" s="12">
        <v>7</v>
      </c>
      <c r="B1035" s="12" t="s">
        <v>171</v>
      </c>
      <c r="C1035" s="12" t="s">
        <v>125</v>
      </c>
      <c r="D1035" s="12" t="s">
        <v>1365</v>
      </c>
      <c r="E1035" s="12">
        <v>8</v>
      </c>
      <c r="F1035" s="12">
        <v>9</v>
      </c>
      <c r="G1035" s="12">
        <f t="shared" si="85"/>
        <v>17</v>
      </c>
      <c r="H1035" s="12"/>
      <c r="I1035" s="12"/>
      <c r="J1035" s="12">
        <v>11</v>
      </c>
      <c r="K1035" s="12">
        <f t="shared" si="86"/>
        <v>28</v>
      </c>
      <c r="L1035" t="str">
        <f t="shared" si="83"/>
        <v>F</v>
      </c>
      <c r="M1035" t="str">
        <f t="shared" si="84"/>
        <v>Failed</v>
      </c>
      <c r="N1035" t="s">
        <v>27</v>
      </c>
      <c r="O1035" s="179">
        <f>AVERAGE(K1029:K1038)</f>
        <v>68.349999999999994</v>
      </c>
    </row>
    <row r="1036" spans="1:22" x14ac:dyDescent="0.3">
      <c r="A1036" s="12">
        <v>8</v>
      </c>
      <c r="B1036" s="12" t="s">
        <v>174</v>
      </c>
      <c r="C1036" s="12" t="s">
        <v>128</v>
      </c>
      <c r="D1036" s="12" t="s">
        <v>1368</v>
      </c>
      <c r="E1036" s="12">
        <v>9</v>
      </c>
      <c r="F1036" s="12">
        <v>20</v>
      </c>
      <c r="G1036" s="12">
        <f t="shared" si="85"/>
        <v>29</v>
      </c>
      <c r="H1036" s="12"/>
      <c r="I1036" s="12"/>
      <c r="J1036" s="12">
        <v>38</v>
      </c>
      <c r="K1036" s="12">
        <f t="shared" si="86"/>
        <v>67</v>
      </c>
      <c r="L1036" t="str">
        <f t="shared" si="83"/>
        <v>B</v>
      </c>
      <c r="M1036" t="str">
        <f t="shared" si="84"/>
        <v>Passed</v>
      </c>
    </row>
    <row r="1037" spans="1:22" x14ac:dyDescent="0.3">
      <c r="A1037" s="12">
        <v>9</v>
      </c>
      <c r="B1037" s="12" t="s">
        <v>220</v>
      </c>
      <c r="C1037" s="12" t="s">
        <v>130</v>
      </c>
      <c r="D1037" s="12" t="s">
        <v>1361</v>
      </c>
      <c r="E1037" s="12">
        <v>8</v>
      </c>
      <c r="F1037" s="12">
        <v>22</v>
      </c>
      <c r="G1037" s="12">
        <f t="shared" si="85"/>
        <v>30</v>
      </c>
      <c r="H1037" s="12"/>
      <c r="I1037" s="12"/>
      <c r="J1037" s="12">
        <v>38</v>
      </c>
      <c r="K1037" s="12">
        <f t="shared" si="86"/>
        <v>68</v>
      </c>
      <c r="L1037" t="str">
        <f t="shared" si="83"/>
        <v>B</v>
      </c>
      <c r="M1037" t="str">
        <f t="shared" si="84"/>
        <v>Passed</v>
      </c>
    </row>
    <row r="1038" spans="1:22" x14ac:dyDescent="0.3">
      <c r="A1038" s="50">
        <v>10</v>
      </c>
      <c r="B1038" s="12" t="s">
        <v>166</v>
      </c>
      <c r="C1038" s="12" t="s">
        <v>117</v>
      </c>
      <c r="D1038" s="12" t="s">
        <v>1366</v>
      </c>
      <c r="E1038" s="12">
        <v>10</v>
      </c>
      <c r="F1038" s="12">
        <v>29</v>
      </c>
      <c r="G1038" s="12">
        <f t="shared" si="85"/>
        <v>39</v>
      </c>
      <c r="H1038" s="12"/>
      <c r="I1038" s="12"/>
      <c r="J1038" s="12">
        <v>50</v>
      </c>
      <c r="K1038" s="12">
        <f t="shared" si="86"/>
        <v>89</v>
      </c>
      <c r="L1038" t="str">
        <f t="shared" si="83"/>
        <v>A</v>
      </c>
      <c r="M1038" t="str">
        <f t="shared" si="84"/>
        <v>Passed</v>
      </c>
    </row>
    <row r="1039" spans="1:22" x14ac:dyDescent="0.3"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 t="s">
        <v>33</v>
      </c>
      <c r="U1039" t="s">
        <v>34</v>
      </c>
      <c r="V1039" t="s">
        <v>35</v>
      </c>
    </row>
    <row r="1040" spans="1:22" x14ac:dyDescent="0.3">
      <c r="O1040">
        <f>COUNTIF(L1029:L1038,"A")</f>
        <v>3</v>
      </c>
      <c r="P1040">
        <f>COUNTIF(L1029:L1038,"B+")</f>
        <v>1</v>
      </c>
      <c r="Q1040">
        <f>COUNTIF(L1029:L1038,"B")</f>
        <v>5</v>
      </c>
      <c r="R1040">
        <f>COUNTIF(L1029:L1038,"C+")</f>
        <v>0</v>
      </c>
      <c r="S1040">
        <f>COUNTIF(L1029:L1038,"C")</f>
        <v>0</v>
      </c>
      <c r="T1040">
        <f>COUNTIF(L1029:L1038,"D+")</f>
        <v>0</v>
      </c>
      <c r="U1040">
        <f>COUNTIF(L1029:L1038,"D")</f>
        <v>0</v>
      </c>
      <c r="V1040">
        <f>COUNTIF(L1029:L1038,"F")</f>
        <v>1</v>
      </c>
    </row>
    <row r="1052" spans="1:15" x14ac:dyDescent="0.3">
      <c r="A1052" s="450" t="s">
        <v>0</v>
      </c>
      <c r="B1052" s="451"/>
      <c r="C1052" s="451"/>
      <c r="D1052" s="451"/>
      <c r="E1052" s="451"/>
      <c r="F1052" s="451"/>
      <c r="G1052" s="451"/>
      <c r="H1052" s="451"/>
      <c r="I1052" s="451"/>
      <c r="J1052" s="451"/>
      <c r="K1052" s="451"/>
      <c r="L1052" s="451"/>
    </row>
    <row r="1053" spans="1:15" x14ac:dyDescent="0.3">
      <c r="A1053" s="48" t="s">
        <v>66</v>
      </c>
      <c r="B1053" s="48"/>
      <c r="C1053" s="48"/>
      <c r="D1053" s="48"/>
      <c r="E1053" s="48"/>
      <c r="F1053" s="48"/>
      <c r="G1053" s="48"/>
      <c r="H1053" s="48"/>
      <c r="I1053" s="48"/>
      <c r="J1053" s="48"/>
      <c r="K1053" s="48"/>
      <c r="L1053" s="56"/>
    </row>
    <row r="1054" spans="1:15" x14ac:dyDescent="0.3">
      <c r="A1054" s="471" t="s">
        <v>362</v>
      </c>
      <c r="B1054" s="463"/>
      <c r="C1054" s="463"/>
      <c r="D1054" s="2"/>
      <c r="E1054" s="2"/>
      <c r="F1054" s="2"/>
      <c r="G1054" s="2"/>
      <c r="H1054" s="2"/>
      <c r="I1054" s="2"/>
      <c r="J1054" s="2"/>
      <c r="K1054" s="2"/>
      <c r="L1054" s="1"/>
      <c r="M1054" s="16"/>
      <c r="N1054" s="16"/>
      <c r="O1054" s="13"/>
    </row>
    <row r="1055" spans="1:15" x14ac:dyDescent="0.3">
      <c r="A1055" s="450" t="s">
        <v>1</v>
      </c>
      <c r="B1055" s="462" t="s">
        <v>199</v>
      </c>
      <c r="C1055" s="462"/>
      <c r="D1055" s="450"/>
      <c r="E1055" s="450"/>
      <c r="F1055" s="450"/>
      <c r="G1055" s="450"/>
      <c r="H1055" s="450"/>
      <c r="I1055" s="450"/>
      <c r="J1055" s="450"/>
      <c r="K1055" s="450"/>
      <c r="L1055" s="451"/>
    </row>
    <row r="1056" spans="1:15" x14ac:dyDescent="0.3">
      <c r="A1056" s="453" t="s">
        <v>3</v>
      </c>
      <c r="B1056" s="462" t="s">
        <v>191</v>
      </c>
      <c r="C1056" s="462"/>
      <c r="D1056" s="453"/>
      <c r="E1056" s="453"/>
      <c r="F1056" s="453"/>
      <c r="G1056" s="453"/>
      <c r="H1056" s="453"/>
      <c r="I1056" s="453"/>
      <c r="J1056" s="453"/>
      <c r="K1056" s="453"/>
      <c r="L1056" s="454"/>
    </row>
    <row r="1057" spans="1:15" x14ac:dyDescent="0.3">
      <c r="A1057" s="450" t="s">
        <v>4</v>
      </c>
      <c r="B1057" s="462" t="s">
        <v>192</v>
      </c>
      <c r="C1057" s="462"/>
      <c r="D1057" s="450"/>
      <c r="E1057" s="450"/>
      <c r="F1057" s="450"/>
      <c r="G1057" s="450"/>
      <c r="H1057" s="450"/>
      <c r="I1057" s="450"/>
      <c r="J1057" s="450"/>
      <c r="K1057" s="450"/>
      <c r="L1057" s="451"/>
    </row>
    <row r="1058" spans="1:15" x14ac:dyDescent="0.3">
      <c r="A1058" s="450" t="s">
        <v>5</v>
      </c>
      <c r="B1058" s="463">
        <v>3</v>
      </c>
      <c r="C1058" s="463"/>
      <c r="D1058" s="450"/>
      <c r="E1058" s="450"/>
      <c r="F1058" s="450"/>
      <c r="G1058" s="450"/>
      <c r="H1058" s="450"/>
      <c r="I1058" s="450"/>
      <c r="J1058" s="450"/>
      <c r="K1058" s="450"/>
      <c r="L1058" s="451"/>
    </row>
    <row r="1059" spans="1:15" x14ac:dyDescent="0.3">
      <c r="A1059" s="450" t="s">
        <v>6</v>
      </c>
      <c r="B1059" s="462" t="s">
        <v>1929</v>
      </c>
      <c r="C1059" s="462"/>
      <c r="D1059" s="450"/>
      <c r="E1059" s="450"/>
      <c r="F1059" s="450"/>
      <c r="G1059" s="450"/>
      <c r="H1059" s="450"/>
      <c r="I1059" s="450"/>
      <c r="J1059" s="450"/>
      <c r="K1059" s="450"/>
      <c r="L1059" s="451"/>
    </row>
    <row r="1060" spans="1:15" x14ac:dyDescent="0.3">
      <c r="A1060" s="450" t="s">
        <v>68</v>
      </c>
      <c r="B1060" s="465"/>
      <c r="C1060" s="465"/>
      <c r="D1060" s="450"/>
      <c r="E1060" s="450"/>
      <c r="F1060" s="450"/>
      <c r="G1060" s="450"/>
      <c r="H1060" s="450"/>
      <c r="I1060" s="450"/>
      <c r="J1060" s="450"/>
      <c r="K1060" s="450"/>
    </row>
    <row r="1061" spans="1:15" x14ac:dyDescent="0.3">
      <c r="A1061" s="4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</row>
    <row r="1062" spans="1:15" ht="60" x14ac:dyDescent="0.3">
      <c r="A1062" s="452" t="s">
        <v>8</v>
      </c>
      <c r="B1062" s="452" t="s">
        <v>9</v>
      </c>
      <c r="C1062" s="452" t="s">
        <v>10</v>
      </c>
      <c r="D1062" s="43" t="s">
        <v>11</v>
      </c>
      <c r="E1062" s="43" t="s">
        <v>12</v>
      </c>
      <c r="F1062" s="43" t="s">
        <v>13</v>
      </c>
      <c r="G1062" s="43" t="s">
        <v>14</v>
      </c>
      <c r="H1062" s="43" t="s">
        <v>208</v>
      </c>
      <c r="I1062" s="43" t="s">
        <v>209</v>
      </c>
      <c r="J1062" s="43" t="s">
        <v>15</v>
      </c>
      <c r="K1062" s="43" t="s">
        <v>16</v>
      </c>
      <c r="L1062" s="14" t="s">
        <v>17</v>
      </c>
      <c r="M1062" s="14" t="s">
        <v>18</v>
      </c>
      <c r="N1062" s="14" t="s">
        <v>19</v>
      </c>
    </row>
    <row r="1063" spans="1:15" x14ac:dyDescent="0.3">
      <c r="A1063" s="12"/>
      <c r="B1063" s="452"/>
      <c r="C1063" s="452"/>
      <c r="D1063" s="452"/>
      <c r="E1063" s="452"/>
      <c r="F1063" s="452"/>
      <c r="G1063" s="452"/>
      <c r="H1063" s="452"/>
      <c r="I1063" s="452"/>
      <c r="J1063" s="452"/>
      <c r="K1063" s="452"/>
      <c r="N1063" t="s">
        <v>20</v>
      </c>
      <c r="O1063">
        <f>COUNT(G1064:G1073)</f>
        <v>10</v>
      </c>
    </row>
    <row r="1064" spans="1:15" x14ac:dyDescent="0.3">
      <c r="A1064" s="12">
        <v>1</v>
      </c>
      <c r="B1064" s="12" t="s">
        <v>150</v>
      </c>
      <c r="C1064" s="12" t="s">
        <v>98</v>
      </c>
      <c r="D1064" s="12" t="s">
        <v>1215</v>
      </c>
      <c r="E1064" s="12">
        <v>10</v>
      </c>
      <c r="F1064" s="12">
        <v>18</v>
      </c>
      <c r="G1064" s="12">
        <f>SUM(E1064:F1064)</f>
        <v>28</v>
      </c>
      <c r="H1064" s="12"/>
      <c r="I1064" s="12"/>
      <c r="J1064" s="12">
        <v>23</v>
      </c>
      <c r="K1064" s="12">
        <f>SUM(G1064:J1064)</f>
        <v>51</v>
      </c>
      <c r="L1064" t="str">
        <f t="shared" ref="L1064:L1073" si="87">IF(K1064&gt;=80,"A",IF(K1064&gt;=70,"B+",IF(K1064&gt;=60,"B",IF(K1064&gt;=55,"C+",IF(K1064&gt;=50,"C",IF(K1064&gt;=45,"D+",IF(K1064&gt;=40,"D","F")))))))</f>
        <v>C</v>
      </c>
      <c r="M1064" t="str">
        <f t="shared" ref="M1064:M1073" si="88">IF(K1064&gt;=50,"Passed","Failed")</f>
        <v>Passed</v>
      </c>
      <c r="N1064" t="s">
        <v>21</v>
      </c>
      <c r="O1064">
        <f>COUNT(J1064:J1073)</f>
        <v>10</v>
      </c>
    </row>
    <row r="1065" spans="1:15" x14ac:dyDescent="0.3">
      <c r="A1065" s="12">
        <v>2</v>
      </c>
      <c r="B1065" s="12" t="s">
        <v>151</v>
      </c>
      <c r="C1065" s="12" t="s">
        <v>99</v>
      </c>
      <c r="D1065" s="12" t="s">
        <v>1217</v>
      </c>
      <c r="E1065" s="12">
        <v>7.5</v>
      </c>
      <c r="F1065" s="12">
        <v>11</v>
      </c>
      <c r="G1065" s="12">
        <f t="shared" ref="G1065:G1073" si="89">SUM(E1065:F1065)</f>
        <v>18.5</v>
      </c>
      <c r="H1065" s="12"/>
      <c r="I1065" s="12"/>
      <c r="J1065" s="12">
        <v>33</v>
      </c>
      <c r="K1065" s="241">
        <f t="shared" ref="K1065:K1073" si="90">SUM(G1065:J1065)</f>
        <v>51.5</v>
      </c>
      <c r="L1065" t="str">
        <f t="shared" si="87"/>
        <v>C</v>
      </c>
      <c r="M1065" t="str">
        <f t="shared" si="88"/>
        <v>Passed</v>
      </c>
      <c r="N1065" t="s">
        <v>22</v>
      </c>
      <c r="O1065">
        <f>O1063-O1064</f>
        <v>0</v>
      </c>
    </row>
    <row r="1066" spans="1:15" x14ac:dyDescent="0.3">
      <c r="A1066" s="12">
        <v>3</v>
      </c>
      <c r="B1066" s="12" t="s">
        <v>157</v>
      </c>
      <c r="C1066" s="12" t="s">
        <v>106</v>
      </c>
      <c r="D1066" s="12" t="s">
        <v>1214</v>
      </c>
      <c r="E1066" s="12">
        <v>10</v>
      </c>
      <c r="F1066" s="12">
        <v>17</v>
      </c>
      <c r="G1066" s="12">
        <f t="shared" si="89"/>
        <v>27</v>
      </c>
      <c r="H1066" s="12"/>
      <c r="I1066" s="12"/>
      <c r="J1066" s="12">
        <v>33</v>
      </c>
      <c r="K1066" s="12">
        <f t="shared" si="90"/>
        <v>60</v>
      </c>
      <c r="L1066" t="str">
        <f t="shared" si="87"/>
        <v>B</v>
      </c>
      <c r="M1066" t="str">
        <f t="shared" si="88"/>
        <v>Passed</v>
      </c>
      <c r="N1066" t="s">
        <v>23</v>
      </c>
      <c r="O1066">
        <f>COUNTIF(M1064:M1073,"Passed")</f>
        <v>9</v>
      </c>
    </row>
    <row r="1067" spans="1:15" x14ac:dyDescent="0.3">
      <c r="A1067" s="12">
        <v>4</v>
      </c>
      <c r="B1067" s="12" t="s">
        <v>158</v>
      </c>
      <c r="C1067" s="12" t="s">
        <v>107</v>
      </c>
      <c r="D1067" s="12" t="s">
        <v>1210</v>
      </c>
      <c r="E1067" s="12">
        <v>10</v>
      </c>
      <c r="F1067" s="12">
        <v>19</v>
      </c>
      <c r="G1067" s="12">
        <f t="shared" si="89"/>
        <v>29</v>
      </c>
      <c r="H1067" s="12"/>
      <c r="I1067" s="12"/>
      <c r="J1067" s="12">
        <v>24</v>
      </c>
      <c r="K1067" s="12">
        <f t="shared" si="90"/>
        <v>53</v>
      </c>
      <c r="L1067" t="str">
        <f t="shared" si="87"/>
        <v>C</v>
      </c>
      <c r="M1067" t="str">
        <f t="shared" si="88"/>
        <v>Passed</v>
      </c>
      <c r="N1067" t="s">
        <v>24</v>
      </c>
      <c r="O1067" s="179">
        <f>O1066/O1064%</f>
        <v>90</v>
      </c>
    </row>
    <row r="1068" spans="1:15" x14ac:dyDescent="0.3">
      <c r="A1068" s="12">
        <v>5</v>
      </c>
      <c r="B1068" s="12" t="s">
        <v>159</v>
      </c>
      <c r="C1068" s="12" t="s">
        <v>108</v>
      </c>
      <c r="D1068" s="12" t="s">
        <v>1209</v>
      </c>
      <c r="E1068" s="12">
        <v>9</v>
      </c>
      <c r="F1068" s="12">
        <v>14</v>
      </c>
      <c r="G1068" s="12">
        <f t="shared" si="89"/>
        <v>23</v>
      </c>
      <c r="H1068" s="12"/>
      <c r="I1068" s="12"/>
      <c r="J1068" s="12">
        <v>46</v>
      </c>
      <c r="K1068" s="12">
        <f t="shared" si="90"/>
        <v>69</v>
      </c>
      <c r="L1068" t="str">
        <f t="shared" si="87"/>
        <v>B</v>
      </c>
      <c r="M1068" t="str">
        <f t="shared" si="88"/>
        <v>Passed</v>
      </c>
      <c r="N1068" t="s">
        <v>25</v>
      </c>
      <c r="O1068">
        <f>COUNTIF(M1064:M1073,"failed")</f>
        <v>1</v>
      </c>
    </row>
    <row r="1069" spans="1:15" x14ac:dyDescent="0.3">
      <c r="A1069" s="12">
        <v>6</v>
      </c>
      <c r="B1069" s="12" t="s">
        <v>167</v>
      </c>
      <c r="C1069" s="12" t="s">
        <v>118</v>
      </c>
      <c r="D1069" s="12" t="s">
        <v>1211</v>
      </c>
      <c r="E1069" s="12">
        <v>9</v>
      </c>
      <c r="F1069" s="12">
        <v>6</v>
      </c>
      <c r="G1069" s="12">
        <f t="shared" si="89"/>
        <v>15</v>
      </c>
      <c r="H1069" s="12"/>
      <c r="I1069" s="12"/>
      <c r="J1069" s="12">
        <v>35</v>
      </c>
      <c r="K1069" s="12">
        <f t="shared" si="90"/>
        <v>50</v>
      </c>
      <c r="L1069" t="str">
        <f t="shared" si="87"/>
        <v>C</v>
      </c>
      <c r="M1069" t="str">
        <f t="shared" si="88"/>
        <v>Passed</v>
      </c>
      <c r="N1069" t="s">
        <v>26</v>
      </c>
      <c r="O1069" s="179">
        <f>O1068/O1064%</f>
        <v>10</v>
      </c>
    </row>
    <row r="1070" spans="1:15" x14ac:dyDescent="0.3">
      <c r="A1070" s="12">
        <v>7</v>
      </c>
      <c r="B1070" s="12" t="s">
        <v>171</v>
      </c>
      <c r="C1070" s="12" t="s">
        <v>125</v>
      </c>
      <c r="D1070" s="12" t="s">
        <v>1216</v>
      </c>
      <c r="E1070" s="12">
        <v>9</v>
      </c>
      <c r="F1070" s="12">
        <v>9</v>
      </c>
      <c r="G1070" s="12">
        <f t="shared" si="89"/>
        <v>18</v>
      </c>
      <c r="H1070" s="12"/>
      <c r="I1070" s="12"/>
      <c r="J1070" s="12">
        <v>18</v>
      </c>
      <c r="K1070" s="12">
        <f t="shared" si="90"/>
        <v>36</v>
      </c>
      <c r="L1070" t="str">
        <f t="shared" si="87"/>
        <v>F</v>
      </c>
      <c r="M1070" t="str">
        <f t="shared" si="88"/>
        <v>Failed</v>
      </c>
      <c r="N1070" t="s">
        <v>27</v>
      </c>
      <c r="O1070" s="179">
        <f>AVERAGE(K1064:K1073)</f>
        <v>57.55</v>
      </c>
    </row>
    <row r="1071" spans="1:15" x14ac:dyDescent="0.3">
      <c r="A1071" s="12">
        <v>8</v>
      </c>
      <c r="B1071" s="12" t="s">
        <v>174</v>
      </c>
      <c r="C1071" s="12" t="s">
        <v>128</v>
      </c>
      <c r="D1071" s="12" t="s">
        <v>1212</v>
      </c>
      <c r="E1071" s="12">
        <v>9</v>
      </c>
      <c r="F1071" s="12">
        <v>17</v>
      </c>
      <c r="G1071" s="12">
        <f t="shared" si="89"/>
        <v>26</v>
      </c>
      <c r="H1071" s="12"/>
      <c r="I1071" s="12"/>
      <c r="J1071" s="12">
        <v>37</v>
      </c>
      <c r="K1071" s="12">
        <f t="shared" si="90"/>
        <v>63</v>
      </c>
      <c r="L1071" t="str">
        <f t="shared" si="87"/>
        <v>B</v>
      </c>
      <c r="M1071" t="str">
        <f t="shared" si="88"/>
        <v>Passed</v>
      </c>
    </row>
    <row r="1072" spans="1:15" x14ac:dyDescent="0.3">
      <c r="A1072" s="12">
        <v>9</v>
      </c>
      <c r="B1072" s="12" t="s">
        <v>220</v>
      </c>
      <c r="C1072" s="12" t="s">
        <v>130</v>
      </c>
      <c r="D1072" s="12" t="s">
        <v>1208</v>
      </c>
      <c r="E1072" s="12">
        <v>9</v>
      </c>
      <c r="F1072" s="12">
        <v>18</v>
      </c>
      <c r="G1072" s="12">
        <f t="shared" si="89"/>
        <v>27</v>
      </c>
      <c r="H1072" s="12"/>
      <c r="I1072" s="12"/>
      <c r="J1072" s="12">
        <v>41</v>
      </c>
      <c r="K1072" s="12">
        <f t="shared" si="90"/>
        <v>68</v>
      </c>
      <c r="L1072" t="str">
        <f t="shared" si="87"/>
        <v>B</v>
      </c>
      <c r="M1072" t="str">
        <f t="shared" si="88"/>
        <v>Passed</v>
      </c>
    </row>
    <row r="1073" spans="1:22" x14ac:dyDescent="0.3">
      <c r="A1073" s="50">
        <v>10</v>
      </c>
      <c r="B1073" s="12" t="s">
        <v>166</v>
      </c>
      <c r="C1073" s="12" t="s">
        <v>117</v>
      </c>
      <c r="D1073" s="12" t="s">
        <v>1213</v>
      </c>
      <c r="E1073" s="12">
        <v>10</v>
      </c>
      <c r="F1073" s="12">
        <v>23</v>
      </c>
      <c r="G1073" s="12">
        <f t="shared" si="89"/>
        <v>33</v>
      </c>
      <c r="H1073" s="12"/>
      <c r="I1073" s="12"/>
      <c r="J1073" s="12">
        <v>41</v>
      </c>
      <c r="K1073" s="12">
        <f t="shared" si="90"/>
        <v>74</v>
      </c>
      <c r="L1073" t="str">
        <f t="shared" si="87"/>
        <v>B+</v>
      </c>
      <c r="M1073" t="str">
        <f t="shared" si="88"/>
        <v>Passed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 t="s">
        <v>33</v>
      </c>
      <c r="U1073" t="s">
        <v>34</v>
      </c>
      <c r="V1073" t="s">
        <v>35</v>
      </c>
    </row>
    <row r="1074" spans="1:22" x14ac:dyDescent="0.3">
      <c r="O1074">
        <f>COUNTIF(L1064:L1073,"A")</f>
        <v>0</v>
      </c>
      <c r="P1074">
        <f>COUNTIF(L1064:L1073,"B+")</f>
        <v>1</v>
      </c>
      <c r="Q1074">
        <f>COUNTIF(L1064:L1073,"B")</f>
        <v>4</v>
      </c>
      <c r="R1074">
        <f>COUNTIF(L1064:L1073,"C+")</f>
        <v>0</v>
      </c>
      <c r="S1074">
        <f>COUNTIF(L1064:L1073,"C")</f>
        <v>4</v>
      </c>
      <c r="T1074">
        <f>COUNTIF(L1064:L1073,"D+")</f>
        <v>0</v>
      </c>
      <c r="U1074">
        <f>COUNTIF(L1064:L1073,"D")</f>
        <v>0</v>
      </c>
      <c r="V1074">
        <f>COUNTIF(L1064:L1073,"F")</f>
        <v>1</v>
      </c>
    </row>
    <row r="1087" spans="1:22" x14ac:dyDescent="0.3">
      <c r="A1087" s="450" t="s">
        <v>0</v>
      </c>
      <c r="B1087" s="451"/>
      <c r="C1087" s="451"/>
      <c r="D1087" s="451"/>
      <c r="E1087" s="451"/>
      <c r="F1087" s="451"/>
      <c r="G1087" s="451"/>
      <c r="H1087" s="451"/>
      <c r="I1087" s="451"/>
      <c r="J1087" s="451"/>
      <c r="K1087" s="451"/>
      <c r="L1087" s="451"/>
    </row>
    <row r="1088" spans="1:22" x14ac:dyDescent="0.3">
      <c r="A1088" s="48" t="s">
        <v>66</v>
      </c>
      <c r="B1088" s="48"/>
      <c r="C1088" s="48"/>
      <c r="D1088" s="48"/>
      <c r="E1088" s="48"/>
      <c r="F1088" s="48"/>
      <c r="G1088" s="48"/>
      <c r="H1088" s="48"/>
      <c r="I1088" s="48"/>
      <c r="J1088" s="48"/>
      <c r="K1088" s="48"/>
      <c r="L1088" s="56"/>
    </row>
    <row r="1089" spans="1:15" x14ac:dyDescent="0.3">
      <c r="A1089" s="471" t="s">
        <v>362</v>
      </c>
      <c r="B1089" s="463"/>
      <c r="C1089" s="463"/>
      <c r="D1089" s="2"/>
      <c r="E1089" s="2"/>
      <c r="F1089" s="2"/>
      <c r="G1089" s="2"/>
      <c r="H1089" s="2"/>
      <c r="I1089" s="2"/>
      <c r="J1089" s="2"/>
      <c r="K1089" s="2"/>
      <c r="L1089" s="1"/>
      <c r="M1089" s="16"/>
      <c r="N1089" s="16"/>
      <c r="O1089" s="13"/>
    </row>
    <row r="1090" spans="1:15" x14ac:dyDescent="0.3">
      <c r="A1090" s="450" t="s">
        <v>1</v>
      </c>
      <c r="B1090" s="462" t="s">
        <v>46</v>
      </c>
      <c r="C1090" s="462"/>
      <c r="D1090" s="450"/>
      <c r="E1090" s="450"/>
      <c r="F1090" s="450"/>
      <c r="G1090" s="450"/>
      <c r="H1090" s="450"/>
      <c r="I1090" s="450"/>
      <c r="J1090" s="450"/>
      <c r="K1090" s="450"/>
      <c r="L1090" s="451"/>
    </row>
    <row r="1091" spans="1:15" x14ac:dyDescent="0.3">
      <c r="A1091" s="453" t="s">
        <v>3</v>
      </c>
      <c r="B1091" s="462" t="s">
        <v>193</v>
      </c>
      <c r="C1091" s="462"/>
      <c r="D1091" s="453"/>
      <c r="E1091" s="453"/>
      <c r="F1091" s="453"/>
      <c r="G1091" s="453"/>
      <c r="H1091" s="453"/>
      <c r="I1091" s="453"/>
      <c r="J1091" s="453"/>
      <c r="K1091" s="453"/>
      <c r="L1091" s="454"/>
    </row>
    <row r="1092" spans="1:15" x14ac:dyDescent="0.3">
      <c r="A1092" s="450" t="s">
        <v>4</v>
      </c>
      <c r="B1092" s="462" t="s">
        <v>194</v>
      </c>
      <c r="C1092" s="462"/>
      <c r="D1092" s="450"/>
      <c r="E1092" s="450"/>
      <c r="F1092" s="450"/>
      <c r="G1092" s="450"/>
      <c r="H1092" s="450"/>
      <c r="I1092" s="450"/>
      <c r="J1092" s="450"/>
      <c r="K1092" s="450"/>
      <c r="L1092" s="451"/>
    </row>
    <row r="1093" spans="1:15" x14ac:dyDescent="0.3">
      <c r="A1093" s="450" t="s">
        <v>5</v>
      </c>
      <c r="B1093" s="463">
        <v>3</v>
      </c>
      <c r="C1093" s="463"/>
      <c r="D1093" s="450"/>
      <c r="E1093" s="450"/>
      <c r="F1093" s="450"/>
      <c r="G1093" s="450"/>
      <c r="H1093" s="450"/>
      <c r="I1093" s="450"/>
      <c r="J1093" s="450"/>
      <c r="K1093" s="450"/>
      <c r="L1093" s="451"/>
    </row>
    <row r="1094" spans="1:15" x14ac:dyDescent="0.3">
      <c r="A1094" s="450" t="s">
        <v>6</v>
      </c>
      <c r="B1094" s="462" t="s">
        <v>430</v>
      </c>
      <c r="C1094" s="462"/>
      <c r="D1094" s="450"/>
      <c r="E1094" s="450"/>
      <c r="F1094" s="450"/>
      <c r="G1094" s="450"/>
      <c r="H1094" s="450"/>
      <c r="I1094" s="450"/>
      <c r="J1094" s="450"/>
      <c r="K1094" s="450"/>
      <c r="L1094" s="451"/>
    </row>
    <row r="1095" spans="1:15" x14ac:dyDescent="0.3">
      <c r="A1095" s="450" t="s">
        <v>68</v>
      </c>
      <c r="B1095" s="465"/>
      <c r="C1095" s="465"/>
      <c r="D1095" s="450"/>
      <c r="E1095" s="450"/>
      <c r="F1095" s="450"/>
      <c r="G1095" s="450"/>
      <c r="H1095" s="450"/>
      <c r="I1095" s="450"/>
      <c r="J1095" s="450"/>
      <c r="K1095" s="450"/>
    </row>
    <row r="1096" spans="1:15" x14ac:dyDescent="0.3">
      <c r="A1096" s="4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</row>
    <row r="1097" spans="1:15" ht="60" x14ac:dyDescent="0.3">
      <c r="A1097" s="452" t="s">
        <v>8</v>
      </c>
      <c r="B1097" s="452" t="s">
        <v>9</v>
      </c>
      <c r="C1097" s="452" t="s">
        <v>10</v>
      </c>
      <c r="D1097" s="43" t="s">
        <v>11</v>
      </c>
      <c r="E1097" s="43" t="s">
        <v>12</v>
      </c>
      <c r="F1097" s="43" t="s">
        <v>13</v>
      </c>
      <c r="G1097" s="43" t="s">
        <v>14</v>
      </c>
      <c r="H1097" s="43" t="s">
        <v>208</v>
      </c>
      <c r="I1097" s="43" t="s">
        <v>209</v>
      </c>
      <c r="J1097" s="43" t="s">
        <v>15</v>
      </c>
      <c r="K1097" s="43" t="s">
        <v>16</v>
      </c>
      <c r="L1097" s="14" t="s">
        <v>17</v>
      </c>
      <c r="M1097" s="14" t="s">
        <v>18</v>
      </c>
      <c r="N1097" s="14" t="s">
        <v>19</v>
      </c>
    </row>
    <row r="1098" spans="1:15" x14ac:dyDescent="0.3">
      <c r="A1098" s="12"/>
      <c r="B1098" s="452"/>
      <c r="C1098" s="452"/>
      <c r="D1098" s="452"/>
      <c r="E1098" s="452"/>
      <c r="F1098" s="452"/>
      <c r="G1098" s="452"/>
      <c r="H1098" s="452"/>
      <c r="I1098" s="452"/>
      <c r="J1098" s="452"/>
      <c r="K1098" s="452"/>
      <c r="N1098" t="s">
        <v>20</v>
      </c>
      <c r="O1098">
        <f>COUNT(G1099:G1108)</f>
        <v>10</v>
      </c>
    </row>
    <row r="1099" spans="1:15" x14ac:dyDescent="0.3">
      <c r="A1099" s="12">
        <v>1</v>
      </c>
      <c r="B1099" s="12" t="s">
        <v>150</v>
      </c>
      <c r="C1099" s="12" t="s">
        <v>98</v>
      </c>
      <c r="D1099" s="12" t="s">
        <v>1383</v>
      </c>
      <c r="E1099" s="12">
        <v>10</v>
      </c>
      <c r="F1099" s="12">
        <v>17</v>
      </c>
      <c r="G1099" s="12">
        <f>SUM(E1099:F1099)</f>
        <v>27</v>
      </c>
      <c r="H1099" s="12"/>
      <c r="I1099" s="12"/>
      <c r="J1099" s="12">
        <v>18</v>
      </c>
      <c r="K1099" s="12">
        <f>SUM(G1099:J1099)</f>
        <v>45</v>
      </c>
      <c r="L1099" t="str">
        <f t="shared" ref="L1099:L1108" si="91">IF(K1099&gt;=80,"A",IF(K1099&gt;=70,"B+",IF(K1099&gt;=60,"B",IF(K1099&gt;=55,"C+",IF(K1099&gt;=50,"C",IF(K1099&gt;=45,"D+",IF(K1099&gt;=40,"D","F")))))))</f>
        <v>D+</v>
      </c>
      <c r="M1099" t="str">
        <f t="shared" ref="M1099:M1108" si="92">IF(K1099&gt;=50,"Passed","Failed")</f>
        <v>Failed</v>
      </c>
      <c r="N1099" t="s">
        <v>21</v>
      </c>
      <c r="O1099">
        <f>COUNT(J1099:J1108)</f>
        <v>10</v>
      </c>
    </row>
    <row r="1100" spans="1:15" x14ac:dyDescent="0.3">
      <c r="A1100" s="12">
        <v>2</v>
      </c>
      <c r="B1100" s="12" t="s">
        <v>151</v>
      </c>
      <c r="C1100" s="12" t="s">
        <v>99</v>
      </c>
      <c r="D1100" s="12" t="s">
        <v>1384</v>
      </c>
      <c r="E1100" s="12">
        <v>7.5</v>
      </c>
      <c r="F1100" s="12">
        <v>22</v>
      </c>
      <c r="G1100" s="12">
        <f t="shared" ref="G1100:G1108" si="93">SUM(E1100:F1100)</f>
        <v>29.5</v>
      </c>
      <c r="H1100" s="12"/>
      <c r="I1100" s="12"/>
      <c r="J1100" s="12">
        <v>27</v>
      </c>
      <c r="K1100" s="241">
        <f t="shared" ref="K1100:K1108" si="94">SUM(G1100:J1100)</f>
        <v>56.5</v>
      </c>
      <c r="L1100" t="str">
        <f t="shared" si="91"/>
        <v>C+</v>
      </c>
      <c r="M1100" t="str">
        <f t="shared" si="92"/>
        <v>Passed</v>
      </c>
      <c r="N1100" t="s">
        <v>22</v>
      </c>
      <c r="O1100">
        <f>O1098-O1099</f>
        <v>0</v>
      </c>
    </row>
    <row r="1101" spans="1:15" x14ac:dyDescent="0.3">
      <c r="A1101" s="12">
        <v>3</v>
      </c>
      <c r="B1101" s="12" t="s">
        <v>157</v>
      </c>
      <c r="C1101" s="12" t="s">
        <v>106</v>
      </c>
      <c r="D1101" s="12" t="s">
        <v>1385</v>
      </c>
      <c r="E1101" s="12">
        <v>10</v>
      </c>
      <c r="F1101" s="12">
        <v>14</v>
      </c>
      <c r="G1101" s="12">
        <f t="shared" si="93"/>
        <v>24</v>
      </c>
      <c r="H1101" s="12"/>
      <c r="I1101" s="12"/>
      <c r="J1101" s="12">
        <v>23</v>
      </c>
      <c r="K1101" s="12">
        <f t="shared" si="94"/>
        <v>47</v>
      </c>
      <c r="L1101" t="str">
        <f t="shared" si="91"/>
        <v>D+</v>
      </c>
      <c r="M1101" t="str">
        <f t="shared" si="92"/>
        <v>Failed</v>
      </c>
      <c r="N1101" t="s">
        <v>23</v>
      </c>
      <c r="O1101">
        <f>COUNTIF(M1099:M1108,"Passed")</f>
        <v>7</v>
      </c>
    </row>
    <row r="1102" spans="1:15" x14ac:dyDescent="0.3">
      <c r="A1102" s="12">
        <v>4</v>
      </c>
      <c r="B1102" s="12" t="s">
        <v>158</v>
      </c>
      <c r="C1102" s="12" t="s">
        <v>107</v>
      </c>
      <c r="D1102" s="12" t="s">
        <v>1389</v>
      </c>
      <c r="E1102" s="12">
        <v>10</v>
      </c>
      <c r="F1102" s="12">
        <v>24</v>
      </c>
      <c r="G1102" s="12">
        <f t="shared" si="93"/>
        <v>34</v>
      </c>
      <c r="H1102" s="12"/>
      <c r="I1102" s="12"/>
      <c r="J1102" s="12">
        <v>55</v>
      </c>
      <c r="K1102" s="12">
        <f t="shared" si="94"/>
        <v>89</v>
      </c>
      <c r="L1102" t="str">
        <f t="shared" si="91"/>
        <v>A</v>
      </c>
      <c r="M1102" t="str">
        <f t="shared" si="92"/>
        <v>Passed</v>
      </c>
      <c r="N1102" t="s">
        <v>24</v>
      </c>
      <c r="O1102" s="179">
        <f>O1101/O1099%</f>
        <v>70</v>
      </c>
    </row>
    <row r="1103" spans="1:15" x14ac:dyDescent="0.3">
      <c r="A1103" s="12">
        <v>5</v>
      </c>
      <c r="B1103" s="12" t="s">
        <v>159</v>
      </c>
      <c r="C1103" s="12" t="s">
        <v>108</v>
      </c>
      <c r="D1103" s="12" t="s">
        <v>1388</v>
      </c>
      <c r="E1103" s="12">
        <v>9</v>
      </c>
      <c r="F1103" s="12">
        <v>21</v>
      </c>
      <c r="G1103" s="12">
        <f t="shared" si="93"/>
        <v>30</v>
      </c>
      <c r="H1103" s="12"/>
      <c r="I1103" s="12"/>
      <c r="J1103" s="12">
        <v>59</v>
      </c>
      <c r="K1103" s="12">
        <f t="shared" si="94"/>
        <v>89</v>
      </c>
      <c r="L1103" t="str">
        <f t="shared" si="91"/>
        <v>A</v>
      </c>
      <c r="M1103" t="str">
        <f t="shared" si="92"/>
        <v>Passed</v>
      </c>
      <c r="N1103" t="s">
        <v>25</v>
      </c>
      <c r="O1103">
        <f>COUNTIF(M1099:M1108,"failed")</f>
        <v>3</v>
      </c>
    </row>
    <row r="1104" spans="1:15" x14ac:dyDescent="0.3">
      <c r="A1104" s="12">
        <v>6</v>
      </c>
      <c r="B1104" s="12" t="s">
        <v>167</v>
      </c>
      <c r="C1104" s="12" t="s">
        <v>118</v>
      </c>
      <c r="D1104" s="12" t="s">
        <v>1387</v>
      </c>
      <c r="E1104" s="12">
        <v>9</v>
      </c>
      <c r="F1104" s="12">
        <v>24</v>
      </c>
      <c r="G1104" s="12">
        <f t="shared" si="93"/>
        <v>33</v>
      </c>
      <c r="H1104" s="12"/>
      <c r="I1104" s="12"/>
      <c r="J1104" s="12">
        <v>45</v>
      </c>
      <c r="K1104" s="12">
        <f t="shared" si="94"/>
        <v>78</v>
      </c>
      <c r="L1104" t="str">
        <f t="shared" si="91"/>
        <v>B+</v>
      </c>
      <c r="M1104" t="str">
        <f t="shared" si="92"/>
        <v>Passed</v>
      </c>
      <c r="N1104" t="s">
        <v>26</v>
      </c>
      <c r="O1104" s="179">
        <f>O1103/O1099%</f>
        <v>30</v>
      </c>
    </row>
    <row r="1105" spans="1:22" x14ac:dyDescent="0.3">
      <c r="A1105" s="12">
        <v>7</v>
      </c>
      <c r="B1105" s="12" t="s">
        <v>171</v>
      </c>
      <c r="C1105" s="12" t="s">
        <v>125</v>
      </c>
      <c r="D1105" s="12" t="s">
        <v>1381</v>
      </c>
      <c r="E1105" s="12">
        <v>7.5</v>
      </c>
      <c r="F1105" s="12">
        <v>9</v>
      </c>
      <c r="G1105" s="12">
        <f t="shared" si="93"/>
        <v>16.5</v>
      </c>
      <c r="H1105" s="12"/>
      <c r="I1105" s="12"/>
      <c r="J1105" s="12">
        <v>16</v>
      </c>
      <c r="K1105" s="12">
        <f t="shared" si="94"/>
        <v>32.5</v>
      </c>
      <c r="L1105" t="str">
        <f t="shared" si="91"/>
        <v>F</v>
      </c>
      <c r="M1105" t="str">
        <f t="shared" si="92"/>
        <v>Failed</v>
      </c>
      <c r="N1105" t="s">
        <v>27</v>
      </c>
      <c r="O1105" s="179">
        <f>AVERAGE(K1099:K1108)</f>
        <v>62.3</v>
      </c>
    </row>
    <row r="1106" spans="1:22" x14ac:dyDescent="0.3">
      <c r="A1106" s="12">
        <v>8</v>
      </c>
      <c r="B1106" s="12" t="s">
        <v>174</v>
      </c>
      <c r="C1106" s="12" t="s">
        <v>128</v>
      </c>
      <c r="D1106" s="12" t="s">
        <v>1390</v>
      </c>
      <c r="E1106" s="12">
        <v>9</v>
      </c>
      <c r="F1106" s="12">
        <v>20</v>
      </c>
      <c r="G1106" s="12">
        <f t="shared" si="93"/>
        <v>29</v>
      </c>
      <c r="H1106" s="12"/>
      <c r="I1106" s="12"/>
      <c r="J1106" s="12">
        <v>32</v>
      </c>
      <c r="K1106" s="12">
        <f t="shared" si="94"/>
        <v>61</v>
      </c>
      <c r="L1106" t="str">
        <f t="shared" si="91"/>
        <v>B</v>
      </c>
      <c r="M1106" t="str">
        <f t="shared" si="92"/>
        <v>Passed</v>
      </c>
    </row>
    <row r="1107" spans="1:22" x14ac:dyDescent="0.3">
      <c r="A1107" s="12">
        <v>9</v>
      </c>
      <c r="B1107" s="12" t="s">
        <v>220</v>
      </c>
      <c r="C1107" s="12" t="s">
        <v>130</v>
      </c>
      <c r="D1107" s="12" t="s">
        <v>1382</v>
      </c>
      <c r="E1107" s="12">
        <v>8</v>
      </c>
      <c r="F1107" s="12">
        <v>22</v>
      </c>
      <c r="G1107" s="12">
        <f t="shared" si="93"/>
        <v>30</v>
      </c>
      <c r="H1107" s="12"/>
      <c r="I1107" s="12"/>
      <c r="J1107" s="12">
        <v>25</v>
      </c>
      <c r="K1107" s="12">
        <f t="shared" si="94"/>
        <v>55</v>
      </c>
      <c r="L1107" t="str">
        <f t="shared" si="91"/>
        <v>C+</v>
      </c>
      <c r="M1107" t="str">
        <f t="shared" si="92"/>
        <v>Passed</v>
      </c>
    </row>
    <row r="1108" spans="1:22" x14ac:dyDescent="0.3">
      <c r="A1108" s="50">
        <v>10</v>
      </c>
      <c r="B1108" s="12" t="s">
        <v>166</v>
      </c>
      <c r="C1108" s="12" t="s">
        <v>117</v>
      </c>
      <c r="D1108" s="12" t="s">
        <v>1386</v>
      </c>
      <c r="E1108" s="12">
        <v>10</v>
      </c>
      <c r="F1108" s="12">
        <v>17</v>
      </c>
      <c r="G1108" s="12">
        <f t="shared" si="93"/>
        <v>27</v>
      </c>
      <c r="H1108" s="12"/>
      <c r="I1108" s="12"/>
      <c r="J1108" s="12">
        <v>43</v>
      </c>
      <c r="K1108" s="12">
        <f t="shared" si="94"/>
        <v>70</v>
      </c>
      <c r="L1108" t="str">
        <f t="shared" si="91"/>
        <v>B+</v>
      </c>
      <c r="M1108" t="str">
        <f t="shared" si="92"/>
        <v>Passed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 t="s">
        <v>33</v>
      </c>
      <c r="U1108" t="s">
        <v>34</v>
      </c>
      <c r="V1108" t="s">
        <v>35</v>
      </c>
    </row>
    <row r="1109" spans="1:22" x14ac:dyDescent="0.3">
      <c r="O1109">
        <f>COUNTIF(L1099:L1108,"A")</f>
        <v>2</v>
      </c>
      <c r="P1109">
        <f>COUNTIF(L1099:L1108,"B+")</f>
        <v>2</v>
      </c>
      <c r="Q1109">
        <f>COUNTIF(L1099:L1108,"B")</f>
        <v>1</v>
      </c>
      <c r="R1109">
        <f>COUNTIF(L1099:L1108,"C+")</f>
        <v>2</v>
      </c>
      <c r="S1109">
        <f>COUNTIF(L1099:L1108,"C")</f>
        <v>0</v>
      </c>
      <c r="T1109">
        <f>COUNTIF(L1099:L1108,"D+")</f>
        <v>2</v>
      </c>
      <c r="U1109">
        <f>COUNTIF(L1099:L1108,"D")</f>
        <v>0</v>
      </c>
      <c r="V1109">
        <f>COUNTIF(L1099:L1108,"F")</f>
        <v>1</v>
      </c>
    </row>
    <row r="1119" spans="1:22" x14ac:dyDescent="0.3">
      <c r="A1119" s="450" t="s">
        <v>0</v>
      </c>
      <c r="B1119" s="451"/>
      <c r="C1119" s="451"/>
      <c r="D1119" s="451"/>
      <c r="E1119" s="451"/>
      <c r="F1119" s="451"/>
      <c r="G1119" s="451"/>
      <c r="H1119" s="451"/>
      <c r="I1119" s="451"/>
      <c r="J1119" s="451"/>
      <c r="K1119" s="451"/>
      <c r="L1119" s="451"/>
    </row>
    <row r="1120" spans="1:22" x14ac:dyDescent="0.3">
      <c r="A1120" s="48" t="s">
        <v>66</v>
      </c>
      <c r="B1120" s="48"/>
      <c r="C1120" s="48"/>
      <c r="D1120" s="48"/>
      <c r="E1120" s="48"/>
      <c r="F1120" s="48"/>
      <c r="G1120" s="48"/>
      <c r="H1120" s="48"/>
      <c r="I1120" s="48"/>
      <c r="J1120" s="48"/>
      <c r="K1120" s="48"/>
      <c r="L1120" s="56"/>
    </row>
    <row r="1121" spans="1:15" x14ac:dyDescent="0.3">
      <c r="A1121" s="471" t="s">
        <v>362</v>
      </c>
      <c r="B1121" s="463"/>
      <c r="C1121" s="463"/>
      <c r="D1121" s="2"/>
      <c r="E1121" s="2"/>
      <c r="F1121" s="2"/>
      <c r="G1121" s="2"/>
      <c r="H1121" s="2"/>
      <c r="I1121" s="2"/>
      <c r="J1121" s="2"/>
      <c r="K1121" s="2"/>
      <c r="L1121" s="1"/>
      <c r="M1121" s="16"/>
      <c r="N1121" s="16"/>
      <c r="O1121" s="13"/>
    </row>
    <row r="1122" spans="1:15" x14ac:dyDescent="0.3">
      <c r="A1122" s="450" t="s">
        <v>1</v>
      </c>
      <c r="B1122" s="462" t="s">
        <v>46</v>
      </c>
      <c r="C1122" s="462"/>
      <c r="D1122" s="450"/>
      <c r="E1122" s="450"/>
      <c r="F1122" s="450"/>
      <c r="G1122" s="450"/>
      <c r="H1122" s="450"/>
      <c r="I1122" s="450"/>
      <c r="J1122" s="450"/>
      <c r="K1122" s="450"/>
      <c r="L1122" s="451"/>
    </row>
    <row r="1123" spans="1:15" x14ac:dyDescent="0.3">
      <c r="A1123" s="453" t="s">
        <v>3</v>
      </c>
      <c r="B1123" s="462" t="s">
        <v>222</v>
      </c>
      <c r="C1123" s="462"/>
      <c r="D1123" s="453"/>
      <c r="E1123" s="453"/>
      <c r="F1123" s="453"/>
      <c r="G1123" s="453"/>
      <c r="H1123" s="453"/>
      <c r="I1123" s="453"/>
      <c r="J1123" s="453"/>
      <c r="K1123" s="453"/>
      <c r="L1123" s="454"/>
    </row>
    <row r="1124" spans="1:15" x14ac:dyDescent="0.3">
      <c r="A1124" s="450" t="s">
        <v>4</v>
      </c>
      <c r="B1124" s="462" t="s">
        <v>195</v>
      </c>
      <c r="C1124" s="462"/>
      <c r="D1124" s="450"/>
      <c r="E1124" s="450"/>
      <c r="F1124" s="450"/>
      <c r="G1124" s="450"/>
      <c r="H1124" s="450"/>
      <c r="I1124" s="450"/>
      <c r="J1124" s="450"/>
      <c r="K1124" s="450"/>
      <c r="L1124" s="451"/>
    </row>
    <row r="1125" spans="1:15" x14ac:dyDescent="0.3">
      <c r="A1125" s="450" t="s">
        <v>5</v>
      </c>
      <c r="B1125" s="463">
        <v>3</v>
      </c>
      <c r="C1125" s="463"/>
      <c r="D1125" s="450"/>
      <c r="E1125" s="450"/>
      <c r="F1125" s="450"/>
      <c r="G1125" s="450"/>
      <c r="H1125" s="450"/>
      <c r="I1125" s="450"/>
      <c r="J1125" s="450"/>
      <c r="K1125" s="450"/>
      <c r="L1125" s="451"/>
    </row>
    <row r="1126" spans="1:15" x14ac:dyDescent="0.3">
      <c r="A1126" s="450" t="s">
        <v>6</v>
      </c>
      <c r="B1126" s="462" t="s">
        <v>430</v>
      </c>
      <c r="C1126" s="462"/>
      <c r="D1126" s="450"/>
      <c r="E1126" s="450"/>
      <c r="F1126" s="450"/>
      <c r="G1126" s="450"/>
      <c r="H1126" s="450"/>
      <c r="I1126" s="450"/>
      <c r="J1126" s="450"/>
      <c r="K1126" s="450"/>
      <c r="L1126" s="451"/>
    </row>
    <row r="1127" spans="1:15" x14ac:dyDescent="0.3">
      <c r="A1127" s="450" t="s">
        <v>68</v>
      </c>
      <c r="B1127" s="465"/>
      <c r="C1127" s="465"/>
      <c r="D1127" s="450"/>
      <c r="E1127" s="450"/>
      <c r="F1127" s="450"/>
      <c r="G1127" s="450"/>
      <c r="H1127" s="450"/>
      <c r="I1127" s="450"/>
      <c r="J1127" s="450"/>
      <c r="K1127" s="450"/>
    </row>
    <row r="1128" spans="1:15" x14ac:dyDescent="0.3">
      <c r="A1128" s="4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</row>
    <row r="1129" spans="1:15" ht="60" x14ac:dyDescent="0.3">
      <c r="A1129" s="452" t="s">
        <v>8</v>
      </c>
      <c r="B1129" s="452" t="s">
        <v>9</v>
      </c>
      <c r="C1129" s="452" t="s">
        <v>10</v>
      </c>
      <c r="D1129" s="43" t="s">
        <v>11</v>
      </c>
      <c r="E1129" s="43" t="s">
        <v>12</v>
      </c>
      <c r="F1129" s="43" t="s">
        <v>13</v>
      </c>
      <c r="G1129" s="43" t="s">
        <v>14</v>
      </c>
      <c r="H1129" s="43" t="s">
        <v>208</v>
      </c>
      <c r="I1129" s="43" t="s">
        <v>209</v>
      </c>
      <c r="J1129" s="43" t="s">
        <v>15</v>
      </c>
      <c r="K1129" s="43" t="s">
        <v>16</v>
      </c>
      <c r="L1129" s="14" t="s">
        <v>17</v>
      </c>
      <c r="M1129" s="14" t="s">
        <v>18</v>
      </c>
      <c r="N1129" s="14" t="s">
        <v>19</v>
      </c>
    </row>
    <row r="1130" spans="1:15" x14ac:dyDescent="0.3">
      <c r="A1130" s="12"/>
      <c r="B1130" s="452"/>
      <c r="C1130" s="452"/>
      <c r="D1130" s="452"/>
      <c r="E1130" s="452"/>
      <c r="F1130" s="452"/>
      <c r="G1130" s="452"/>
      <c r="H1130" s="452"/>
      <c r="I1130" s="452"/>
      <c r="J1130" s="452"/>
      <c r="K1130" s="452"/>
      <c r="N1130" t="s">
        <v>20</v>
      </c>
      <c r="O1130">
        <f>COUNT(G1131:G1140)</f>
        <v>10</v>
      </c>
    </row>
    <row r="1131" spans="1:15" x14ac:dyDescent="0.3">
      <c r="A1131" s="12">
        <v>1</v>
      </c>
      <c r="B1131" s="12" t="s">
        <v>150</v>
      </c>
      <c r="C1131" s="12" t="s">
        <v>98</v>
      </c>
      <c r="D1131" s="12" t="s">
        <v>1350</v>
      </c>
      <c r="E1131" s="12">
        <v>10</v>
      </c>
      <c r="F1131" s="12">
        <v>23</v>
      </c>
      <c r="G1131" s="12">
        <f>SUM(E1131:F1131)</f>
        <v>33</v>
      </c>
      <c r="H1131" s="12"/>
      <c r="I1131" s="12"/>
      <c r="J1131" s="12">
        <v>33</v>
      </c>
      <c r="K1131" s="12">
        <f>SUM(G1131:J1131)</f>
        <v>66</v>
      </c>
      <c r="L1131" t="str">
        <f t="shared" ref="L1131:L1140" si="95">IF(K1131&gt;=80,"A",IF(K1131&gt;=70,"B+",IF(K1131&gt;=60,"B",IF(K1131&gt;=55,"C+",IF(K1131&gt;=50,"C",IF(K1131&gt;=45,"D+",IF(K1131&gt;=40,"D","F")))))))</f>
        <v>B</v>
      </c>
      <c r="M1131" t="str">
        <f t="shared" ref="M1131:M1140" si="96">IF(K1131&gt;=50,"Passed","Failed")</f>
        <v>Passed</v>
      </c>
      <c r="N1131" t="s">
        <v>21</v>
      </c>
      <c r="O1131">
        <f>COUNT(J1131:J1140)</f>
        <v>10</v>
      </c>
    </row>
    <row r="1132" spans="1:15" x14ac:dyDescent="0.3">
      <c r="A1132" s="12">
        <v>2</v>
      </c>
      <c r="B1132" s="12" t="s">
        <v>151</v>
      </c>
      <c r="C1132" s="12" t="s">
        <v>99</v>
      </c>
      <c r="D1132" s="12" t="s">
        <v>1357</v>
      </c>
      <c r="E1132" s="12">
        <v>7.5</v>
      </c>
      <c r="F1132" s="12">
        <v>18</v>
      </c>
      <c r="G1132" s="12">
        <f t="shared" ref="G1132:G1140" si="97">SUM(E1132:F1132)</f>
        <v>25.5</v>
      </c>
      <c r="H1132" s="12"/>
      <c r="I1132" s="12"/>
      <c r="J1132" s="12">
        <v>33</v>
      </c>
      <c r="K1132" s="12">
        <f t="shared" ref="K1132:K1140" si="98">SUM(G1132:J1132)</f>
        <v>58.5</v>
      </c>
      <c r="L1132" t="str">
        <f t="shared" si="95"/>
        <v>C+</v>
      </c>
      <c r="M1132" t="str">
        <f t="shared" si="96"/>
        <v>Passed</v>
      </c>
      <c r="N1132" t="s">
        <v>22</v>
      </c>
      <c r="O1132">
        <f>O1130-O1131</f>
        <v>0</v>
      </c>
    </row>
    <row r="1133" spans="1:15" x14ac:dyDescent="0.3">
      <c r="A1133" s="12">
        <v>3</v>
      </c>
      <c r="B1133" s="12" t="s">
        <v>157</v>
      </c>
      <c r="C1133" s="12" t="s">
        <v>106</v>
      </c>
      <c r="D1133" s="12" t="s">
        <v>1356</v>
      </c>
      <c r="E1133" s="12">
        <v>10</v>
      </c>
      <c r="F1133" s="12">
        <v>22</v>
      </c>
      <c r="G1133" s="12">
        <f t="shared" si="97"/>
        <v>32</v>
      </c>
      <c r="H1133" s="12"/>
      <c r="I1133" s="12"/>
      <c r="J1133" s="12">
        <v>33</v>
      </c>
      <c r="K1133" s="12">
        <f t="shared" si="98"/>
        <v>65</v>
      </c>
      <c r="L1133" t="str">
        <f t="shared" si="95"/>
        <v>B</v>
      </c>
      <c r="M1133" t="str">
        <f t="shared" si="96"/>
        <v>Passed</v>
      </c>
      <c r="N1133" t="s">
        <v>23</v>
      </c>
      <c r="O1133">
        <f>COUNTIF(M1131:M1140,"Passed")</f>
        <v>9</v>
      </c>
    </row>
    <row r="1134" spans="1:15" x14ac:dyDescent="0.3">
      <c r="A1134" s="12">
        <v>4</v>
      </c>
      <c r="B1134" s="12" t="s">
        <v>158</v>
      </c>
      <c r="C1134" s="12" t="s">
        <v>107</v>
      </c>
      <c r="D1134" s="12" t="s">
        <v>1353</v>
      </c>
      <c r="E1134" s="12">
        <v>10</v>
      </c>
      <c r="F1134" s="12">
        <v>22</v>
      </c>
      <c r="G1134" s="12">
        <f t="shared" si="97"/>
        <v>32</v>
      </c>
      <c r="H1134" s="12"/>
      <c r="I1134" s="12"/>
      <c r="J1134" s="12">
        <v>41</v>
      </c>
      <c r="K1134" s="12">
        <f t="shared" si="98"/>
        <v>73</v>
      </c>
      <c r="L1134" t="str">
        <f t="shared" si="95"/>
        <v>B+</v>
      </c>
      <c r="M1134" t="str">
        <f t="shared" si="96"/>
        <v>Passed</v>
      </c>
      <c r="N1134" t="s">
        <v>24</v>
      </c>
      <c r="O1134">
        <f>O1133/O1131%</f>
        <v>90</v>
      </c>
    </row>
    <row r="1135" spans="1:15" x14ac:dyDescent="0.3">
      <c r="A1135" s="12">
        <v>5</v>
      </c>
      <c r="B1135" s="12" t="s">
        <v>159</v>
      </c>
      <c r="C1135" s="12" t="s">
        <v>108</v>
      </c>
      <c r="D1135" s="12" t="s">
        <v>1351</v>
      </c>
      <c r="E1135" s="12">
        <v>9</v>
      </c>
      <c r="F1135" s="12">
        <v>21</v>
      </c>
      <c r="G1135" s="12">
        <f t="shared" si="97"/>
        <v>30</v>
      </c>
      <c r="H1135" s="12"/>
      <c r="I1135" s="12"/>
      <c r="J1135" s="12">
        <v>45</v>
      </c>
      <c r="K1135" s="12">
        <f t="shared" si="98"/>
        <v>75</v>
      </c>
      <c r="L1135" t="str">
        <f t="shared" si="95"/>
        <v>B+</v>
      </c>
      <c r="M1135" t="str">
        <f t="shared" si="96"/>
        <v>Passed</v>
      </c>
      <c r="N1135" t="s">
        <v>25</v>
      </c>
      <c r="O1135">
        <f>COUNTIF(M1131:M1140,"failed")</f>
        <v>1</v>
      </c>
    </row>
    <row r="1136" spans="1:15" x14ac:dyDescent="0.3">
      <c r="A1136" s="12">
        <v>6</v>
      </c>
      <c r="B1136" s="12" t="s">
        <v>167</v>
      </c>
      <c r="C1136" s="12" t="s">
        <v>118</v>
      </c>
      <c r="D1136" s="12" t="s">
        <v>1355</v>
      </c>
      <c r="E1136" s="12">
        <v>8</v>
      </c>
      <c r="F1136" s="12">
        <v>15</v>
      </c>
      <c r="G1136" s="12">
        <f t="shared" si="97"/>
        <v>23</v>
      </c>
      <c r="H1136" s="12"/>
      <c r="I1136" s="12"/>
      <c r="J1136" s="12">
        <v>35</v>
      </c>
      <c r="K1136" s="12">
        <f t="shared" si="98"/>
        <v>58</v>
      </c>
      <c r="L1136" t="str">
        <f t="shared" si="95"/>
        <v>C+</v>
      </c>
      <c r="M1136" t="str">
        <f t="shared" si="96"/>
        <v>Passed</v>
      </c>
      <c r="N1136" t="s">
        <v>26</v>
      </c>
      <c r="O1136">
        <f>O1135/O1131%</f>
        <v>10</v>
      </c>
    </row>
    <row r="1137" spans="1:22" x14ac:dyDescent="0.3">
      <c r="A1137" s="50">
        <v>7</v>
      </c>
      <c r="B1137" s="12" t="s">
        <v>171</v>
      </c>
      <c r="C1137" s="12" t="s">
        <v>125</v>
      </c>
      <c r="D1137" s="12" t="s">
        <v>1352</v>
      </c>
      <c r="E1137" s="12">
        <v>8</v>
      </c>
      <c r="F1137" s="12">
        <v>11</v>
      </c>
      <c r="G1137" s="12">
        <f t="shared" si="97"/>
        <v>19</v>
      </c>
      <c r="H1137" s="12"/>
      <c r="I1137" s="12"/>
      <c r="J1137" s="12">
        <v>33</v>
      </c>
      <c r="K1137" s="12">
        <f t="shared" si="98"/>
        <v>52</v>
      </c>
      <c r="L1137" t="str">
        <f t="shared" si="95"/>
        <v>C</v>
      </c>
      <c r="M1137" t="str">
        <f t="shared" si="96"/>
        <v>Passed</v>
      </c>
      <c r="N1137" t="s">
        <v>27</v>
      </c>
      <c r="O1137" s="179">
        <f>AVERAGE(K1131:K1140)</f>
        <v>63.25</v>
      </c>
    </row>
    <row r="1138" spans="1:22" x14ac:dyDescent="0.3">
      <c r="A1138" s="50">
        <v>8</v>
      </c>
      <c r="B1138" s="12" t="s">
        <v>174</v>
      </c>
      <c r="C1138" s="12" t="s">
        <v>128</v>
      </c>
      <c r="D1138" s="12" t="s">
        <v>1358</v>
      </c>
      <c r="E1138" s="12">
        <v>9</v>
      </c>
      <c r="F1138" s="12">
        <v>27</v>
      </c>
      <c r="G1138" s="12">
        <f t="shared" si="97"/>
        <v>36</v>
      </c>
      <c r="H1138" s="12"/>
      <c r="I1138" s="12"/>
      <c r="J1138" s="12">
        <v>33</v>
      </c>
      <c r="K1138" s="12">
        <f t="shared" si="98"/>
        <v>69</v>
      </c>
      <c r="L1138" t="str">
        <f t="shared" si="95"/>
        <v>B</v>
      </c>
      <c r="M1138" t="str">
        <f t="shared" si="96"/>
        <v>Passed</v>
      </c>
    </row>
    <row r="1139" spans="1:22" x14ac:dyDescent="0.3">
      <c r="A1139" s="12"/>
      <c r="B1139" s="12" t="s">
        <v>220</v>
      </c>
      <c r="C1139" s="12" t="s">
        <v>130</v>
      </c>
      <c r="D1139" s="12" t="s">
        <v>1359</v>
      </c>
      <c r="E1139" s="12">
        <v>9</v>
      </c>
      <c r="F1139" s="12">
        <v>18</v>
      </c>
      <c r="G1139" s="12">
        <f t="shared" si="97"/>
        <v>27</v>
      </c>
      <c r="H1139" s="12"/>
      <c r="I1139" s="12"/>
      <c r="J1139" s="12">
        <v>20</v>
      </c>
      <c r="K1139" s="12">
        <f t="shared" si="98"/>
        <v>47</v>
      </c>
      <c r="L1139" t="str">
        <f t="shared" si="95"/>
        <v>D+</v>
      </c>
      <c r="M1139" t="str">
        <f t="shared" si="96"/>
        <v>Failed</v>
      </c>
    </row>
    <row r="1140" spans="1:22" x14ac:dyDescent="0.3">
      <c r="A1140" s="50">
        <v>10</v>
      </c>
      <c r="B1140" s="12" t="s">
        <v>176</v>
      </c>
      <c r="C1140" s="12" t="s">
        <v>117</v>
      </c>
      <c r="D1140" s="12" t="s">
        <v>1354</v>
      </c>
      <c r="E1140" s="12">
        <v>10</v>
      </c>
      <c r="F1140" s="12">
        <v>26</v>
      </c>
      <c r="G1140" s="12">
        <f t="shared" si="97"/>
        <v>36</v>
      </c>
      <c r="H1140" s="12"/>
      <c r="I1140" s="12"/>
      <c r="J1140" s="12">
        <v>33</v>
      </c>
      <c r="K1140" s="12">
        <f t="shared" si="98"/>
        <v>69</v>
      </c>
      <c r="L1140" t="str">
        <f t="shared" si="95"/>
        <v>B</v>
      </c>
      <c r="M1140" t="str">
        <f t="shared" si="96"/>
        <v>Passed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 t="s">
        <v>33</v>
      </c>
      <c r="U1140" t="s">
        <v>34</v>
      </c>
      <c r="V1140" t="s">
        <v>35</v>
      </c>
    </row>
    <row r="1141" spans="1:22" x14ac:dyDescent="0.3">
      <c r="O1141">
        <f>COUNTIF(L1131:L1140,"A")</f>
        <v>0</v>
      </c>
      <c r="P1141">
        <f>COUNTIF(L1131:L1140,"B+")</f>
        <v>2</v>
      </c>
      <c r="Q1141">
        <f>COUNTIF(L1131:L1140,"B")</f>
        <v>4</v>
      </c>
      <c r="R1141">
        <f>COUNTIF(L1131:L1140,"C+")</f>
        <v>2</v>
      </c>
      <c r="S1141">
        <f>COUNTIF(L1131:L1140,"C")</f>
        <v>1</v>
      </c>
      <c r="T1141">
        <f>COUNTIF(L1131:L1140,"D+")</f>
        <v>1</v>
      </c>
      <c r="U1141">
        <f>COUNTIF(L1131:L1140,"D")</f>
        <v>0</v>
      </c>
      <c r="V1141">
        <f>COUNTIF(L1131:L1140,"F")</f>
        <v>0</v>
      </c>
    </row>
    <row r="1155" spans="1:16" x14ac:dyDescent="0.3">
      <c r="A1155" s="450" t="s">
        <v>0</v>
      </c>
      <c r="B1155" s="451"/>
      <c r="C1155" s="451"/>
      <c r="D1155" s="451"/>
      <c r="E1155" s="451"/>
      <c r="F1155" s="451"/>
      <c r="G1155" s="451"/>
      <c r="H1155" s="451"/>
      <c r="I1155" s="451"/>
      <c r="J1155" s="451"/>
      <c r="K1155" s="451"/>
      <c r="L1155" s="451"/>
    </row>
    <row r="1156" spans="1:16" x14ac:dyDescent="0.3">
      <c r="A1156" s="14" t="s">
        <v>66</v>
      </c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</row>
    <row r="1157" spans="1:16" x14ac:dyDescent="0.3">
      <c r="A1157" s="460" t="s">
        <v>143</v>
      </c>
      <c r="B1157" s="461"/>
      <c r="C1157" s="461"/>
      <c r="D1157" s="2"/>
      <c r="E1157" s="2"/>
      <c r="F1157" s="2"/>
      <c r="G1157" s="2"/>
      <c r="H1157" s="2"/>
      <c r="I1157" s="2"/>
      <c r="J1157" s="2"/>
      <c r="K1157" s="2"/>
      <c r="L1157" s="1"/>
      <c r="M1157" s="16"/>
      <c r="N1157" s="16"/>
      <c r="O1157" s="13"/>
    </row>
    <row r="1158" spans="1:16" x14ac:dyDescent="0.3">
      <c r="A1158" s="450" t="s">
        <v>1</v>
      </c>
      <c r="B1158" s="462" t="s">
        <v>2</v>
      </c>
      <c r="C1158" s="462"/>
      <c r="D1158" s="450"/>
      <c r="E1158" s="450"/>
      <c r="F1158" s="450"/>
      <c r="G1158" s="450"/>
      <c r="H1158" s="450"/>
      <c r="I1158" s="450"/>
      <c r="J1158" s="450"/>
      <c r="K1158" s="450"/>
      <c r="L1158" s="451"/>
      <c r="P1158" s="56"/>
    </row>
    <row r="1159" spans="1:16" x14ac:dyDescent="0.3">
      <c r="A1159" s="450" t="s">
        <v>3</v>
      </c>
      <c r="B1159" s="462" t="s">
        <v>490</v>
      </c>
      <c r="C1159" s="462"/>
      <c r="D1159" s="450"/>
      <c r="E1159" s="450"/>
      <c r="F1159" s="450"/>
      <c r="G1159" s="450"/>
      <c r="H1159" s="450"/>
      <c r="I1159" s="450"/>
      <c r="J1159" s="450"/>
      <c r="K1159" s="450"/>
      <c r="L1159" s="451"/>
      <c r="P1159" s="56"/>
    </row>
    <row r="1160" spans="1:16" x14ac:dyDescent="0.3">
      <c r="A1160" s="450" t="s">
        <v>4</v>
      </c>
      <c r="B1160" s="462" t="s">
        <v>497</v>
      </c>
      <c r="C1160" s="462"/>
      <c r="D1160" s="450"/>
      <c r="E1160" s="450"/>
      <c r="F1160" s="450"/>
      <c r="G1160" s="450"/>
      <c r="H1160" s="450"/>
      <c r="I1160" s="450"/>
      <c r="J1160" s="450"/>
      <c r="K1160" s="450"/>
      <c r="L1160" s="451"/>
      <c r="P1160" s="56"/>
    </row>
    <row r="1161" spans="1:16" x14ac:dyDescent="0.3">
      <c r="A1161" s="450" t="s">
        <v>5</v>
      </c>
      <c r="B1161" s="463">
        <v>3</v>
      </c>
      <c r="C1161" s="463"/>
      <c r="D1161" s="450"/>
      <c r="E1161" s="450"/>
      <c r="F1161" s="450"/>
      <c r="G1161" s="450"/>
      <c r="H1161" s="450"/>
      <c r="I1161" s="450"/>
      <c r="J1161" s="450"/>
      <c r="K1161" s="450"/>
      <c r="L1161" s="451"/>
      <c r="P1161" s="56"/>
    </row>
    <row r="1162" spans="1:16" x14ac:dyDescent="0.3">
      <c r="A1162" s="450" t="s">
        <v>6</v>
      </c>
      <c r="B1162" s="462" t="s">
        <v>491</v>
      </c>
      <c r="C1162" s="462"/>
      <c r="D1162" s="450"/>
      <c r="E1162" s="450"/>
      <c r="F1162" s="450"/>
      <c r="G1162" s="450"/>
      <c r="H1162" s="450"/>
      <c r="I1162" s="450"/>
      <c r="J1162" s="450"/>
      <c r="K1162" s="450"/>
      <c r="L1162" s="451"/>
      <c r="P1162" s="56"/>
    </row>
    <row r="1163" spans="1:16" x14ac:dyDescent="0.3">
      <c r="A1163" s="450" t="s">
        <v>68</v>
      </c>
      <c r="B1163" s="462"/>
      <c r="C1163" s="462"/>
      <c r="D1163" s="450"/>
      <c r="E1163" s="450"/>
      <c r="F1163" s="450"/>
      <c r="G1163" s="450"/>
      <c r="H1163" s="450"/>
      <c r="I1163" s="450"/>
      <c r="J1163" s="450"/>
      <c r="K1163" s="450"/>
      <c r="L1163" s="451"/>
      <c r="P1163" s="56"/>
    </row>
    <row r="1164" spans="1:16" x14ac:dyDescent="0.3">
      <c r="A1164" s="4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P1164" s="56"/>
    </row>
    <row r="1165" spans="1:16" ht="49.2" x14ac:dyDescent="0.3">
      <c r="A1165" s="452" t="s">
        <v>8</v>
      </c>
      <c r="B1165" s="452" t="s">
        <v>9</v>
      </c>
      <c r="C1165" s="452" t="s">
        <v>10</v>
      </c>
      <c r="D1165" s="452" t="s">
        <v>11</v>
      </c>
      <c r="E1165" s="43" t="s">
        <v>12</v>
      </c>
      <c r="F1165" s="43" t="s">
        <v>13</v>
      </c>
      <c r="G1165" s="43" t="s">
        <v>14</v>
      </c>
      <c r="H1165" s="43" t="s">
        <v>208</v>
      </c>
      <c r="I1165" s="43" t="s">
        <v>209</v>
      </c>
      <c r="J1165" s="43" t="s">
        <v>15</v>
      </c>
      <c r="K1165" s="43" t="s">
        <v>16</v>
      </c>
      <c r="L1165" s="14" t="s">
        <v>17</v>
      </c>
      <c r="M1165" s="14" t="s">
        <v>18</v>
      </c>
      <c r="N1165" s="14" t="s">
        <v>19</v>
      </c>
      <c r="P1165" s="56"/>
    </row>
    <row r="1166" spans="1:16" x14ac:dyDescent="0.3">
      <c r="A1166" s="12"/>
      <c r="B1166" s="452"/>
      <c r="C1166" s="452"/>
      <c r="D1166" s="452"/>
      <c r="E1166" s="452"/>
      <c r="F1166" s="452"/>
      <c r="G1166" s="452"/>
      <c r="H1166" s="452"/>
      <c r="I1166" s="452"/>
      <c r="J1166" s="452"/>
      <c r="K1166" s="452"/>
      <c r="N1166" t="s">
        <v>20</v>
      </c>
      <c r="O1166">
        <f>COUNT(G1167:G1178)</f>
        <v>10</v>
      </c>
      <c r="P1166" s="56"/>
    </row>
    <row r="1167" spans="1:16" x14ac:dyDescent="0.3">
      <c r="A1167" s="12">
        <v>1</v>
      </c>
      <c r="B1167" s="12" t="s">
        <v>146</v>
      </c>
      <c r="C1167" s="12" t="s">
        <v>94</v>
      </c>
      <c r="D1167" s="12" t="s">
        <v>1380</v>
      </c>
      <c r="E1167" s="12">
        <v>10</v>
      </c>
      <c r="F1167" s="12">
        <v>26</v>
      </c>
      <c r="G1167" s="12">
        <f>SUM(E1167:F1167)</f>
        <v>36</v>
      </c>
      <c r="H1167" s="12"/>
      <c r="I1167" s="12"/>
      <c r="J1167" s="12">
        <v>42</v>
      </c>
      <c r="K1167" s="12">
        <f>SUM(G1167:J1167)</f>
        <v>78</v>
      </c>
      <c r="L1167" t="str">
        <f t="shared" ref="L1167:L1178" si="99">IF(K1167&gt;=80,"A",IF(K1167&gt;=70,"B+",IF(K1167&gt;=60,"B",IF(K1167&gt;=55,"C+",IF(K1167&gt;=50,"C",IF(K1167&gt;=45,"D+",IF(K1167&gt;=40,"D","F")))))))</f>
        <v>B+</v>
      </c>
      <c r="M1167" t="str">
        <f t="shared" ref="M1167:M1178" si="100">IF(K1167&gt;=50,"Passed","Failed")</f>
        <v>Passed</v>
      </c>
      <c r="N1167" t="s">
        <v>21</v>
      </c>
      <c r="O1167">
        <f>COUNT(J1167:J1178)</f>
        <v>9</v>
      </c>
      <c r="P1167" s="56"/>
    </row>
    <row r="1168" spans="1:16" x14ac:dyDescent="0.3">
      <c r="A1168" s="12">
        <v>2</v>
      </c>
      <c r="B1168" s="60" t="s">
        <v>147</v>
      </c>
      <c r="C1168" s="12" t="s">
        <v>95</v>
      </c>
      <c r="D1168" s="12" t="s">
        <v>1379</v>
      </c>
      <c r="E1168" s="12">
        <v>10</v>
      </c>
      <c r="F1168" s="12">
        <v>26</v>
      </c>
      <c r="G1168" s="12">
        <f t="shared" ref="G1168:G1178" si="101">SUM(E1168:F1168)</f>
        <v>36</v>
      </c>
      <c r="H1168" s="12"/>
      <c r="I1168" s="12"/>
      <c r="J1168" s="12">
        <v>53</v>
      </c>
      <c r="K1168" s="12">
        <f t="shared" ref="K1168:K1178" si="102">SUM(G1168:J1168)</f>
        <v>89</v>
      </c>
      <c r="L1168" t="str">
        <f t="shared" si="99"/>
        <v>A</v>
      </c>
      <c r="M1168" t="str">
        <f t="shared" si="100"/>
        <v>Passed</v>
      </c>
      <c r="N1168" t="s">
        <v>22</v>
      </c>
      <c r="O1168">
        <f>O1166-O1167</f>
        <v>1</v>
      </c>
      <c r="P1168" s="56"/>
    </row>
    <row r="1169" spans="1:22" x14ac:dyDescent="0.3">
      <c r="A1169" s="12">
        <v>3</v>
      </c>
      <c r="B1169" s="12" t="s">
        <v>155</v>
      </c>
      <c r="C1169" s="12" t="s">
        <v>103</v>
      </c>
      <c r="D1169" s="12" t="s">
        <v>1378</v>
      </c>
      <c r="E1169" s="12">
        <v>10</v>
      </c>
      <c r="F1169" s="12">
        <v>26</v>
      </c>
      <c r="G1169" s="12">
        <f t="shared" si="101"/>
        <v>36</v>
      </c>
      <c r="H1169" s="12"/>
      <c r="I1169" s="12"/>
      <c r="J1169" s="12">
        <v>36</v>
      </c>
      <c r="K1169" s="12">
        <f t="shared" si="102"/>
        <v>72</v>
      </c>
      <c r="L1169" t="str">
        <f t="shared" si="99"/>
        <v>B+</v>
      </c>
      <c r="M1169" t="str">
        <f t="shared" si="100"/>
        <v>Passed</v>
      </c>
      <c r="N1169" t="s">
        <v>23</v>
      </c>
      <c r="O1169">
        <f>COUNTIF(M1167:M1178,"Passed")</f>
        <v>9</v>
      </c>
      <c r="P1169" s="56"/>
    </row>
    <row r="1170" spans="1:22" x14ac:dyDescent="0.3">
      <c r="A1170" s="50">
        <v>4</v>
      </c>
      <c r="B1170" s="452" t="s">
        <v>182</v>
      </c>
      <c r="C1170" s="452" t="s">
        <v>105</v>
      </c>
      <c r="D1170" s="452" t="s">
        <v>1371</v>
      </c>
      <c r="E1170" s="452">
        <v>8</v>
      </c>
      <c r="F1170" s="452">
        <v>28</v>
      </c>
      <c r="G1170" s="452">
        <f t="shared" si="101"/>
        <v>36</v>
      </c>
      <c r="H1170" s="452"/>
      <c r="I1170" s="452"/>
      <c r="J1170" s="452" t="s">
        <v>1938</v>
      </c>
      <c r="K1170" s="12"/>
      <c r="N1170" t="s">
        <v>24</v>
      </c>
      <c r="O1170" s="179">
        <f>O1169/O1167%</f>
        <v>100</v>
      </c>
      <c r="P1170" s="56"/>
    </row>
    <row r="1171" spans="1:22" x14ac:dyDescent="0.3">
      <c r="A1171" s="12">
        <v>5</v>
      </c>
      <c r="B1171" s="12" t="s">
        <v>161</v>
      </c>
      <c r="C1171" s="12" t="s">
        <v>111</v>
      </c>
      <c r="D1171" s="12" t="s">
        <v>1371</v>
      </c>
      <c r="E1171" s="12"/>
      <c r="F1171" s="12"/>
      <c r="G1171" s="12"/>
      <c r="H1171" s="12"/>
      <c r="I1171" s="12"/>
      <c r="J1171" s="12"/>
      <c r="K1171" s="12"/>
      <c r="N1171" t="s">
        <v>25</v>
      </c>
      <c r="O1171">
        <f>COUNTIF(M1167:M1178,"failed")</f>
        <v>0</v>
      </c>
      <c r="P1171" s="56"/>
    </row>
    <row r="1172" spans="1:22" x14ac:dyDescent="0.3">
      <c r="A1172" s="12">
        <v>6</v>
      </c>
      <c r="B1172" s="12" t="s">
        <v>169</v>
      </c>
      <c r="C1172" s="12" t="s">
        <v>122</v>
      </c>
      <c r="D1172" s="12" t="s">
        <v>1371</v>
      </c>
      <c r="E1172" s="12"/>
      <c r="F1172" s="12"/>
      <c r="G1172" s="12"/>
      <c r="H1172" s="12"/>
      <c r="I1172" s="12"/>
      <c r="J1172" s="12"/>
      <c r="K1172" s="12"/>
      <c r="N1172" t="s">
        <v>26</v>
      </c>
      <c r="O1172" s="179">
        <f>O1171/O1167%</f>
        <v>0</v>
      </c>
      <c r="P1172" s="56"/>
    </row>
    <row r="1173" spans="1:22" x14ac:dyDescent="0.3">
      <c r="A1173" s="12">
        <v>7</v>
      </c>
      <c r="B1173" s="12" t="s">
        <v>421</v>
      </c>
      <c r="C1173" s="12" t="s">
        <v>129</v>
      </c>
      <c r="D1173" s="12" t="s">
        <v>1377</v>
      </c>
      <c r="E1173" s="12">
        <v>10</v>
      </c>
      <c r="F1173" s="12">
        <v>26</v>
      </c>
      <c r="G1173" s="12">
        <f t="shared" si="101"/>
        <v>36</v>
      </c>
      <c r="H1173" s="12"/>
      <c r="I1173" s="12"/>
      <c r="J1173" s="12">
        <v>48</v>
      </c>
      <c r="K1173" s="12">
        <f t="shared" si="102"/>
        <v>84</v>
      </c>
      <c r="L1173" t="str">
        <f t="shared" si="99"/>
        <v>A</v>
      </c>
      <c r="M1173" t="str">
        <f t="shared" si="100"/>
        <v>Passed</v>
      </c>
      <c r="N1173" t="s">
        <v>27</v>
      </c>
      <c r="O1173" s="179">
        <f>AVERAGE(K1167:K1178)</f>
        <v>79.555555555555557</v>
      </c>
      <c r="P1173" s="56"/>
    </row>
    <row r="1174" spans="1:22" x14ac:dyDescent="0.3">
      <c r="A1174" s="12">
        <v>8</v>
      </c>
      <c r="B1174" s="12" t="s">
        <v>177</v>
      </c>
      <c r="C1174" s="12" t="s">
        <v>132</v>
      </c>
      <c r="D1174" s="12" t="s">
        <v>1376</v>
      </c>
      <c r="E1174" s="12">
        <v>10</v>
      </c>
      <c r="F1174" s="12">
        <v>28</v>
      </c>
      <c r="G1174" s="12">
        <f t="shared" si="101"/>
        <v>38</v>
      </c>
      <c r="H1174" s="12"/>
      <c r="I1174" s="12"/>
      <c r="J1174" s="12">
        <v>42</v>
      </c>
      <c r="K1174" s="12">
        <f t="shared" si="102"/>
        <v>80</v>
      </c>
      <c r="L1174" t="str">
        <f t="shared" si="99"/>
        <v>A</v>
      </c>
      <c r="M1174" t="str">
        <f t="shared" si="100"/>
        <v>Passed</v>
      </c>
      <c r="P1174" s="56"/>
    </row>
    <row r="1175" spans="1:22" x14ac:dyDescent="0.3">
      <c r="A1175" s="12">
        <v>9</v>
      </c>
      <c r="B1175" s="12" t="s">
        <v>179</v>
      </c>
      <c r="C1175" s="12" t="s">
        <v>134</v>
      </c>
      <c r="D1175" s="12" t="s">
        <v>1375</v>
      </c>
      <c r="E1175" s="12">
        <v>10</v>
      </c>
      <c r="F1175" s="12">
        <v>27</v>
      </c>
      <c r="G1175" s="12">
        <f t="shared" si="101"/>
        <v>37</v>
      </c>
      <c r="H1175" s="12"/>
      <c r="I1175" s="12"/>
      <c r="J1175" s="12">
        <v>38</v>
      </c>
      <c r="K1175" s="12">
        <f t="shared" si="102"/>
        <v>75</v>
      </c>
      <c r="L1175" t="str">
        <f t="shared" si="99"/>
        <v>B+</v>
      </c>
      <c r="M1175" t="str">
        <f t="shared" si="100"/>
        <v>Passed</v>
      </c>
      <c r="P1175" s="56"/>
    </row>
    <row r="1176" spans="1:22" x14ac:dyDescent="0.3">
      <c r="A1176" s="12">
        <v>10</v>
      </c>
      <c r="B1176" s="12" t="s">
        <v>180</v>
      </c>
      <c r="C1176" s="12" t="s">
        <v>136</v>
      </c>
      <c r="D1176" s="12" t="s">
        <v>1374</v>
      </c>
      <c r="E1176" s="12">
        <v>10</v>
      </c>
      <c r="F1176" s="12">
        <v>27</v>
      </c>
      <c r="G1176" s="12">
        <f t="shared" si="101"/>
        <v>37</v>
      </c>
      <c r="H1176" s="12"/>
      <c r="I1176" s="12"/>
      <c r="J1176" s="12">
        <v>46</v>
      </c>
      <c r="K1176" s="12">
        <f t="shared" si="102"/>
        <v>83</v>
      </c>
      <c r="L1176" t="str">
        <f t="shared" si="99"/>
        <v>A</v>
      </c>
      <c r="M1176" t="str">
        <f t="shared" si="100"/>
        <v>Passed</v>
      </c>
      <c r="O1176" t="s">
        <v>28</v>
      </c>
      <c r="P1176" s="56" t="s">
        <v>29</v>
      </c>
      <c r="Q1176" t="s">
        <v>30</v>
      </c>
      <c r="R1176" t="s">
        <v>31</v>
      </c>
      <c r="S1176" t="s">
        <v>32</v>
      </c>
      <c r="T1176" t="s">
        <v>33</v>
      </c>
      <c r="U1176" t="s">
        <v>34</v>
      </c>
      <c r="V1176" t="s">
        <v>35</v>
      </c>
    </row>
    <row r="1177" spans="1:22" x14ac:dyDescent="0.3">
      <c r="A1177" s="12">
        <v>11</v>
      </c>
      <c r="B1177" s="12" t="s">
        <v>183</v>
      </c>
      <c r="C1177" s="12" t="s">
        <v>140</v>
      </c>
      <c r="D1177" s="12" t="s">
        <v>1373</v>
      </c>
      <c r="E1177" s="12">
        <v>10</v>
      </c>
      <c r="F1177" s="12">
        <v>26</v>
      </c>
      <c r="G1177" s="12">
        <f t="shared" si="101"/>
        <v>36</v>
      </c>
      <c r="H1177" s="12"/>
      <c r="I1177" s="12"/>
      <c r="J1177" s="12">
        <v>50</v>
      </c>
      <c r="K1177" s="12">
        <f t="shared" si="102"/>
        <v>86</v>
      </c>
      <c r="L1177" t="str">
        <f t="shared" si="99"/>
        <v>A</v>
      </c>
      <c r="M1177" t="str">
        <f t="shared" si="100"/>
        <v>Passed</v>
      </c>
      <c r="O1177">
        <f>COUNTIF(L1167:L1178,"A")</f>
        <v>5</v>
      </c>
      <c r="P1177" s="56">
        <f>COUNTIF(L1167:L1178,"B+")</f>
        <v>3</v>
      </c>
      <c r="Q1177">
        <f>COUNTIF(L1167:L1178,"B")</f>
        <v>1</v>
      </c>
      <c r="R1177">
        <f>COUNTIF(L1167:L1178,"C+")</f>
        <v>0</v>
      </c>
      <c r="S1177">
        <f>COUNTIF(L1167:L1178,"C")</f>
        <v>0</v>
      </c>
      <c r="T1177">
        <f>COUNTIF(L1167:L1178,"D+")</f>
        <v>0</v>
      </c>
      <c r="U1177">
        <f>COUNTIF(L1167:L1178,"D")</f>
        <v>0</v>
      </c>
      <c r="V1177">
        <f>COUNTIF(L1167:L1178,"F")</f>
        <v>0</v>
      </c>
    </row>
    <row r="1178" spans="1:22" x14ac:dyDescent="0.3">
      <c r="A1178" s="12">
        <v>12</v>
      </c>
      <c r="B1178" s="12" t="s">
        <v>184</v>
      </c>
      <c r="C1178" s="12" t="s">
        <v>142</v>
      </c>
      <c r="D1178" s="12" t="s">
        <v>1372</v>
      </c>
      <c r="E1178" s="12">
        <v>9</v>
      </c>
      <c r="F1178" s="12">
        <v>26</v>
      </c>
      <c r="G1178" s="12">
        <f t="shared" si="101"/>
        <v>35</v>
      </c>
      <c r="H1178" s="12"/>
      <c r="I1178" s="12"/>
      <c r="J1178" s="12">
        <v>34</v>
      </c>
      <c r="K1178" s="12">
        <f t="shared" si="102"/>
        <v>69</v>
      </c>
      <c r="L1178" t="str">
        <f t="shared" si="99"/>
        <v>B</v>
      </c>
      <c r="M1178" t="str">
        <f t="shared" si="100"/>
        <v>Passed</v>
      </c>
      <c r="P1178" s="56"/>
    </row>
    <row r="1179" spans="1:22" x14ac:dyDescent="0.3">
      <c r="P1179" s="56"/>
    </row>
    <row r="1180" spans="1:22" x14ac:dyDescent="0.3">
      <c r="A1180" s="56"/>
      <c r="B1180" s="56"/>
      <c r="C1180" s="56"/>
      <c r="D1180" s="56"/>
      <c r="E1180" s="56"/>
      <c r="F1180" s="56"/>
      <c r="G1180" s="56"/>
      <c r="H1180" s="56"/>
      <c r="I1180" s="56"/>
      <c r="J1180" s="56"/>
      <c r="K1180" s="56"/>
      <c r="L1180" s="56"/>
      <c r="M1180" s="56"/>
      <c r="P1180" s="56"/>
    </row>
    <row r="1181" spans="1:22" x14ac:dyDescent="0.3">
      <c r="A1181" s="56"/>
      <c r="B1181" s="56"/>
      <c r="C1181" s="56"/>
      <c r="D1181" s="56"/>
      <c r="E1181" s="56"/>
      <c r="F1181" s="56"/>
      <c r="G1181" s="56"/>
      <c r="H1181" s="56"/>
      <c r="I1181" s="56"/>
      <c r="J1181" s="56"/>
      <c r="K1181" s="56"/>
      <c r="L1181" s="56"/>
      <c r="M1181" s="56"/>
      <c r="P1181" s="56"/>
    </row>
    <row r="1182" spans="1:22" s="56" customFormat="1" x14ac:dyDescent="0.3"/>
    <row r="1189" spans="1:15" x14ac:dyDescent="0.3">
      <c r="A1189" s="450" t="s">
        <v>0</v>
      </c>
      <c r="B1189" s="451"/>
      <c r="C1189" s="451"/>
    </row>
    <row r="1190" spans="1:15" x14ac:dyDescent="0.3">
      <c r="A1190" s="14" t="s">
        <v>66</v>
      </c>
      <c r="B1190" s="14"/>
      <c r="C1190" s="14"/>
    </row>
    <row r="1191" spans="1:15" x14ac:dyDescent="0.3">
      <c r="A1191" s="460" t="s">
        <v>143</v>
      </c>
      <c r="B1191" s="461"/>
      <c r="C1191" s="461"/>
    </row>
    <row r="1192" spans="1:15" x14ac:dyDescent="0.3">
      <c r="A1192" s="450" t="s">
        <v>1</v>
      </c>
      <c r="B1192" s="462" t="s">
        <v>2</v>
      </c>
      <c r="C1192" s="462"/>
    </row>
    <row r="1193" spans="1:15" x14ac:dyDescent="0.3">
      <c r="A1193" s="450" t="s">
        <v>3</v>
      </c>
      <c r="B1193" s="462" t="s">
        <v>90</v>
      </c>
      <c r="C1193" s="462"/>
    </row>
    <row r="1194" spans="1:15" x14ac:dyDescent="0.3">
      <c r="A1194" s="450" t="s">
        <v>4</v>
      </c>
      <c r="B1194" s="462" t="s">
        <v>678</v>
      </c>
      <c r="C1194" s="462"/>
    </row>
    <row r="1195" spans="1:15" x14ac:dyDescent="0.3">
      <c r="A1195" s="450" t="s">
        <v>5</v>
      </c>
      <c r="B1195" s="463">
        <v>3</v>
      </c>
      <c r="C1195" s="463"/>
    </row>
    <row r="1196" spans="1:15" x14ac:dyDescent="0.3">
      <c r="A1196" s="450" t="s">
        <v>6</v>
      </c>
      <c r="B1196" s="462" t="s">
        <v>491</v>
      </c>
      <c r="C1196" s="462"/>
    </row>
    <row r="1197" spans="1:15" x14ac:dyDescent="0.3">
      <c r="A1197" s="450" t="s">
        <v>68</v>
      </c>
      <c r="B1197" s="462" t="s">
        <v>679</v>
      </c>
      <c r="C1197" s="462"/>
    </row>
    <row r="1199" spans="1:15" ht="49.2" x14ac:dyDescent="0.3">
      <c r="A1199" s="452" t="s">
        <v>8</v>
      </c>
      <c r="B1199" s="452" t="s">
        <v>9</v>
      </c>
      <c r="C1199" s="452" t="s">
        <v>10</v>
      </c>
      <c r="D1199" s="452" t="s">
        <v>11</v>
      </c>
      <c r="E1199" s="43" t="s">
        <v>12</v>
      </c>
      <c r="F1199" s="43" t="s">
        <v>13</v>
      </c>
      <c r="G1199" s="43" t="s">
        <v>14</v>
      </c>
      <c r="H1199" s="43" t="s">
        <v>208</v>
      </c>
      <c r="I1199" s="43" t="s">
        <v>209</v>
      </c>
      <c r="J1199" s="43" t="s">
        <v>15</v>
      </c>
      <c r="K1199" s="43" t="s">
        <v>16</v>
      </c>
      <c r="L1199" s="338" t="s">
        <v>487</v>
      </c>
      <c r="M1199" s="338" t="s">
        <v>488</v>
      </c>
      <c r="N1199" s="338" t="s">
        <v>489</v>
      </c>
    </row>
    <row r="1200" spans="1:15" x14ac:dyDescent="0.3">
      <c r="N1200" t="s">
        <v>20</v>
      </c>
      <c r="O1200">
        <f>COUNT(G1201:G1212)</f>
        <v>10</v>
      </c>
    </row>
    <row r="1201" spans="1:22" x14ac:dyDescent="0.3">
      <c r="A1201" s="12">
        <v>1</v>
      </c>
      <c r="B1201" s="12" t="s">
        <v>146</v>
      </c>
      <c r="C1201" s="12" t="s">
        <v>94</v>
      </c>
      <c r="D1201" s="12" t="s">
        <v>1222</v>
      </c>
      <c r="E1201" s="12">
        <v>10</v>
      </c>
      <c r="F1201" s="12">
        <v>26</v>
      </c>
      <c r="G1201" s="12">
        <f>SUM(E1201:F1201)</f>
        <v>36</v>
      </c>
      <c r="H1201" s="12"/>
      <c r="I1201" s="12"/>
      <c r="J1201" s="12">
        <v>53</v>
      </c>
      <c r="K1201" s="12">
        <f>SUM(G1201:J1201)</f>
        <v>89</v>
      </c>
      <c r="L1201" t="str">
        <f t="shared" ref="L1201:L1212" si="103">IF(K1201&gt;=80,"A",IF(K1201&gt;=70,"B+",IF(K1201&gt;=60,"B",IF(K1201&gt;=55,"C+",IF(K1201&gt;=50,"C",IF(K1201&gt;=45,"D+",IF(K1201&gt;=40,"D","F")))))))</f>
        <v>A</v>
      </c>
      <c r="M1201" t="str">
        <f t="shared" ref="M1201:M1212" si="104">IF(K1201&gt;=50,"Passed","Failed")</f>
        <v>Passed</v>
      </c>
      <c r="N1201" t="s">
        <v>21</v>
      </c>
      <c r="O1201">
        <f>COUNT(J1201:J1212)</f>
        <v>9</v>
      </c>
    </row>
    <row r="1202" spans="1:22" x14ac:dyDescent="0.3">
      <c r="A1202" s="12">
        <v>2</v>
      </c>
      <c r="B1202" s="60" t="s">
        <v>147</v>
      </c>
      <c r="C1202" s="12" t="s">
        <v>95</v>
      </c>
      <c r="D1202" s="12" t="s">
        <v>1221</v>
      </c>
      <c r="E1202" s="12">
        <v>10</v>
      </c>
      <c r="F1202" s="12">
        <v>27</v>
      </c>
      <c r="G1202" s="12">
        <f t="shared" ref="G1202:G1212" si="105">SUM(E1202:F1202)</f>
        <v>37</v>
      </c>
      <c r="H1202" s="12"/>
      <c r="I1202" s="12"/>
      <c r="J1202" s="12">
        <v>55</v>
      </c>
      <c r="K1202" s="12">
        <f t="shared" ref="K1202:K1212" si="106">SUM(G1202:J1202)</f>
        <v>92</v>
      </c>
      <c r="L1202" t="str">
        <f t="shared" si="103"/>
        <v>A</v>
      </c>
      <c r="M1202" t="str">
        <f t="shared" si="104"/>
        <v>Passed</v>
      </c>
      <c r="N1202" t="s">
        <v>22</v>
      </c>
      <c r="O1202">
        <f>O1200-O1201</f>
        <v>1</v>
      </c>
    </row>
    <row r="1203" spans="1:22" x14ac:dyDescent="0.3">
      <c r="A1203" s="12">
        <v>3</v>
      </c>
      <c r="B1203" s="12" t="s">
        <v>155</v>
      </c>
      <c r="C1203" s="12" t="s">
        <v>103</v>
      </c>
      <c r="D1203" s="12" t="s">
        <v>1226</v>
      </c>
      <c r="E1203" s="12">
        <v>10</v>
      </c>
      <c r="F1203" s="12">
        <v>28</v>
      </c>
      <c r="G1203" s="12">
        <f t="shared" si="105"/>
        <v>38</v>
      </c>
      <c r="H1203" s="12"/>
      <c r="I1203" s="12"/>
      <c r="J1203" s="12">
        <v>46</v>
      </c>
      <c r="K1203" s="12">
        <f t="shared" si="106"/>
        <v>84</v>
      </c>
      <c r="L1203" t="str">
        <f t="shared" si="103"/>
        <v>A</v>
      </c>
      <c r="M1203" t="str">
        <f t="shared" si="104"/>
        <v>Passed</v>
      </c>
      <c r="N1203" t="s">
        <v>23</v>
      </c>
      <c r="O1203">
        <f>COUNTIF(M1201:M1212,"Passed")</f>
        <v>9</v>
      </c>
    </row>
    <row r="1204" spans="1:22" x14ac:dyDescent="0.3">
      <c r="A1204" s="50">
        <v>4</v>
      </c>
      <c r="B1204" s="452" t="s">
        <v>182</v>
      </c>
      <c r="C1204" s="452" t="s">
        <v>105</v>
      </c>
      <c r="D1204" s="452" t="s">
        <v>1218</v>
      </c>
      <c r="E1204" s="452">
        <v>7.5</v>
      </c>
      <c r="F1204" s="452">
        <v>25</v>
      </c>
      <c r="G1204" s="452">
        <f t="shared" si="105"/>
        <v>32.5</v>
      </c>
      <c r="H1204" s="452"/>
      <c r="I1204" s="452"/>
      <c r="J1204" s="452" t="s">
        <v>1938</v>
      </c>
      <c r="K1204" s="12"/>
      <c r="N1204" t="s">
        <v>24</v>
      </c>
      <c r="O1204">
        <f>O1203/O1201%</f>
        <v>100</v>
      </c>
    </row>
    <row r="1205" spans="1:22" x14ac:dyDescent="0.3">
      <c r="A1205" s="12">
        <v>5</v>
      </c>
      <c r="B1205" s="12" t="s">
        <v>161</v>
      </c>
      <c r="C1205" s="12" t="s">
        <v>111</v>
      </c>
      <c r="D1205" s="12" t="s">
        <v>1218</v>
      </c>
      <c r="E1205" s="12"/>
      <c r="F1205" s="12"/>
      <c r="G1205" s="12"/>
      <c r="H1205" s="12"/>
      <c r="I1205" s="12"/>
      <c r="J1205" s="12"/>
      <c r="K1205" s="12"/>
      <c r="N1205" t="s">
        <v>25</v>
      </c>
      <c r="O1205">
        <f>COUNTIF(M1201:M1212,"failed")</f>
        <v>0</v>
      </c>
    </row>
    <row r="1206" spans="1:22" x14ac:dyDescent="0.3">
      <c r="A1206" s="12">
        <v>6</v>
      </c>
      <c r="B1206" s="12" t="s">
        <v>169</v>
      </c>
      <c r="C1206" s="12" t="s">
        <v>122</v>
      </c>
      <c r="D1206" s="12" t="s">
        <v>1218</v>
      </c>
      <c r="E1206" s="12"/>
      <c r="F1206" s="12"/>
      <c r="G1206" s="12"/>
      <c r="H1206" s="12"/>
      <c r="I1206" s="12"/>
      <c r="J1206" s="12"/>
      <c r="K1206" s="12"/>
      <c r="N1206" t="s">
        <v>26</v>
      </c>
      <c r="O1206">
        <f>O1205/O1201%</f>
        <v>0</v>
      </c>
    </row>
    <row r="1207" spans="1:22" x14ac:dyDescent="0.3">
      <c r="A1207" s="12">
        <v>7</v>
      </c>
      <c r="B1207" s="12" t="s">
        <v>421</v>
      </c>
      <c r="C1207" s="12" t="s">
        <v>129</v>
      </c>
      <c r="D1207" s="12" t="s">
        <v>1225</v>
      </c>
      <c r="E1207" s="12">
        <v>10</v>
      </c>
      <c r="F1207" s="12">
        <v>27</v>
      </c>
      <c r="G1207" s="12">
        <f t="shared" si="105"/>
        <v>37</v>
      </c>
      <c r="H1207" s="12"/>
      <c r="I1207" s="12"/>
      <c r="J1207" s="12">
        <v>52</v>
      </c>
      <c r="K1207" s="12">
        <f t="shared" si="106"/>
        <v>89</v>
      </c>
      <c r="L1207" t="str">
        <f t="shared" si="103"/>
        <v>A</v>
      </c>
      <c r="M1207" t="str">
        <f t="shared" si="104"/>
        <v>Passed</v>
      </c>
      <c r="N1207" t="s">
        <v>27</v>
      </c>
      <c r="O1207">
        <f>AVERAGE(K1201:K1212)</f>
        <v>84.555555555555557</v>
      </c>
    </row>
    <row r="1208" spans="1:22" x14ac:dyDescent="0.3">
      <c r="A1208" s="12">
        <v>8</v>
      </c>
      <c r="B1208" s="12" t="s">
        <v>177</v>
      </c>
      <c r="C1208" s="12" t="s">
        <v>132</v>
      </c>
      <c r="D1208" s="12" t="s">
        <v>1227</v>
      </c>
      <c r="E1208" s="12">
        <v>10</v>
      </c>
      <c r="F1208" s="12">
        <v>28</v>
      </c>
      <c r="G1208" s="12">
        <f t="shared" si="105"/>
        <v>38</v>
      </c>
      <c r="H1208" s="12"/>
      <c r="I1208" s="12"/>
      <c r="J1208" s="12">
        <v>55</v>
      </c>
      <c r="K1208" s="12">
        <f t="shared" si="106"/>
        <v>93</v>
      </c>
      <c r="L1208" t="str">
        <f t="shared" si="103"/>
        <v>A</v>
      </c>
      <c r="M1208" t="str">
        <f t="shared" si="104"/>
        <v>Passed</v>
      </c>
    </row>
    <row r="1209" spans="1:22" x14ac:dyDescent="0.3">
      <c r="A1209" s="12">
        <v>9</v>
      </c>
      <c r="B1209" s="12" t="s">
        <v>179</v>
      </c>
      <c r="C1209" s="12" t="s">
        <v>134</v>
      </c>
      <c r="D1209" s="12" t="s">
        <v>1220</v>
      </c>
      <c r="E1209" s="12">
        <v>10</v>
      </c>
      <c r="F1209" s="12">
        <v>28</v>
      </c>
      <c r="G1209" s="12">
        <f t="shared" si="105"/>
        <v>38</v>
      </c>
      <c r="H1209" s="12"/>
      <c r="I1209" s="12"/>
      <c r="J1209" s="12">
        <v>34</v>
      </c>
      <c r="K1209" s="12">
        <f t="shared" si="106"/>
        <v>72</v>
      </c>
      <c r="L1209" t="str">
        <f t="shared" si="103"/>
        <v>B+</v>
      </c>
      <c r="M1209" t="str">
        <f t="shared" si="104"/>
        <v>Passed</v>
      </c>
    </row>
    <row r="1210" spans="1:22" x14ac:dyDescent="0.3">
      <c r="A1210" s="12">
        <v>10</v>
      </c>
      <c r="B1210" s="12" t="s">
        <v>180</v>
      </c>
      <c r="C1210" s="12" t="s">
        <v>136</v>
      </c>
      <c r="D1210" s="12" t="s">
        <v>1223</v>
      </c>
      <c r="E1210" s="12">
        <v>10</v>
      </c>
      <c r="F1210" s="12">
        <v>27</v>
      </c>
      <c r="G1210" s="12">
        <f t="shared" si="105"/>
        <v>37</v>
      </c>
      <c r="H1210" s="12"/>
      <c r="I1210" s="12"/>
      <c r="J1210" s="12">
        <v>40</v>
      </c>
      <c r="K1210" s="12">
        <f t="shared" si="106"/>
        <v>77</v>
      </c>
      <c r="L1210" t="str">
        <f t="shared" si="103"/>
        <v>B+</v>
      </c>
      <c r="M1210" t="str">
        <f t="shared" si="104"/>
        <v>Passed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 t="s">
        <v>33</v>
      </c>
      <c r="U1210" t="s">
        <v>34</v>
      </c>
      <c r="V1210" t="s">
        <v>35</v>
      </c>
    </row>
    <row r="1211" spans="1:22" x14ac:dyDescent="0.3">
      <c r="A1211" s="12">
        <v>11</v>
      </c>
      <c r="B1211" s="12" t="s">
        <v>183</v>
      </c>
      <c r="C1211" s="12" t="s">
        <v>140</v>
      </c>
      <c r="D1211" s="12" t="s">
        <v>1224</v>
      </c>
      <c r="E1211" s="12">
        <v>10</v>
      </c>
      <c r="F1211" s="12">
        <v>26</v>
      </c>
      <c r="G1211" s="12">
        <f t="shared" si="105"/>
        <v>36</v>
      </c>
      <c r="H1211" s="12"/>
      <c r="I1211" s="12"/>
      <c r="J1211" s="12">
        <v>50</v>
      </c>
      <c r="K1211" s="12">
        <f t="shared" si="106"/>
        <v>86</v>
      </c>
      <c r="L1211" t="str">
        <f t="shared" si="103"/>
        <v>A</v>
      </c>
      <c r="M1211" t="str">
        <f t="shared" si="104"/>
        <v>Passed</v>
      </c>
      <c r="O1211">
        <f>COUNTIF(L1201:L1212,"A")</f>
        <v>6</v>
      </c>
      <c r="P1211">
        <f>COUNTIF(L1201:L1212,"B+")</f>
        <v>3</v>
      </c>
      <c r="Q1211">
        <f>COUNTIF(L1201:L1212,"B")</f>
        <v>0</v>
      </c>
      <c r="R1211">
        <f>COUNTIF(L1201:L1212,"C+")</f>
        <v>0</v>
      </c>
      <c r="S1211">
        <f>COUNTIF(L1201:L1212,"C")</f>
        <v>0</v>
      </c>
      <c r="T1211">
        <f>COUNTIF(L1201:L1212,"D+")</f>
        <v>0</v>
      </c>
      <c r="U1211">
        <f>COUNTIF(L1201:L1212,"D")</f>
        <v>0</v>
      </c>
      <c r="V1211">
        <f>COUNTIF(L1201:L1212,"F")</f>
        <v>0</v>
      </c>
    </row>
    <row r="1212" spans="1:22" x14ac:dyDescent="0.3">
      <c r="A1212" s="12">
        <v>12</v>
      </c>
      <c r="B1212" s="12" t="s">
        <v>184</v>
      </c>
      <c r="C1212" s="12" t="s">
        <v>142</v>
      </c>
      <c r="D1212" s="12" t="s">
        <v>1219</v>
      </c>
      <c r="E1212" s="12">
        <v>10</v>
      </c>
      <c r="F1212" s="12">
        <v>26</v>
      </c>
      <c r="G1212" s="12">
        <f t="shared" si="105"/>
        <v>36</v>
      </c>
      <c r="H1212" s="12"/>
      <c r="I1212" s="12"/>
      <c r="J1212" s="12">
        <v>43</v>
      </c>
      <c r="K1212" s="12">
        <f t="shared" si="106"/>
        <v>79</v>
      </c>
      <c r="L1212" t="str">
        <f t="shared" si="103"/>
        <v>B+</v>
      </c>
      <c r="M1212" t="str">
        <f t="shared" si="104"/>
        <v>Passed</v>
      </c>
    </row>
    <row r="1221" spans="1:15" x14ac:dyDescent="0.3">
      <c r="A1221" s="450" t="s">
        <v>0</v>
      </c>
      <c r="B1221" s="451"/>
      <c r="C1221" s="451"/>
    </row>
    <row r="1222" spans="1:15" x14ac:dyDescent="0.3">
      <c r="A1222" s="14" t="s">
        <v>66</v>
      </c>
      <c r="B1222" s="14"/>
      <c r="C1222" s="14"/>
    </row>
    <row r="1223" spans="1:15" x14ac:dyDescent="0.3">
      <c r="A1223" s="460" t="s">
        <v>143</v>
      </c>
      <c r="B1223" s="461"/>
      <c r="C1223" s="461"/>
    </row>
    <row r="1224" spans="1:15" x14ac:dyDescent="0.3">
      <c r="A1224" s="450" t="s">
        <v>1</v>
      </c>
      <c r="B1224" s="462" t="s">
        <v>2</v>
      </c>
      <c r="C1224" s="462"/>
    </row>
    <row r="1225" spans="1:15" x14ac:dyDescent="0.3">
      <c r="A1225" s="450" t="s">
        <v>3</v>
      </c>
      <c r="B1225" s="462" t="s">
        <v>494</v>
      </c>
      <c r="C1225" s="462"/>
    </row>
    <row r="1226" spans="1:15" x14ac:dyDescent="0.3">
      <c r="A1226" s="450" t="s">
        <v>4</v>
      </c>
      <c r="B1226" s="462" t="s">
        <v>492</v>
      </c>
      <c r="C1226" s="462"/>
    </row>
    <row r="1227" spans="1:15" x14ac:dyDescent="0.3">
      <c r="A1227" s="450" t="s">
        <v>5</v>
      </c>
      <c r="B1227" s="463">
        <v>3</v>
      </c>
      <c r="C1227" s="463"/>
    </row>
    <row r="1228" spans="1:15" x14ac:dyDescent="0.3">
      <c r="A1228" s="450" t="s">
        <v>6</v>
      </c>
      <c r="B1228" s="462" t="s">
        <v>493</v>
      </c>
      <c r="C1228" s="462"/>
    </row>
    <row r="1229" spans="1:15" x14ac:dyDescent="0.3">
      <c r="A1229" s="450" t="s">
        <v>68</v>
      </c>
      <c r="B1229" s="462"/>
      <c r="C1229" s="462"/>
    </row>
    <row r="1231" spans="1:15" ht="49.2" x14ac:dyDescent="0.3">
      <c r="A1231" s="452" t="s">
        <v>8</v>
      </c>
      <c r="B1231" s="452" t="s">
        <v>9</v>
      </c>
      <c r="C1231" s="452" t="s">
        <v>10</v>
      </c>
      <c r="D1231" s="452" t="s">
        <v>11</v>
      </c>
      <c r="E1231" s="43" t="s">
        <v>12</v>
      </c>
      <c r="F1231" s="43" t="s">
        <v>13</v>
      </c>
      <c r="G1231" s="43" t="s">
        <v>14</v>
      </c>
      <c r="H1231" s="43" t="s">
        <v>208</v>
      </c>
      <c r="I1231" s="43" t="s">
        <v>209</v>
      </c>
      <c r="J1231" s="43" t="s">
        <v>15</v>
      </c>
      <c r="K1231" s="43" t="s">
        <v>16</v>
      </c>
      <c r="L1231" s="338" t="s">
        <v>487</v>
      </c>
      <c r="M1231" s="338" t="s">
        <v>488</v>
      </c>
      <c r="N1231" s="338" t="s">
        <v>489</v>
      </c>
    </row>
    <row r="1232" spans="1:15" x14ac:dyDescent="0.3">
      <c r="N1232" t="s">
        <v>20</v>
      </c>
      <c r="O1232">
        <f>COUNT(G1233:G1244)</f>
        <v>9</v>
      </c>
    </row>
    <row r="1233" spans="1:22" x14ac:dyDescent="0.3">
      <c r="A1233" s="12">
        <v>1</v>
      </c>
      <c r="B1233" s="12" t="s">
        <v>146</v>
      </c>
      <c r="C1233" s="12" t="s">
        <v>94</v>
      </c>
      <c r="D1233" s="12" t="s">
        <v>1230</v>
      </c>
      <c r="E1233" s="12">
        <v>10</v>
      </c>
      <c r="F1233" s="12">
        <v>23</v>
      </c>
      <c r="G1233" s="12">
        <f>SUM(E1233:F1233)</f>
        <v>33</v>
      </c>
      <c r="H1233" s="12"/>
      <c r="I1233" s="12"/>
      <c r="J1233" s="12">
        <v>37</v>
      </c>
      <c r="K1233" s="12">
        <f>SUM(G1233:J1233)</f>
        <v>70</v>
      </c>
      <c r="L1233" t="str">
        <f t="shared" ref="L1233:L1244" si="107">IF(K1233&gt;=80,"A",IF(K1233&gt;=70,"B+",IF(K1233&gt;=60,"B",IF(K1233&gt;=55,"C+",IF(K1233&gt;=50,"C",IF(K1233&gt;=45,"D+",IF(K1233&gt;=40,"D","F")))))))</f>
        <v>B+</v>
      </c>
      <c r="M1233" t="str">
        <f t="shared" ref="M1233:M1244" si="108">IF(K1233&gt;=50,"Passed","Failed")</f>
        <v>Passed</v>
      </c>
      <c r="N1233" t="s">
        <v>21</v>
      </c>
      <c r="O1233">
        <f>COUNT(J1233:J1244)</f>
        <v>9</v>
      </c>
    </row>
    <row r="1234" spans="1:22" x14ac:dyDescent="0.3">
      <c r="A1234" s="12">
        <v>2</v>
      </c>
      <c r="B1234" s="60" t="s">
        <v>147</v>
      </c>
      <c r="C1234" s="12" t="s">
        <v>95</v>
      </c>
      <c r="D1234" s="12" t="s">
        <v>1231</v>
      </c>
      <c r="E1234" s="12">
        <v>10</v>
      </c>
      <c r="F1234" s="12">
        <v>22</v>
      </c>
      <c r="G1234" s="12">
        <f t="shared" ref="G1234:G1244" si="109">SUM(E1234:F1234)</f>
        <v>32</v>
      </c>
      <c r="H1234" s="12"/>
      <c r="I1234" s="12"/>
      <c r="J1234" s="12">
        <v>35</v>
      </c>
      <c r="K1234" s="12">
        <f t="shared" ref="K1234:K1244" si="110">SUM(G1234:J1234)</f>
        <v>67</v>
      </c>
      <c r="L1234" t="str">
        <f t="shared" si="107"/>
        <v>B</v>
      </c>
      <c r="M1234" t="str">
        <f t="shared" si="108"/>
        <v>Passed</v>
      </c>
      <c r="N1234" t="s">
        <v>22</v>
      </c>
      <c r="O1234">
        <f>O1232-O1233</f>
        <v>0</v>
      </c>
    </row>
    <row r="1235" spans="1:22" x14ac:dyDescent="0.3">
      <c r="A1235" s="12">
        <v>3</v>
      </c>
      <c r="B1235" s="12" t="s">
        <v>155</v>
      </c>
      <c r="C1235" s="12" t="s">
        <v>103</v>
      </c>
      <c r="D1235" s="12" t="s">
        <v>1237</v>
      </c>
      <c r="E1235" s="12">
        <v>10</v>
      </c>
      <c r="F1235" s="12">
        <v>11</v>
      </c>
      <c r="G1235" s="12">
        <f t="shared" si="109"/>
        <v>21</v>
      </c>
      <c r="H1235" s="12"/>
      <c r="I1235" s="12"/>
      <c r="J1235" s="12">
        <v>32</v>
      </c>
      <c r="K1235" s="12">
        <f t="shared" si="110"/>
        <v>53</v>
      </c>
      <c r="L1235" t="str">
        <f t="shared" si="107"/>
        <v>C</v>
      </c>
      <c r="M1235" t="str">
        <f t="shared" si="108"/>
        <v>Passed</v>
      </c>
      <c r="N1235" t="s">
        <v>23</v>
      </c>
      <c r="O1235">
        <f>COUNTIF(M1233:M1244,"Passed")</f>
        <v>9</v>
      </c>
    </row>
    <row r="1236" spans="1:22" x14ac:dyDescent="0.3">
      <c r="A1236" s="50">
        <v>4</v>
      </c>
      <c r="B1236" s="12" t="s">
        <v>182</v>
      </c>
      <c r="C1236" s="12" t="s">
        <v>105</v>
      </c>
      <c r="D1236" s="12" t="s">
        <v>1228</v>
      </c>
      <c r="E1236" s="12"/>
      <c r="F1236" s="12"/>
      <c r="G1236" s="12"/>
      <c r="H1236" s="12"/>
      <c r="I1236" s="12"/>
      <c r="J1236" s="12"/>
      <c r="K1236" s="12"/>
      <c r="N1236" t="s">
        <v>24</v>
      </c>
      <c r="O1236">
        <f>O1235/O1233%</f>
        <v>100</v>
      </c>
    </row>
    <row r="1237" spans="1:22" x14ac:dyDescent="0.3">
      <c r="A1237" s="12">
        <v>5</v>
      </c>
      <c r="B1237" s="12" t="s">
        <v>161</v>
      </c>
      <c r="C1237" s="12" t="s">
        <v>111</v>
      </c>
      <c r="D1237" s="12" t="s">
        <v>1228</v>
      </c>
      <c r="E1237" s="12"/>
      <c r="F1237" s="12"/>
      <c r="G1237" s="12"/>
      <c r="H1237" s="12"/>
      <c r="I1237" s="12"/>
      <c r="J1237" s="12"/>
      <c r="K1237" s="12"/>
      <c r="N1237" t="s">
        <v>25</v>
      </c>
      <c r="O1237">
        <f>COUNTIF(M1233:M1244,"failed")</f>
        <v>0</v>
      </c>
    </row>
    <row r="1238" spans="1:22" x14ac:dyDescent="0.3">
      <c r="A1238" s="12">
        <v>6</v>
      </c>
      <c r="B1238" s="12" t="s">
        <v>169</v>
      </c>
      <c r="C1238" s="12" t="s">
        <v>122</v>
      </c>
      <c r="D1238" s="12" t="s">
        <v>1228</v>
      </c>
      <c r="E1238" s="12"/>
      <c r="F1238" s="12"/>
      <c r="G1238" s="12"/>
      <c r="H1238" s="12"/>
      <c r="I1238" s="12"/>
      <c r="J1238" s="12"/>
      <c r="K1238" s="12"/>
      <c r="N1238" t="s">
        <v>26</v>
      </c>
      <c r="O1238">
        <f>O1237/O1233%</f>
        <v>0</v>
      </c>
    </row>
    <row r="1239" spans="1:22" x14ac:dyDescent="0.3">
      <c r="A1239" s="12">
        <v>7</v>
      </c>
      <c r="B1239" s="12" t="s">
        <v>421</v>
      </c>
      <c r="C1239" s="12" t="s">
        <v>129</v>
      </c>
      <c r="D1239" s="12" t="s">
        <v>1234</v>
      </c>
      <c r="E1239" s="12">
        <v>10</v>
      </c>
      <c r="F1239" s="12">
        <v>19</v>
      </c>
      <c r="G1239" s="12">
        <f t="shared" si="109"/>
        <v>29</v>
      </c>
      <c r="H1239" s="12"/>
      <c r="I1239" s="12"/>
      <c r="J1239" s="12">
        <v>39</v>
      </c>
      <c r="K1239" s="12">
        <f t="shared" si="110"/>
        <v>68</v>
      </c>
      <c r="L1239" t="str">
        <f t="shared" si="107"/>
        <v>B</v>
      </c>
      <c r="M1239" t="str">
        <f t="shared" si="108"/>
        <v>Passed</v>
      </c>
      <c r="N1239" t="s">
        <v>27</v>
      </c>
      <c r="O1239">
        <f>AVERAGE(K1233:K1244)</f>
        <v>64.111111111111114</v>
      </c>
    </row>
    <row r="1240" spans="1:22" x14ac:dyDescent="0.3">
      <c r="A1240" s="12">
        <v>8</v>
      </c>
      <c r="B1240" s="12" t="s">
        <v>177</v>
      </c>
      <c r="C1240" s="12" t="s">
        <v>132</v>
      </c>
      <c r="D1240" s="12" t="s">
        <v>1233</v>
      </c>
      <c r="E1240" s="12">
        <v>10</v>
      </c>
      <c r="F1240" s="12">
        <v>22</v>
      </c>
      <c r="G1240" s="12">
        <f t="shared" si="109"/>
        <v>32</v>
      </c>
      <c r="H1240" s="12"/>
      <c r="I1240" s="12"/>
      <c r="J1240" s="12">
        <v>39</v>
      </c>
      <c r="K1240" s="12">
        <f t="shared" si="110"/>
        <v>71</v>
      </c>
      <c r="L1240" t="str">
        <f t="shared" si="107"/>
        <v>B+</v>
      </c>
      <c r="M1240" t="str">
        <f t="shared" si="108"/>
        <v>Passed</v>
      </c>
    </row>
    <row r="1241" spans="1:22" x14ac:dyDescent="0.3">
      <c r="A1241" s="12">
        <v>9</v>
      </c>
      <c r="B1241" s="12" t="s">
        <v>179</v>
      </c>
      <c r="C1241" s="12" t="s">
        <v>134</v>
      </c>
      <c r="D1241" s="12" t="s">
        <v>1235</v>
      </c>
      <c r="E1241" s="12">
        <v>10</v>
      </c>
      <c r="F1241" s="12">
        <v>22</v>
      </c>
      <c r="G1241" s="12">
        <f t="shared" si="109"/>
        <v>32</v>
      </c>
      <c r="H1241" s="12"/>
      <c r="I1241" s="12"/>
      <c r="J1241" s="12">
        <v>42</v>
      </c>
      <c r="K1241" s="12">
        <f t="shared" si="110"/>
        <v>74</v>
      </c>
      <c r="L1241" t="str">
        <f t="shared" si="107"/>
        <v>B+</v>
      </c>
      <c r="M1241" t="str">
        <f t="shared" si="108"/>
        <v>Passed</v>
      </c>
    </row>
    <row r="1242" spans="1:22" x14ac:dyDescent="0.3">
      <c r="A1242" s="12">
        <v>10</v>
      </c>
      <c r="B1242" s="12" t="s">
        <v>180</v>
      </c>
      <c r="C1242" s="12" t="s">
        <v>136</v>
      </c>
      <c r="D1242" s="12" t="s">
        <v>1232</v>
      </c>
      <c r="E1242" s="12">
        <v>9</v>
      </c>
      <c r="F1242" s="12">
        <v>18</v>
      </c>
      <c r="G1242" s="12">
        <f t="shared" si="109"/>
        <v>27</v>
      </c>
      <c r="H1242" s="12"/>
      <c r="I1242" s="12"/>
      <c r="J1242" s="12">
        <v>37</v>
      </c>
      <c r="K1242" s="12">
        <f t="shared" si="110"/>
        <v>64</v>
      </c>
      <c r="L1242" t="str">
        <f t="shared" si="107"/>
        <v>B</v>
      </c>
      <c r="M1242" t="str">
        <f t="shared" si="108"/>
        <v>Passed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 t="s">
        <v>33</v>
      </c>
      <c r="U1242" t="s">
        <v>34</v>
      </c>
      <c r="V1242" t="s">
        <v>35</v>
      </c>
    </row>
    <row r="1243" spans="1:22" x14ac:dyDescent="0.3">
      <c r="A1243" s="12">
        <v>11</v>
      </c>
      <c r="B1243" s="12" t="s">
        <v>183</v>
      </c>
      <c r="C1243" s="12" t="s">
        <v>140</v>
      </c>
      <c r="D1243" s="12" t="s">
        <v>1236</v>
      </c>
      <c r="E1243" s="12">
        <v>9</v>
      </c>
      <c r="F1243" s="12">
        <v>12</v>
      </c>
      <c r="G1243" s="12">
        <f t="shared" si="109"/>
        <v>21</v>
      </c>
      <c r="H1243" s="12"/>
      <c r="I1243" s="12"/>
      <c r="J1243" s="12">
        <v>36</v>
      </c>
      <c r="K1243" s="12">
        <f t="shared" si="110"/>
        <v>57</v>
      </c>
      <c r="L1243" t="str">
        <f t="shared" si="107"/>
        <v>C+</v>
      </c>
      <c r="M1243" t="str">
        <f t="shared" si="108"/>
        <v>Passed</v>
      </c>
      <c r="O1243">
        <f>COUNTIF(L1233:L1244,"A")</f>
        <v>0</v>
      </c>
      <c r="P1243">
        <f>COUNTIF(L1233:L1244,"B+")</f>
        <v>3</v>
      </c>
      <c r="Q1243">
        <f>COUNTIF(L1233:L1244,"B")</f>
        <v>3</v>
      </c>
      <c r="R1243">
        <f>COUNTIF(L1233:L1244,"C+")</f>
        <v>1</v>
      </c>
      <c r="S1243">
        <f>COUNTIF(L1233:L1244,"C")</f>
        <v>2</v>
      </c>
      <c r="T1243">
        <f>COUNTIF(L1233:L1244,"D+")</f>
        <v>0</v>
      </c>
      <c r="U1243">
        <f>COUNTIF(L1233:L1244,"D")</f>
        <v>0</v>
      </c>
      <c r="V1243">
        <f>COUNTIF(L1233:L1244,"F")</f>
        <v>0</v>
      </c>
    </row>
    <row r="1244" spans="1:22" x14ac:dyDescent="0.3">
      <c r="A1244" s="12">
        <v>12</v>
      </c>
      <c r="B1244" s="12" t="s">
        <v>184</v>
      </c>
      <c r="C1244" s="12" t="s">
        <v>142</v>
      </c>
      <c r="D1244" s="12" t="s">
        <v>1229</v>
      </c>
      <c r="E1244" s="12">
        <v>9</v>
      </c>
      <c r="F1244" s="12">
        <v>14</v>
      </c>
      <c r="G1244" s="12">
        <f t="shared" si="109"/>
        <v>23</v>
      </c>
      <c r="H1244" s="12"/>
      <c r="I1244" s="12"/>
      <c r="J1244" s="12">
        <v>30</v>
      </c>
      <c r="K1244" s="12">
        <f t="shared" si="110"/>
        <v>53</v>
      </c>
      <c r="L1244" t="str">
        <f t="shared" si="107"/>
        <v>C</v>
      </c>
      <c r="M1244" t="str">
        <f t="shared" si="108"/>
        <v>Passed</v>
      </c>
    </row>
    <row r="1257" spans="1:3" x14ac:dyDescent="0.3">
      <c r="A1257" s="450" t="s">
        <v>0</v>
      </c>
      <c r="B1257" s="451"/>
      <c r="C1257" s="451"/>
    </row>
    <row r="1258" spans="1:3" x14ac:dyDescent="0.3">
      <c r="A1258" s="14" t="s">
        <v>66</v>
      </c>
      <c r="B1258" s="14"/>
      <c r="C1258" s="14"/>
    </row>
    <row r="1259" spans="1:3" x14ac:dyDescent="0.3">
      <c r="A1259" s="460" t="s">
        <v>143</v>
      </c>
      <c r="B1259" s="461"/>
      <c r="C1259" s="461"/>
    </row>
    <row r="1260" spans="1:3" x14ac:dyDescent="0.3">
      <c r="A1260" s="450" t="s">
        <v>1</v>
      </c>
      <c r="B1260" s="462" t="s">
        <v>2</v>
      </c>
      <c r="C1260" s="462"/>
    </row>
    <row r="1261" spans="1:3" x14ac:dyDescent="0.3">
      <c r="A1261" s="450" t="s">
        <v>3</v>
      </c>
      <c r="B1261" s="462" t="s">
        <v>495</v>
      </c>
      <c r="C1261" s="462"/>
    </row>
    <row r="1262" spans="1:3" x14ac:dyDescent="0.3">
      <c r="A1262" s="450" t="s">
        <v>4</v>
      </c>
      <c r="B1262" s="462" t="s">
        <v>890</v>
      </c>
      <c r="C1262" s="462"/>
    </row>
    <row r="1263" spans="1:3" x14ac:dyDescent="0.3">
      <c r="A1263" s="450" t="s">
        <v>5</v>
      </c>
      <c r="B1263" s="463">
        <v>3</v>
      </c>
      <c r="C1263" s="463"/>
    </row>
    <row r="1264" spans="1:3" x14ac:dyDescent="0.3">
      <c r="A1264" s="450" t="s">
        <v>6</v>
      </c>
      <c r="B1264" s="462" t="s">
        <v>493</v>
      </c>
      <c r="C1264" s="462"/>
    </row>
    <row r="1265" spans="1:22" x14ac:dyDescent="0.3">
      <c r="A1265" s="450" t="s">
        <v>68</v>
      </c>
      <c r="B1265" s="462"/>
      <c r="C1265" s="462"/>
    </row>
    <row r="1267" spans="1:22" ht="49.2" x14ac:dyDescent="0.3">
      <c r="A1267" s="452" t="s">
        <v>8</v>
      </c>
      <c r="B1267" s="452" t="s">
        <v>9</v>
      </c>
      <c r="C1267" s="452" t="s">
        <v>10</v>
      </c>
      <c r="D1267" s="452" t="s">
        <v>11</v>
      </c>
      <c r="E1267" s="43" t="s">
        <v>12</v>
      </c>
      <c r="F1267" s="43" t="s">
        <v>13</v>
      </c>
      <c r="G1267" s="43" t="s">
        <v>14</v>
      </c>
      <c r="H1267" s="43" t="s">
        <v>208</v>
      </c>
      <c r="I1267" s="43" t="s">
        <v>209</v>
      </c>
      <c r="J1267" s="43" t="s">
        <v>15</v>
      </c>
      <c r="K1267" s="43" t="s">
        <v>16</v>
      </c>
      <c r="L1267" s="338" t="s">
        <v>487</v>
      </c>
      <c r="M1267" s="338" t="s">
        <v>488</v>
      </c>
      <c r="N1267" s="338" t="s">
        <v>489</v>
      </c>
    </row>
    <row r="1268" spans="1:22" x14ac:dyDescent="0.3">
      <c r="N1268" t="s">
        <v>20</v>
      </c>
      <c r="O1268">
        <f>COUNT(G1269:G1280)</f>
        <v>9</v>
      </c>
    </row>
    <row r="1269" spans="1:22" x14ac:dyDescent="0.3">
      <c r="A1269" s="12">
        <v>1</v>
      </c>
      <c r="B1269" s="12" t="s">
        <v>146</v>
      </c>
      <c r="C1269" s="12" t="s">
        <v>94</v>
      </c>
      <c r="D1269" s="12" t="s">
        <v>1343</v>
      </c>
      <c r="E1269" s="12">
        <v>10</v>
      </c>
      <c r="F1269" s="12">
        <v>21</v>
      </c>
      <c r="G1269" s="12">
        <f>SUM(E1269:F1269)</f>
        <v>31</v>
      </c>
      <c r="H1269" s="12"/>
      <c r="I1269" s="12"/>
      <c r="J1269" s="12">
        <v>35</v>
      </c>
      <c r="K1269" s="12">
        <f>SUM(G1269:J1269)</f>
        <v>66</v>
      </c>
      <c r="L1269" t="str">
        <f t="shared" ref="L1269:L1280" si="111">IF(K1269&gt;=80,"A",IF(K1269&gt;=70,"B+",IF(K1269&gt;=60,"B",IF(K1269&gt;=55,"C+",IF(K1269&gt;=50,"C",IF(K1269&gt;=45,"D+",IF(K1269&gt;=40,"D","F")))))))</f>
        <v>B</v>
      </c>
      <c r="M1269" t="str">
        <f t="shared" ref="M1269:M1280" si="112">IF(K1269&gt;=50,"Passed","Failed")</f>
        <v>Passed</v>
      </c>
      <c r="N1269" t="s">
        <v>21</v>
      </c>
      <c r="O1269">
        <f>COUNT(J1269:J1280)</f>
        <v>9</v>
      </c>
    </row>
    <row r="1270" spans="1:22" x14ac:dyDescent="0.3">
      <c r="A1270" s="12">
        <v>2</v>
      </c>
      <c r="B1270" s="60" t="s">
        <v>147</v>
      </c>
      <c r="C1270" s="12" t="s">
        <v>95</v>
      </c>
      <c r="D1270" s="12" t="s">
        <v>1342</v>
      </c>
      <c r="E1270" s="12">
        <v>10</v>
      </c>
      <c r="F1270" s="12">
        <v>22</v>
      </c>
      <c r="G1270" s="12">
        <f t="shared" ref="G1270:G1280" si="113">SUM(E1270:F1270)</f>
        <v>32</v>
      </c>
      <c r="H1270" s="12"/>
      <c r="I1270" s="12"/>
      <c r="J1270" s="12">
        <v>54</v>
      </c>
      <c r="K1270" s="12">
        <f t="shared" ref="K1270:K1280" si="114">SUM(G1270:J1270)</f>
        <v>86</v>
      </c>
      <c r="L1270" t="str">
        <f t="shared" si="111"/>
        <v>A</v>
      </c>
      <c r="M1270" t="str">
        <f t="shared" si="112"/>
        <v>Passed</v>
      </c>
      <c r="N1270" t="s">
        <v>22</v>
      </c>
      <c r="O1270">
        <f>O1268-O1269</f>
        <v>0</v>
      </c>
    </row>
    <row r="1271" spans="1:22" x14ac:dyDescent="0.3">
      <c r="A1271" s="12">
        <v>3</v>
      </c>
      <c r="B1271" s="12" t="s">
        <v>155</v>
      </c>
      <c r="C1271" s="12" t="s">
        <v>103</v>
      </c>
      <c r="D1271" s="12" t="s">
        <v>1345</v>
      </c>
      <c r="E1271" s="12">
        <v>10</v>
      </c>
      <c r="F1271" s="12">
        <v>21</v>
      </c>
      <c r="G1271" s="12">
        <f t="shared" si="113"/>
        <v>31</v>
      </c>
      <c r="H1271" s="12"/>
      <c r="I1271" s="12"/>
      <c r="J1271" s="12">
        <v>30</v>
      </c>
      <c r="K1271" s="12">
        <f t="shared" si="114"/>
        <v>61</v>
      </c>
      <c r="L1271" t="str">
        <f t="shared" si="111"/>
        <v>B</v>
      </c>
      <c r="M1271" t="str">
        <f t="shared" si="112"/>
        <v>Passed</v>
      </c>
      <c r="N1271" t="s">
        <v>23</v>
      </c>
      <c r="O1271">
        <f>COUNTIF(M1269:M1280,"Passed")</f>
        <v>9</v>
      </c>
    </row>
    <row r="1272" spans="1:22" x14ac:dyDescent="0.3">
      <c r="A1272" s="50">
        <v>4</v>
      </c>
      <c r="B1272" s="12" t="s">
        <v>182</v>
      </c>
      <c r="C1272" s="12" t="s">
        <v>105</v>
      </c>
      <c r="D1272" s="12" t="s">
        <v>1340</v>
      </c>
      <c r="E1272" s="12"/>
      <c r="F1272" s="12"/>
      <c r="G1272" s="12"/>
      <c r="H1272" s="12"/>
      <c r="I1272" s="12"/>
      <c r="J1272" s="12"/>
      <c r="K1272" s="12"/>
      <c r="N1272" t="s">
        <v>24</v>
      </c>
      <c r="O1272">
        <f>O1271/O1269%</f>
        <v>100</v>
      </c>
    </row>
    <row r="1273" spans="1:22" x14ac:dyDescent="0.3">
      <c r="A1273" s="12">
        <v>5</v>
      </c>
      <c r="B1273" s="12" t="s">
        <v>161</v>
      </c>
      <c r="C1273" s="12" t="s">
        <v>111</v>
      </c>
      <c r="D1273" s="12" t="s">
        <v>1340</v>
      </c>
      <c r="E1273" s="12"/>
      <c r="F1273" s="12"/>
      <c r="G1273" s="12"/>
      <c r="H1273" s="12"/>
      <c r="I1273" s="12"/>
      <c r="J1273" s="12"/>
      <c r="K1273" s="12"/>
      <c r="N1273" t="s">
        <v>25</v>
      </c>
      <c r="O1273">
        <f>COUNTIF(M1269:M1280,"failed")</f>
        <v>0</v>
      </c>
    </row>
    <row r="1274" spans="1:22" x14ac:dyDescent="0.3">
      <c r="A1274" s="12">
        <v>6</v>
      </c>
      <c r="B1274" s="12" t="s">
        <v>169</v>
      </c>
      <c r="C1274" s="12" t="s">
        <v>122</v>
      </c>
      <c r="D1274" s="12" t="s">
        <v>1340</v>
      </c>
      <c r="E1274" s="12"/>
      <c r="F1274" s="12"/>
      <c r="G1274" s="12"/>
      <c r="H1274" s="12"/>
      <c r="I1274" s="12"/>
      <c r="J1274" s="12"/>
      <c r="K1274" s="12"/>
      <c r="N1274" t="s">
        <v>26</v>
      </c>
      <c r="O1274">
        <f>O1273/O1269%</f>
        <v>0</v>
      </c>
    </row>
    <row r="1275" spans="1:22" x14ac:dyDescent="0.3">
      <c r="A1275" s="12">
        <v>7</v>
      </c>
      <c r="B1275" s="12" t="s">
        <v>421</v>
      </c>
      <c r="C1275" s="12" t="s">
        <v>129</v>
      </c>
      <c r="D1275" s="12" t="s">
        <v>1346</v>
      </c>
      <c r="E1275" s="12">
        <v>10</v>
      </c>
      <c r="F1275" s="12">
        <v>26</v>
      </c>
      <c r="G1275" s="12">
        <f t="shared" si="113"/>
        <v>36</v>
      </c>
      <c r="H1275" s="12"/>
      <c r="I1275" s="12"/>
      <c r="J1275" s="12">
        <v>42</v>
      </c>
      <c r="K1275" s="12">
        <f t="shared" si="114"/>
        <v>78</v>
      </c>
      <c r="L1275" t="str">
        <f t="shared" si="111"/>
        <v>B+</v>
      </c>
      <c r="M1275" t="str">
        <f t="shared" si="112"/>
        <v>Passed</v>
      </c>
      <c r="N1275" t="s">
        <v>27</v>
      </c>
      <c r="O1275">
        <f>AVERAGE(K1269:K1280)</f>
        <v>67.333333333333329</v>
      </c>
    </row>
    <row r="1276" spans="1:22" x14ac:dyDescent="0.3">
      <c r="A1276" s="12">
        <v>8</v>
      </c>
      <c r="B1276" s="12" t="s">
        <v>177</v>
      </c>
      <c r="C1276" s="12" t="s">
        <v>132</v>
      </c>
      <c r="D1276" s="12" t="s">
        <v>1349</v>
      </c>
      <c r="E1276" s="12">
        <v>10</v>
      </c>
      <c r="F1276" s="12">
        <v>28</v>
      </c>
      <c r="G1276" s="12">
        <f t="shared" si="113"/>
        <v>38</v>
      </c>
      <c r="H1276" s="12"/>
      <c r="I1276" s="12"/>
      <c r="J1276" s="12">
        <v>37</v>
      </c>
      <c r="K1276" s="12">
        <f t="shared" si="114"/>
        <v>75</v>
      </c>
      <c r="L1276" t="str">
        <f t="shared" si="111"/>
        <v>B+</v>
      </c>
      <c r="M1276" t="str">
        <f t="shared" si="112"/>
        <v>Passed</v>
      </c>
    </row>
    <row r="1277" spans="1:22" x14ac:dyDescent="0.3">
      <c r="A1277" s="12">
        <v>9</v>
      </c>
      <c r="B1277" s="12" t="s">
        <v>179</v>
      </c>
      <c r="C1277" s="12" t="s">
        <v>134</v>
      </c>
      <c r="D1277" s="12" t="s">
        <v>1347</v>
      </c>
      <c r="E1277" s="12">
        <v>10</v>
      </c>
      <c r="F1277" s="12">
        <v>18</v>
      </c>
      <c r="G1277" s="12">
        <f t="shared" si="113"/>
        <v>28</v>
      </c>
      <c r="H1277" s="12"/>
      <c r="I1277" s="12"/>
      <c r="J1277" s="12">
        <v>22</v>
      </c>
      <c r="K1277" s="12">
        <f t="shared" si="114"/>
        <v>50</v>
      </c>
      <c r="L1277" t="str">
        <f t="shared" si="111"/>
        <v>C</v>
      </c>
      <c r="M1277" t="str">
        <f t="shared" si="112"/>
        <v>Passed</v>
      </c>
    </row>
    <row r="1278" spans="1:22" x14ac:dyDescent="0.3">
      <c r="A1278" s="12">
        <v>10</v>
      </c>
      <c r="B1278" s="12" t="s">
        <v>180</v>
      </c>
      <c r="C1278" s="12" t="s">
        <v>136</v>
      </c>
      <c r="D1278" s="12" t="s">
        <v>1341</v>
      </c>
      <c r="E1278" s="12">
        <v>9</v>
      </c>
      <c r="F1278" s="12">
        <v>21</v>
      </c>
      <c r="G1278" s="12">
        <f t="shared" si="113"/>
        <v>30</v>
      </c>
      <c r="H1278" s="12"/>
      <c r="I1278" s="12"/>
      <c r="J1278" s="12">
        <v>30</v>
      </c>
      <c r="K1278" s="12">
        <f t="shared" si="114"/>
        <v>60</v>
      </c>
      <c r="L1278" t="str">
        <f t="shared" si="111"/>
        <v>B</v>
      </c>
      <c r="M1278" t="str">
        <f t="shared" si="112"/>
        <v>Passed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 t="s">
        <v>33</v>
      </c>
      <c r="U1278" t="s">
        <v>34</v>
      </c>
      <c r="V1278" t="s">
        <v>35</v>
      </c>
    </row>
    <row r="1279" spans="1:22" x14ac:dyDescent="0.3">
      <c r="A1279" s="12">
        <v>11</v>
      </c>
      <c r="B1279" s="12" t="s">
        <v>183</v>
      </c>
      <c r="C1279" s="12" t="s">
        <v>140</v>
      </c>
      <c r="D1279" s="12" t="s">
        <v>1348</v>
      </c>
      <c r="E1279" s="12">
        <v>9</v>
      </c>
      <c r="F1279" s="12">
        <v>24</v>
      </c>
      <c r="G1279" s="12">
        <f t="shared" si="113"/>
        <v>33</v>
      </c>
      <c r="H1279" s="12"/>
      <c r="I1279" s="12"/>
      <c r="J1279" s="12">
        <v>34</v>
      </c>
      <c r="K1279" s="12">
        <f t="shared" si="114"/>
        <v>67</v>
      </c>
      <c r="L1279" t="str">
        <f t="shared" si="111"/>
        <v>B</v>
      </c>
      <c r="M1279" t="str">
        <f t="shared" si="112"/>
        <v>Passed</v>
      </c>
      <c r="O1279">
        <f>COUNTIF(L1269:L1280,"A")</f>
        <v>1</v>
      </c>
      <c r="P1279">
        <f>COUNTIF(L1269:L1280,"B+")</f>
        <v>2</v>
      </c>
      <c r="Q1279">
        <f>COUNTIF(L1269:L1280,"B")</f>
        <v>5</v>
      </c>
      <c r="R1279">
        <f>COUNTIF(L1269:L1280,"C+")</f>
        <v>0</v>
      </c>
      <c r="S1279">
        <f>COUNTIF(L1269:L1280,"C")</f>
        <v>1</v>
      </c>
      <c r="T1279">
        <f>COUNTIF(L1269:L1280,"D+")</f>
        <v>0</v>
      </c>
      <c r="U1279">
        <f>COUNTIF(L1269:L1280,"D")</f>
        <v>0</v>
      </c>
      <c r="V1279">
        <f>COUNTIF(L1269:L1280,"F")</f>
        <v>0</v>
      </c>
    </row>
    <row r="1280" spans="1:22" x14ac:dyDescent="0.3">
      <c r="A1280" s="12">
        <v>12</v>
      </c>
      <c r="B1280" s="12" t="s">
        <v>184</v>
      </c>
      <c r="C1280" s="12" t="s">
        <v>142</v>
      </c>
      <c r="D1280" s="12" t="s">
        <v>1344</v>
      </c>
      <c r="E1280" s="12">
        <v>9</v>
      </c>
      <c r="F1280" s="12">
        <v>12</v>
      </c>
      <c r="G1280" s="12">
        <f t="shared" si="113"/>
        <v>21</v>
      </c>
      <c r="H1280" s="12"/>
      <c r="I1280" s="12"/>
      <c r="J1280" s="12">
        <v>42</v>
      </c>
      <c r="K1280" s="12">
        <f t="shared" si="114"/>
        <v>63</v>
      </c>
      <c r="L1280" t="str">
        <f t="shared" si="111"/>
        <v>B</v>
      </c>
      <c r="M1280" t="str">
        <f t="shared" si="112"/>
        <v>Passed</v>
      </c>
    </row>
  </sheetData>
  <mergeCells count="178">
    <mergeCell ref="B1262:C1262"/>
    <mergeCell ref="B1263:C1263"/>
    <mergeCell ref="B1264:C1264"/>
    <mergeCell ref="B1265:C1265"/>
    <mergeCell ref="B1227:C1227"/>
    <mergeCell ref="B1228:C1228"/>
    <mergeCell ref="B1229:C1229"/>
    <mergeCell ref="A1259:C1259"/>
    <mergeCell ref="B1260:C1260"/>
    <mergeCell ref="B1261:C1261"/>
    <mergeCell ref="B1196:C1196"/>
    <mergeCell ref="B1197:C1197"/>
    <mergeCell ref="A1223:C1223"/>
    <mergeCell ref="B1224:C1224"/>
    <mergeCell ref="B1225:C1225"/>
    <mergeCell ref="B1226:C1226"/>
    <mergeCell ref="B1163:C1163"/>
    <mergeCell ref="A1191:C1191"/>
    <mergeCell ref="B1192:C1192"/>
    <mergeCell ref="B1193:C1193"/>
    <mergeCell ref="B1194:C1194"/>
    <mergeCell ref="B1195:C1195"/>
    <mergeCell ref="A1157:C1157"/>
    <mergeCell ref="B1158:C1158"/>
    <mergeCell ref="B1159:C1159"/>
    <mergeCell ref="B1160:C1160"/>
    <mergeCell ref="B1161:C1161"/>
    <mergeCell ref="B1162:C1162"/>
    <mergeCell ref="B1122:C1122"/>
    <mergeCell ref="B1123:C1123"/>
    <mergeCell ref="B1124:C1124"/>
    <mergeCell ref="B1125:C1125"/>
    <mergeCell ref="B1126:C1126"/>
    <mergeCell ref="B1127:C1127"/>
    <mergeCell ref="B1091:C1091"/>
    <mergeCell ref="B1092:C1092"/>
    <mergeCell ref="B1093:C1093"/>
    <mergeCell ref="B1094:C1094"/>
    <mergeCell ref="B1095:C1095"/>
    <mergeCell ref="A1121:C1121"/>
    <mergeCell ref="B1057:C1057"/>
    <mergeCell ref="B1058:C1058"/>
    <mergeCell ref="B1059:C1059"/>
    <mergeCell ref="B1060:C1060"/>
    <mergeCell ref="A1089:C1089"/>
    <mergeCell ref="B1090:C1090"/>
    <mergeCell ref="B1023:C1023"/>
    <mergeCell ref="B1024:C1024"/>
    <mergeCell ref="B1025:C1025"/>
    <mergeCell ref="A1054:C1054"/>
    <mergeCell ref="B1055:C1055"/>
    <mergeCell ref="B1056:C1056"/>
    <mergeCell ref="B992:C992"/>
    <mergeCell ref="B993:C993"/>
    <mergeCell ref="A1019:C1019"/>
    <mergeCell ref="B1020:C1020"/>
    <mergeCell ref="B1021:C1021"/>
    <mergeCell ref="B1022:C1022"/>
    <mergeCell ref="B959:C959"/>
    <mergeCell ref="A987:C987"/>
    <mergeCell ref="B988:C988"/>
    <mergeCell ref="B989:C989"/>
    <mergeCell ref="B990:C990"/>
    <mergeCell ref="B991:C991"/>
    <mergeCell ref="A953:C953"/>
    <mergeCell ref="B954:C954"/>
    <mergeCell ref="B955:C955"/>
    <mergeCell ref="B956:C956"/>
    <mergeCell ref="B957:C957"/>
    <mergeCell ref="B958:C958"/>
    <mergeCell ref="B921:C921"/>
    <mergeCell ref="B922:C922"/>
    <mergeCell ref="B923:C923"/>
    <mergeCell ref="B924:C924"/>
    <mergeCell ref="B925:C925"/>
    <mergeCell ref="B926:C926"/>
    <mergeCell ref="B887:C887"/>
    <mergeCell ref="B888:C888"/>
    <mergeCell ref="B889:C889"/>
    <mergeCell ref="B890:C890"/>
    <mergeCell ref="B891:C891"/>
    <mergeCell ref="A920:C920"/>
    <mergeCell ref="B831:C831"/>
    <mergeCell ref="B832:C832"/>
    <mergeCell ref="B833:C833"/>
    <mergeCell ref="B834:C834"/>
    <mergeCell ref="A885:C885"/>
    <mergeCell ref="B886:C886"/>
    <mergeCell ref="B791:C791"/>
    <mergeCell ref="B792:C792"/>
    <mergeCell ref="B793:C793"/>
    <mergeCell ref="B794:C794"/>
    <mergeCell ref="A829:C829"/>
    <mergeCell ref="B830:C830"/>
    <mergeCell ref="B747:C747"/>
    <mergeCell ref="B748:C748"/>
    <mergeCell ref="B749:C749"/>
    <mergeCell ref="A788:C788"/>
    <mergeCell ref="B789:C789"/>
    <mergeCell ref="B790:C790"/>
    <mergeCell ref="B694:C694"/>
    <mergeCell ref="B695:C695"/>
    <mergeCell ref="B696:C696"/>
    <mergeCell ref="A744:C744"/>
    <mergeCell ref="B745:C745"/>
    <mergeCell ref="B746:C746"/>
    <mergeCell ref="B643:C643"/>
    <mergeCell ref="B644:C644"/>
    <mergeCell ref="A690:C690"/>
    <mergeCell ref="B691:C691"/>
    <mergeCell ref="B692:C692"/>
    <mergeCell ref="B693:C693"/>
    <mergeCell ref="B571:C571"/>
    <mergeCell ref="A638:C638"/>
    <mergeCell ref="B639:C639"/>
    <mergeCell ref="B640:C640"/>
    <mergeCell ref="B641:C641"/>
    <mergeCell ref="B642:C642"/>
    <mergeCell ref="A565:C565"/>
    <mergeCell ref="B566:C566"/>
    <mergeCell ref="B567:C567"/>
    <mergeCell ref="B568:C568"/>
    <mergeCell ref="B569:C569"/>
    <mergeCell ref="B570:C570"/>
    <mergeCell ref="B488:C488"/>
    <mergeCell ref="B489:C489"/>
    <mergeCell ref="B490:C490"/>
    <mergeCell ref="B491:C491"/>
    <mergeCell ref="B492:C492"/>
    <mergeCell ref="B493:C493"/>
    <mergeCell ref="B414:C414"/>
    <mergeCell ref="B415:C415"/>
    <mergeCell ref="B416:C416"/>
    <mergeCell ref="B417:C417"/>
    <mergeCell ref="B418:C418"/>
    <mergeCell ref="A487:C487"/>
    <mergeCell ref="B364:C364"/>
    <mergeCell ref="B365:C365"/>
    <mergeCell ref="B366:C366"/>
    <mergeCell ref="B367:C367"/>
    <mergeCell ref="A412:C412"/>
    <mergeCell ref="B413:C413"/>
    <mergeCell ref="B290:C290"/>
    <mergeCell ref="B291:C291"/>
    <mergeCell ref="B292:C292"/>
    <mergeCell ref="A361:C361"/>
    <mergeCell ref="B362:C362"/>
    <mergeCell ref="B363:C363"/>
    <mergeCell ref="B217:C217"/>
    <mergeCell ref="B218:C218"/>
    <mergeCell ref="A286:C286"/>
    <mergeCell ref="B287:C287"/>
    <mergeCell ref="B288:C288"/>
    <mergeCell ref="B289:C289"/>
    <mergeCell ref="B145:C145"/>
    <mergeCell ref="A212:C212"/>
    <mergeCell ref="B213:C213"/>
    <mergeCell ref="B214:C214"/>
    <mergeCell ref="B215:C215"/>
    <mergeCell ref="B216:C216"/>
    <mergeCell ref="B77:C77"/>
    <mergeCell ref="A140:C140"/>
    <mergeCell ref="B141:C141"/>
    <mergeCell ref="B142:C142"/>
    <mergeCell ref="B143:C143"/>
    <mergeCell ref="B144:C144"/>
    <mergeCell ref="A71:C71"/>
    <mergeCell ref="B72:C72"/>
    <mergeCell ref="B73:C73"/>
    <mergeCell ref="B74:C74"/>
    <mergeCell ref="B75:C75"/>
    <mergeCell ref="B76:C76"/>
    <mergeCell ref="A3:C3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6A4C4-0D7F-41B0-86D9-59506E4CAEC8}">
  <sheetPr>
    <pageSetUpPr fitToPage="1"/>
  </sheetPr>
  <dimension ref="A1:V211"/>
  <sheetViews>
    <sheetView topLeftCell="A128" workbookViewId="0">
      <selection activeCell="K128" sqref="K128"/>
    </sheetView>
  </sheetViews>
  <sheetFormatPr defaultRowHeight="14.4" x14ac:dyDescent="0.3"/>
  <cols>
    <col min="1" max="1" width="3.44140625" customWidth="1"/>
    <col min="2" max="2" width="15" customWidth="1"/>
    <col min="3" max="3" width="19.88671875" customWidth="1"/>
    <col min="4" max="4" width="4.109375" customWidth="1"/>
    <col min="5" max="5" width="3.5546875" customWidth="1"/>
    <col min="6" max="6" width="18.88671875" customWidth="1"/>
    <col min="7" max="7" width="5.33203125" customWidth="1"/>
    <col min="8" max="8" width="5.6640625" customWidth="1"/>
    <col min="9" max="9" width="6.88671875" customWidth="1"/>
    <col min="10" max="10" width="8" customWidth="1"/>
    <col min="11" max="11" width="7.6640625" customWidth="1"/>
    <col min="12" max="12" width="8.88671875" customWidth="1"/>
    <col min="13" max="13" width="9.88671875" customWidth="1"/>
    <col min="14" max="14" width="4.33203125" customWidth="1"/>
    <col min="15" max="15" width="5.44140625" customWidth="1"/>
    <col min="16" max="16" width="6.109375" customWidth="1"/>
    <col min="17" max="18" width="5.44140625" customWidth="1"/>
    <col min="19" max="19" width="5.88671875" customWidth="1"/>
    <col min="20" max="20" width="6.109375" customWidth="1"/>
    <col min="21" max="21" width="6.44140625" customWidth="1"/>
  </cols>
  <sheetData>
    <row r="1" spans="1:22" ht="17.399999999999999" x14ac:dyDescent="0.3">
      <c r="A1" s="183"/>
      <c r="B1" s="183"/>
      <c r="C1" s="484" t="s">
        <v>302</v>
      </c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183"/>
      <c r="R1" s="183"/>
      <c r="S1" s="183"/>
      <c r="T1" s="183"/>
      <c r="U1" s="183"/>
      <c r="V1" s="55"/>
    </row>
    <row r="2" spans="1:22" x14ac:dyDescent="0.3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55"/>
    </row>
    <row r="3" spans="1:22" x14ac:dyDescent="0.3">
      <c r="A3" s="184" t="s">
        <v>303</v>
      </c>
      <c r="B3" s="55"/>
      <c r="C3" s="184" t="s">
        <v>304</v>
      </c>
      <c r="D3" s="184"/>
      <c r="E3" s="184"/>
      <c r="F3" s="184"/>
      <c r="G3" s="185"/>
      <c r="H3" s="185"/>
      <c r="I3" s="185"/>
      <c r="J3" s="185"/>
      <c r="K3" s="55"/>
      <c r="L3" s="185" t="s">
        <v>305</v>
      </c>
      <c r="M3" s="55"/>
      <c r="N3" s="185"/>
      <c r="O3" s="185"/>
      <c r="P3" s="185"/>
      <c r="Q3" s="55"/>
      <c r="R3" s="55"/>
      <c r="S3" s="55"/>
      <c r="T3" s="55"/>
      <c r="U3" s="55"/>
      <c r="V3" s="55"/>
    </row>
    <row r="4" spans="1:22" ht="15.6" x14ac:dyDescent="0.3">
      <c r="A4" s="55"/>
      <c r="B4" s="55"/>
      <c r="C4" s="184"/>
      <c r="D4" s="184"/>
      <c r="E4" s="184"/>
      <c r="F4" s="184"/>
      <c r="G4" s="424"/>
      <c r="H4" s="424"/>
      <c r="I4" s="424"/>
      <c r="J4" s="424"/>
      <c r="K4" s="55"/>
      <c r="L4" s="184" t="s">
        <v>306</v>
      </c>
      <c r="M4" s="55"/>
      <c r="N4" s="184"/>
      <c r="O4" s="184"/>
      <c r="P4" s="424"/>
      <c r="Q4" s="424"/>
      <c r="R4" s="55"/>
      <c r="S4" s="55"/>
      <c r="T4" s="55"/>
      <c r="U4" s="55"/>
      <c r="V4" s="55"/>
    </row>
    <row r="5" spans="1:22" ht="15.6" x14ac:dyDescent="0.3">
      <c r="A5" s="187" t="s">
        <v>307</v>
      </c>
      <c r="B5" s="55"/>
      <c r="C5" s="55"/>
      <c r="D5" s="55"/>
      <c r="E5" s="55"/>
      <c r="F5" s="55"/>
      <c r="G5" s="34"/>
      <c r="H5" s="34"/>
      <c r="I5" s="34"/>
      <c r="J5" s="34"/>
      <c r="K5" s="55"/>
      <c r="L5" s="485" t="s">
        <v>1930</v>
      </c>
      <c r="M5" s="485"/>
      <c r="N5" s="485"/>
      <c r="O5" s="485"/>
      <c r="P5" s="485"/>
      <c r="Q5" s="34"/>
      <c r="R5" s="55"/>
      <c r="S5" s="55"/>
      <c r="T5" s="55"/>
      <c r="U5" s="55"/>
      <c r="V5" s="55"/>
    </row>
    <row r="6" spans="1:22" ht="15.6" x14ac:dyDescent="0.3">
      <c r="A6" s="55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55"/>
      <c r="S6" s="55"/>
      <c r="T6" s="55"/>
      <c r="U6" s="55"/>
      <c r="V6" s="55"/>
    </row>
    <row r="7" spans="1:22" x14ac:dyDescent="0.3">
      <c r="A7" s="55"/>
      <c r="B7" s="55"/>
      <c r="C7" s="486" t="s">
        <v>308</v>
      </c>
      <c r="D7" s="486"/>
      <c r="E7" s="486"/>
      <c r="F7" s="48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55"/>
      <c r="R7" s="55"/>
      <c r="S7" s="55"/>
      <c r="T7" s="55"/>
      <c r="U7" s="55"/>
      <c r="V7" s="55"/>
    </row>
    <row r="8" spans="1:22" ht="15" customHeight="1" x14ac:dyDescent="0.3">
      <c r="A8" s="472" t="s">
        <v>309</v>
      </c>
      <c r="B8" s="472" t="s">
        <v>310</v>
      </c>
      <c r="C8" s="472" t="s">
        <v>311</v>
      </c>
      <c r="D8" s="472" t="s">
        <v>312</v>
      </c>
      <c r="E8" s="472" t="s">
        <v>313</v>
      </c>
      <c r="F8" s="472" t="s">
        <v>314</v>
      </c>
      <c r="G8" s="473" t="s">
        <v>315</v>
      </c>
      <c r="H8" s="476" t="s">
        <v>316</v>
      </c>
      <c r="I8" s="477"/>
      <c r="J8" s="477"/>
      <c r="K8" s="478"/>
      <c r="L8" s="479" t="s">
        <v>317</v>
      </c>
      <c r="M8" s="479" t="s">
        <v>318</v>
      </c>
      <c r="N8" s="476" t="s">
        <v>316</v>
      </c>
      <c r="O8" s="477"/>
      <c r="P8" s="477"/>
      <c r="Q8" s="477"/>
      <c r="R8" s="477"/>
      <c r="S8" s="477"/>
      <c r="T8" s="477"/>
      <c r="U8" s="478"/>
      <c r="V8" s="55"/>
    </row>
    <row r="9" spans="1:22" x14ac:dyDescent="0.3">
      <c r="A9" s="472"/>
      <c r="B9" s="472"/>
      <c r="C9" s="472"/>
      <c r="D9" s="472"/>
      <c r="E9" s="472"/>
      <c r="F9" s="472"/>
      <c r="G9" s="474"/>
      <c r="H9" s="419" t="s">
        <v>319</v>
      </c>
      <c r="I9" s="419" t="s">
        <v>320</v>
      </c>
      <c r="J9" s="431" t="s">
        <v>1939</v>
      </c>
      <c r="K9" s="431" t="s">
        <v>1940</v>
      </c>
      <c r="L9" s="480"/>
      <c r="M9" s="480"/>
      <c r="N9" s="189" t="s">
        <v>28</v>
      </c>
      <c r="O9" s="190" t="s">
        <v>29</v>
      </c>
      <c r="P9" s="190" t="s">
        <v>30</v>
      </c>
      <c r="Q9" s="190" t="s">
        <v>31</v>
      </c>
      <c r="R9" s="190" t="s">
        <v>32</v>
      </c>
      <c r="S9" s="190" t="s">
        <v>33</v>
      </c>
      <c r="T9" s="190" t="s">
        <v>34</v>
      </c>
      <c r="U9" s="190" t="s">
        <v>35</v>
      </c>
      <c r="V9" s="55"/>
    </row>
    <row r="10" spans="1:22" ht="20.25" customHeight="1" x14ac:dyDescent="0.3">
      <c r="A10" s="191">
        <v>1</v>
      </c>
      <c r="B10" s="197" t="str">
        <f>'[1]level one'!$C$94</f>
        <v>INS1101H</v>
      </c>
      <c r="C10" s="192" t="str">
        <f>'[1]level one'!$C$95</f>
        <v>Principles of Insurance</v>
      </c>
      <c r="D10" s="428">
        <f>'[1]level one'!$C$96</f>
        <v>3</v>
      </c>
      <c r="E10" s="198" t="s">
        <v>32</v>
      </c>
      <c r="F10" s="198" t="s">
        <v>364</v>
      </c>
      <c r="G10" s="444">
        <v>86</v>
      </c>
      <c r="H10" s="155">
        <f>'FBMS-HND LEVEL ONE'!$O$163</f>
        <v>54</v>
      </c>
      <c r="I10" s="217">
        <f>'FBMS-HND LEVEL ONE'!$O$164</f>
        <v>54</v>
      </c>
      <c r="J10" s="217">
        <f>'FBMS-HND LEVEL ONE'!$O$166</f>
        <v>40</v>
      </c>
      <c r="K10" s="217">
        <f>'FBMS-HND LEVEL ONE'!$O$168</f>
        <v>14</v>
      </c>
      <c r="L10" s="446">
        <f>'FBMS-HND LEVEL ONE'!$O$167</f>
        <v>74.074074074074076</v>
      </c>
      <c r="M10" s="446">
        <f>K10/I10*100</f>
        <v>25.925925925925924</v>
      </c>
      <c r="N10" s="445">
        <f>'FBMS-HND LEVEL ONE'!O175</f>
        <v>1</v>
      </c>
      <c r="O10" s="445">
        <f>'FBMS-HND LEVEL ONE'!P175</f>
        <v>6</v>
      </c>
      <c r="P10" s="445">
        <f>'FBMS-HND LEVEL ONE'!Q175</f>
        <v>14</v>
      </c>
      <c r="Q10" s="445">
        <f>'FBMS-HND LEVEL ONE'!R175</f>
        <v>6</v>
      </c>
      <c r="R10" s="445">
        <f>'FBMS-HND LEVEL ONE'!S175</f>
        <v>13</v>
      </c>
      <c r="S10" s="445">
        <f>'FBMS-HND LEVEL ONE'!T175</f>
        <v>3</v>
      </c>
      <c r="T10" s="445">
        <f>'FBMS-HND LEVEL ONE'!U175</f>
        <v>3</v>
      </c>
      <c r="U10" s="445">
        <f>'FBMS-HND LEVEL ONE'!V175</f>
        <v>8</v>
      </c>
      <c r="V10" s="433">
        <f>SUM(N10:U10)</f>
        <v>54</v>
      </c>
    </row>
    <row r="11" spans="1:22" ht="18" customHeight="1" x14ac:dyDescent="0.3">
      <c r="A11" s="197">
        <v>2</v>
      </c>
      <c r="B11" s="197" t="str">
        <f>'[1]level one'!$C$296</f>
        <v>ENG1101H</v>
      </c>
      <c r="C11" s="192" t="str">
        <f>'[1]level one'!$C$297</f>
        <v>Functional English I</v>
      </c>
      <c r="D11" s="428">
        <f>'[1]level one'!$C$298</f>
        <v>2</v>
      </c>
      <c r="E11" s="198" t="s">
        <v>32</v>
      </c>
      <c r="F11" s="198" t="str">
        <f>'[1]level one'!$C$299</f>
        <v>Dr Ngie Florence</v>
      </c>
      <c r="G11" s="444">
        <v>100</v>
      </c>
      <c r="H11" s="196">
        <v>150</v>
      </c>
      <c r="I11" s="445">
        <v>145</v>
      </c>
      <c r="J11" s="445">
        <v>145</v>
      </c>
      <c r="K11" s="445">
        <v>0</v>
      </c>
      <c r="L11" s="446">
        <f t="shared" ref="L11:L15" si="0">J11/I11*100</f>
        <v>100</v>
      </c>
      <c r="M11" s="446">
        <f t="shared" ref="M11:M15" si="1">K11/I11*100</f>
        <v>0</v>
      </c>
      <c r="N11" s="445">
        <v>3</v>
      </c>
      <c r="O11" s="445">
        <v>50</v>
      </c>
      <c r="P11" s="445">
        <v>60</v>
      </c>
      <c r="Q11" s="445">
        <v>20</v>
      </c>
      <c r="R11" s="445">
        <v>12</v>
      </c>
      <c r="S11" s="445">
        <v>0</v>
      </c>
      <c r="T11" s="445">
        <v>0</v>
      </c>
      <c r="U11" s="445">
        <v>0</v>
      </c>
      <c r="V11" s="433">
        <f t="shared" ref="V11:V14" si="2">SUM(N11:U11)</f>
        <v>145</v>
      </c>
    </row>
    <row r="12" spans="1:22" ht="18" customHeight="1" x14ac:dyDescent="0.3">
      <c r="A12" s="191">
        <v>3</v>
      </c>
      <c r="B12" s="197" t="s">
        <v>62</v>
      </c>
      <c r="C12" s="192" t="s">
        <v>63</v>
      </c>
      <c r="D12" s="428">
        <v>2</v>
      </c>
      <c r="E12" s="198" t="s">
        <v>32</v>
      </c>
      <c r="F12" s="198" t="s">
        <v>419</v>
      </c>
      <c r="G12" s="444">
        <v>100</v>
      </c>
      <c r="H12" s="196">
        <v>148</v>
      </c>
      <c r="I12" s="445">
        <v>144</v>
      </c>
      <c r="J12" s="445">
        <v>117</v>
      </c>
      <c r="K12" s="445">
        <v>27</v>
      </c>
      <c r="L12" s="446">
        <f t="shared" si="0"/>
        <v>81.25</v>
      </c>
      <c r="M12" s="446">
        <f t="shared" si="1"/>
        <v>18.75</v>
      </c>
      <c r="N12" s="445">
        <v>10</v>
      </c>
      <c r="O12" s="445">
        <v>33</v>
      </c>
      <c r="P12" s="445">
        <v>61</v>
      </c>
      <c r="Q12" s="445">
        <v>7</v>
      </c>
      <c r="R12" s="445">
        <v>6</v>
      </c>
      <c r="S12" s="445">
        <v>10</v>
      </c>
      <c r="T12" s="445">
        <v>9</v>
      </c>
      <c r="U12" s="445">
        <v>8</v>
      </c>
      <c r="V12" s="455">
        <f t="shared" si="2"/>
        <v>144</v>
      </c>
    </row>
    <row r="13" spans="1:22" ht="20.25" customHeight="1" x14ac:dyDescent="0.3">
      <c r="A13" s="197">
        <v>4</v>
      </c>
      <c r="B13" s="197" t="str">
        <f>'[1]level two'!$C$36</f>
        <v>ENG 2101H</v>
      </c>
      <c r="C13" s="192" t="str">
        <f>'[1]level two'!$C$37</f>
        <v>Functional English III</v>
      </c>
      <c r="D13" s="428">
        <f>'[1]level two'!$C$38</f>
        <v>2</v>
      </c>
      <c r="E13" s="198" t="s">
        <v>32</v>
      </c>
      <c r="F13" s="198" t="str">
        <f>'[1]level two'!$C$39</f>
        <v>Dr. Ngie Florence</v>
      </c>
      <c r="G13" s="444">
        <v>100</v>
      </c>
      <c r="H13" s="196">
        <v>111</v>
      </c>
      <c r="I13" s="445">
        <v>108</v>
      </c>
      <c r="J13" s="445">
        <v>104</v>
      </c>
      <c r="K13" s="445">
        <v>4</v>
      </c>
      <c r="L13" s="446">
        <f t="shared" si="0"/>
        <v>96.296296296296291</v>
      </c>
      <c r="M13" s="446">
        <f t="shared" si="1"/>
        <v>3.7037037037037033</v>
      </c>
      <c r="N13" s="445">
        <v>13</v>
      </c>
      <c r="O13" s="445">
        <v>32</v>
      </c>
      <c r="P13" s="445">
        <v>42</v>
      </c>
      <c r="Q13" s="445">
        <v>10</v>
      </c>
      <c r="R13" s="445">
        <v>7</v>
      </c>
      <c r="S13" s="445">
        <v>1</v>
      </c>
      <c r="T13" s="445">
        <v>2</v>
      </c>
      <c r="U13" s="445">
        <v>1</v>
      </c>
      <c r="V13" s="433">
        <f t="shared" si="2"/>
        <v>108</v>
      </c>
    </row>
    <row r="14" spans="1:22" ht="20.25" customHeight="1" x14ac:dyDescent="0.3">
      <c r="A14" s="191">
        <v>5</v>
      </c>
      <c r="B14" s="197" t="s">
        <v>1952</v>
      </c>
      <c r="C14" s="192" t="s">
        <v>67</v>
      </c>
      <c r="D14" s="428">
        <v>2</v>
      </c>
      <c r="E14" s="198" t="s">
        <v>32</v>
      </c>
      <c r="F14" s="198" t="s">
        <v>419</v>
      </c>
      <c r="G14" s="444">
        <v>100</v>
      </c>
      <c r="H14" s="196">
        <v>107</v>
      </c>
      <c r="I14" s="445">
        <v>103</v>
      </c>
      <c r="J14" s="445">
        <v>58</v>
      </c>
      <c r="K14" s="445">
        <v>45</v>
      </c>
      <c r="L14" s="446">
        <f t="shared" si="0"/>
        <v>56.310679611650485</v>
      </c>
      <c r="M14" s="446">
        <f t="shared" si="1"/>
        <v>43.689320388349515</v>
      </c>
      <c r="N14" s="445">
        <v>1</v>
      </c>
      <c r="O14" s="445">
        <v>4</v>
      </c>
      <c r="P14" s="445">
        <v>16</v>
      </c>
      <c r="Q14" s="445">
        <v>18</v>
      </c>
      <c r="R14" s="445">
        <v>19</v>
      </c>
      <c r="S14" s="445">
        <v>17</v>
      </c>
      <c r="T14" s="445">
        <v>17</v>
      </c>
      <c r="U14" s="445">
        <v>11</v>
      </c>
      <c r="V14" s="455">
        <f t="shared" si="2"/>
        <v>103</v>
      </c>
    </row>
    <row r="15" spans="1:22" ht="19.5" customHeight="1" x14ac:dyDescent="0.3">
      <c r="A15" s="197">
        <v>6</v>
      </c>
      <c r="B15" s="197" t="str">
        <f>'[1]level two'!$C$141</f>
        <v>COM 2101H</v>
      </c>
      <c r="C15" s="192" t="str">
        <f>'[1]level two'!$C$142</f>
        <v>Computer Science</v>
      </c>
      <c r="D15" s="428">
        <f>'[1]level two'!$C$143</f>
        <v>2</v>
      </c>
      <c r="E15" s="198" t="s">
        <v>32</v>
      </c>
      <c r="F15" s="198" t="str">
        <f>'FBMS-HND LEVEL TWO'!$B$291</f>
        <v>Mr.Nkeng Blaise</v>
      </c>
      <c r="G15" s="444">
        <v>80</v>
      </c>
      <c r="H15" s="196">
        <v>111</v>
      </c>
      <c r="I15" s="445">
        <v>108</v>
      </c>
      <c r="J15" s="445">
        <v>84</v>
      </c>
      <c r="K15" s="445">
        <v>24</v>
      </c>
      <c r="L15" s="446">
        <f t="shared" si="0"/>
        <v>77.777777777777786</v>
      </c>
      <c r="M15" s="446">
        <f t="shared" si="1"/>
        <v>22.222222222222221</v>
      </c>
      <c r="N15" s="445">
        <v>4</v>
      </c>
      <c r="O15" s="445">
        <v>8</v>
      </c>
      <c r="P15" s="445">
        <v>34</v>
      </c>
      <c r="Q15" s="445">
        <v>17</v>
      </c>
      <c r="R15" s="445">
        <v>21</v>
      </c>
      <c r="S15" s="445">
        <v>13</v>
      </c>
      <c r="T15" s="445">
        <v>6</v>
      </c>
      <c r="U15" s="445">
        <v>5</v>
      </c>
      <c r="V15" s="433">
        <f>SUM(N15:U15)</f>
        <v>108</v>
      </c>
    </row>
    <row r="16" spans="1:22" ht="30" customHeight="1" x14ac:dyDescent="0.3">
      <c r="A16" s="191">
        <v>7</v>
      </c>
      <c r="B16" s="197" t="str">
        <f>'[1]level one'!$C$245</f>
        <v>ECO1101H</v>
      </c>
      <c r="C16" s="155" t="str">
        <f>'[1]level one'!$C$246</f>
        <v>Principles of Micro-economics</v>
      </c>
      <c r="D16" s="193">
        <f>'[1]level one'!$C$247</f>
        <v>2</v>
      </c>
      <c r="E16" s="193" t="s">
        <v>32</v>
      </c>
      <c r="F16" s="193" t="s">
        <v>1933</v>
      </c>
      <c r="G16" s="444">
        <v>90</v>
      </c>
      <c r="H16" s="155">
        <f>'FBMS-HND LEVEL ONE'!$O$375</f>
        <v>54</v>
      </c>
      <c r="I16" s="217">
        <f>'FBMS-HND LEVEL ONE'!$O$376</f>
        <v>54</v>
      </c>
      <c r="J16" s="217">
        <f>'FBMS-HND LEVEL ONE'!$O$378</f>
        <v>44</v>
      </c>
      <c r="K16" s="217">
        <f>'FBMS-HND LEVEL ONE'!$O$380</f>
        <v>10</v>
      </c>
      <c r="L16" s="446">
        <f t="shared" ref="L16:L22" si="3">J16/I16*100</f>
        <v>81.481481481481481</v>
      </c>
      <c r="M16" s="446">
        <f t="shared" ref="M16:M22" si="4">K16/I16*100</f>
        <v>18.518518518518519</v>
      </c>
      <c r="N16" s="445">
        <f>'FBMS-HND LEVEL ONE'!O386</f>
        <v>8</v>
      </c>
      <c r="O16" s="445">
        <f>'FBMS-HND LEVEL ONE'!P386</f>
        <v>7</v>
      </c>
      <c r="P16" s="445">
        <f>'FBMS-HND LEVEL ONE'!Q386</f>
        <v>13</v>
      </c>
      <c r="Q16" s="445">
        <f>'FBMS-HND LEVEL ONE'!R386</f>
        <v>7</v>
      </c>
      <c r="R16" s="445">
        <f>'FBMS-HND LEVEL ONE'!S386</f>
        <v>9</v>
      </c>
      <c r="S16" s="445">
        <f>'FBMS-HND LEVEL ONE'!T386</f>
        <v>3</v>
      </c>
      <c r="T16" s="445">
        <f>'FBMS-HND LEVEL ONE'!U386</f>
        <v>3</v>
      </c>
      <c r="U16" s="445">
        <f>'FBMS-HND LEVEL ONE'!V386</f>
        <v>4</v>
      </c>
      <c r="V16" s="433">
        <f t="shared" ref="V16:V21" si="5">SUM(N16:U16)</f>
        <v>54</v>
      </c>
    </row>
    <row r="17" spans="1:22" ht="30" customHeight="1" x14ac:dyDescent="0.3">
      <c r="A17" s="197">
        <v>8</v>
      </c>
      <c r="B17" s="197" t="str">
        <f>'[1]level one'!$C$349</f>
        <v>ECO1102H</v>
      </c>
      <c r="C17" s="155" t="str">
        <f>'[1]level one'!$C$350</f>
        <v>Statuistics and Business Mathematicss</v>
      </c>
      <c r="D17" s="193">
        <f>'[1]level one'!$C$351</f>
        <v>2</v>
      </c>
      <c r="E17" s="193" t="s">
        <v>32</v>
      </c>
      <c r="F17" s="219" t="s">
        <v>364</v>
      </c>
      <c r="G17" s="444">
        <v>92</v>
      </c>
      <c r="H17" s="196">
        <f>'FBMS-HND LEVEL ONE'!$O$529</f>
        <v>56</v>
      </c>
      <c r="I17" s="445">
        <f>'FBMS-HND LEVEL ONE'!$O$530</f>
        <v>55</v>
      </c>
      <c r="J17" s="445">
        <f>'FBMS-HND LEVEL ONE'!$O$532</f>
        <v>43</v>
      </c>
      <c r="K17" s="445">
        <f>'FBMS-HND LEVEL ONE'!$O$534</f>
        <v>12</v>
      </c>
      <c r="L17" s="446">
        <f t="shared" si="3"/>
        <v>78.181818181818187</v>
      </c>
      <c r="M17" s="446">
        <f t="shared" si="4"/>
        <v>21.818181818181817</v>
      </c>
      <c r="N17" s="445">
        <f>'FBMS-HND LEVEL ONE'!O541</f>
        <v>5</v>
      </c>
      <c r="O17" s="445">
        <f>'FBMS-HND LEVEL ONE'!P541</f>
        <v>7</v>
      </c>
      <c r="P17" s="445">
        <f>'FBMS-HND LEVEL ONE'!Q541</f>
        <v>14</v>
      </c>
      <c r="Q17" s="445">
        <f>'FBMS-HND LEVEL ONE'!R541</f>
        <v>6</v>
      </c>
      <c r="R17" s="445">
        <f>'FBMS-HND LEVEL ONE'!S541</f>
        <v>11</v>
      </c>
      <c r="S17" s="445">
        <f>'FBMS-HND LEVEL ONE'!T541</f>
        <v>1</v>
      </c>
      <c r="T17" s="445">
        <f>'FBMS-HND LEVEL ONE'!U541</f>
        <v>4</v>
      </c>
      <c r="U17" s="445">
        <f>'FBMS-HND LEVEL ONE'!V541</f>
        <v>7</v>
      </c>
      <c r="V17" s="433">
        <f t="shared" si="5"/>
        <v>55</v>
      </c>
    </row>
    <row r="18" spans="1:22" ht="30" customHeight="1" x14ac:dyDescent="0.3">
      <c r="A18" s="191">
        <v>9</v>
      </c>
      <c r="B18" s="197" t="s">
        <v>186</v>
      </c>
      <c r="C18" s="155" t="s">
        <v>185</v>
      </c>
      <c r="D18" s="193">
        <v>2</v>
      </c>
      <c r="E18" s="193" t="s">
        <v>32</v>
      </c>
      <c r="F18" s="193" t="s">
        <v>1934</v>
      </c>
      <c r="G18" s="444">
        <v>100</v>
      </c>
      <c r="H18" s="196">
        <f>'FBMS-HND LEVEL ONE'!$O$453</f>
        <v>54</v>
      </c>
      <c r="I18" s="445">
        <f>'FBMS-HND LEVEL ONE'!$O$454</f>
        <v>54</v>
      </c>
      <c r="J18" s="445">
        <f>'FBMS-HND LEVEL ONE'!$O$456</f>
        <v>53</v>
      </c>
      <c r="K18" s="445">
        <f>'FBMS-HND LEVEL ONE'!$O$458</f>
        <v>1</v>
      </c>
      <c r="L18" s="446">
        <f t="shared" si="3"/>
        <v>98.148148148148152</v>
      </c>
      <c r="M18" s="446">
        <f t="shared" si="4"/>
        <v>1.8518518518518516</v>
      </c>
      <c r="N18" s="445">
        <f>'FBMS-HND LEVEL ONE'!O465</f>
        <v>6</v>
      </c>
      <c r="O18" s="445">
        <f>'FBMS-HND LEVEL ONE'!P465</f>
        <v>7</v>
      </c>
      <c r="P18" s="445">
        <f>'FBMS-HND LEVEL ONE'!Q465</f>
        <v>16</v>
      </c>
      <c r="Q18" s="445">
        <f>'FBMS-HND LEVEL ONE'!R465</f>
        <v>10</v>
      </c>
      <c r="R18" s="445">
        <f>'FBMS-HND LEVEL ONE'!S465</f>
        <v>14</v>
      </c>
      <c r="S18" s="445">
        <f>'FBMS-HND LEVEL ONE'!T465</f>
        <v>1</v>
      </c>
      <c r="T18" s="445">
        <f>'FBMS-HND LEVEL ONE'!U465</f>
        <v>0</v>
      </c>
      <c r="U18" s="445">
        <f>'FBMS-HND LEVEL ONE'!V465</f>
        <v>0</v>
      </c>
      <c r="V18" s="433">
        <f t="shared" si="5"/>
        <v>54</v>
      </c>
    </row>
    <row r="19" spans="1:22" ht="30" customHeight="1" x14ac:dyDescent="0.3">
      <c r="A19" s="197">
        <v>10</v>
      </c>
      <c r="B19" s="197" t="str">
        <f>'[1]level two'!$C$207</f>
        <v>ECO 2101H</v>
      </c>
      <c r="C19" s="155" t="str">
        <f>'[1]level two'!$C$208</f>
        <v>Managerial Economics</v>
      </c>
      <c r="D19" s="193">
        <f>'[1]level two'!$C$209</f>
        <v>2</v>
      </c>
      <c r="E19" s="193" t="s">
        <v>32</v>
      </c>
      <c r="F19" s="193" t="s">
        <v>1933</v>
      </c>
      <c r="G19" s="444">
        <v>80</v>
      </c>
      <c r="H19" s="196">
        <f>'FBMS-HND LEVEL TWO'!$O$421</f>
        <v>49</v>
      </c>
      <c r="I19" s="445">
        <f>'FBMS-HND LEVEL TWO'!$O$422</f>
        <v>47</v>
      </c>
      <c r="J19" s="445">
        <f>'FBMS-HND LEVEL TWO'!$O$424</f>
        <v>46</v>
      </c>
      <c r="K19" s="445">
        <f>'FBMS-HND LEVEL TWO'!$O$426</f>
        <v>1</v>
      </c>
      <c r="L19" s="446">
        <f t="shared" si="3"/>
        <v>97.872340425531917</v>
      </c>
      <c r="M19" s="446">
        <f t="shared" si="4"/>
        <v>2.1276595744680851</v>
      </c>
      <c r="N19" s="445">
        <f>'FBMS-HND LEVEL TWO'!O433</f>
        <v>15</v>
      </c>
      <c r="O19" s="445">
        <f>'FBMS-HND LEVEL TWO'!P433</f>
        <v>13</v>
      </c>
      <c r="P19" s="445">
        <f>'FBMS-HND LEVEL TWO'!Q433</f>
        <v>9</v>
      </c>
      <c r="Q19" s="445">
        <f>'FBMS-HND LEVEL TWO'!R433</f>
        <v>4</v>
      </c>
      <c r="R19" s="445">
        <f>'FBMS-HND LEVEL TWO'!S433</f>
        <v>5</v>
      </c>
      <c r="S19" s="445">
        <f>'FBMS-HND LEVEL TWO'!T433</f>
        <v>0</v>
      </c>
      <c r="T19" s="445">
        <f>'FBMS-HND LEVEL TWO'!U433</f>
        <v>0</v>
      </c>
      <c r="U19" s="445">
        <f>'FBMS-HND LEVEL TWO'!V433</f>
        <v>1</v>
      </c>
      <c r="V19" s="433">
        <f t="shared" si="5"/>
        <v>47</v>
      </c>
    </row>
    <row r="20" spans="1:22" ht="45.75" customHeight="1" x14ac:dyDescent="0.3">
      <c r="A20" s="191">
        <v>11</v>
      </c>
      <c r="B20" s="197" t="str">
        <f>'[1]level two'!$C$70</f>
        <v>ECO 2102H</v>
      </c>
      <c r="C20" s="155" t="s">
        <v>1948</v>
      </c>
      <c r="D20" s="193">
        <f>'[1]level two'!$C$72</f>
        <v>2</v>
      </c>
      <c r="E20" s="193" t="s">
        <v>32</v>
      </c>
      <c r="F20" s="193" t="s">
        <v>1936</v>
      </c>
      <c r="G20" s="457">
        <v>100</v>
      </c>
      <c r="H20" s="196">
        <f>'FBMS-HND LEVEL TWO'!$O$148</f>
        <v>51</v>
      </c>
      <c r="I20" s="445">
        <f>'FBMS-HND LEVEL TWO'!$O$149</f>
        <v>49</v>
      </c>
      <c r="J20" s="445">
        <f>'FBMS-HND LEVEL TWO'!$O$151</f>
        <v>49</v>
      </c>
      <c r="K20" s="445">
        <f>'FBMS-HND LEVEL TWO'!$O$153</f>
        <v>0</v>
      </c>
      <c r="L20" s="446">
        <f t="shared" si="3"/>
        <v>100</v>
      </c>
      <c r="M20" s="446">
        <f t="shared" si="4"/>
        <v>0</v>
      </c>
      <c r="N20" s="445">
        <f>'FBMS-HND LEVEL TWO'!O158</f>
        <v>2</v>
      </c>
      <c r="O20" s="445">
        <f>'FBMS-HND LEVEL TWO'!P158</f>
        <v>13</v>
      </c>
      <c r="P20" s="445">
        <f>'FBMS-HND LEVEL TWO'!Q158</f>
        <v>25</v>
      </c>
      <c r="Q20" s="445">
        <f>'FBMS-HND LEVEL TWO'!R158</f>
        <v>8</v>
      </c>
      <c r="R20" s="445">
        <f>'FBMS-HND LEVEL TWO'!S158</f>
        <v>1</v>
      </c>
      <c r="S20" s="445">
        <f>'FBMS-HND LEVEL TWO'!T158</f>
        <v>0</v>
      </c>
      <c r="T20" s="445">
        <f>'FBMS-HND LEVEL TWO'!U158</f>
        <v>0</v>
      </c>
      <c r="U20" s="445">
        <f>'FBMS-HND LEVEL TWO'!V158</f>
        <v>0</v>
      </c>
      <c r="V20" s="433">
        <f t="shared" si="5"/>
        <v>49</v>
      </c>
    </row>
    <row r="21" spans="1:22" ht="30" customHeight="1" x14ac:dyDescent="0.3">
      <c r="A21" s="197">
        <v>12</v>
      </c>
      <c r="B21" s="197" t="s">
        <v>350</v>
      </c>
      <c r="C21" s="224" t="s">
        <v>196</v>
      </c>
      <c r="D21" s="428">
        <v>3</v>
      </c>
      <c r="E21" s="198" t="s">
        <v>32</v>
      </c>
      <c r="F21" s="193" t="s">
        <v>1936</v>
      </c>
      <c r="G21" s="456">
        <v>90</v>
      </c>
      <c r="H21" s="196">
        <v>90</v>
      </c>
      <c r="I21" s="445">
        <v>90</v>
      </c>
      <c r="J21" s="445">
        <v>85</v>
      </c>
      <c r="K21" s="445">
        <v>5</v>
      </c>
      <c r="L21" s="446">
        <f t="shared" si="3"/>
        <v>94.444444444444443</v>
      </c>
      <c r="M21" s="446">
        <f t="shared" si="4"/>
        <v>5.5555555555555554</v>
      </c>
      <c r="N21" s="217">
        <v>27</v>
      </c>
      <c r="O21" s="445">
        <v>33</v>
      </c>
      <c r="P21" s="445">
        <v>15</v>
      </c>
      <c r="Q21" s="445">
        <v>8</v>
      </c>
      <c r="R21" s="447">
        <v>2</v>
      </c>
      <c r="S21" s="445">
        <v>1</v>
      </c>
      <c r="T21" s="445">
        <v>2</v>
      </c>
      <c r="U21" s="445">
        <v>2</v>
      </c>
      <c r="V21" s="433">
        <f t="shared" si="5"/>
        <v>90</v>
      </c>
    </row>
    <row r="22" spans="1:22" x14ac:dyDescent="0.3">
      <c r="A22" s="199"/>
      <c r="B22" s="199"/>
      <c r="C22" s="487" t="s">
        <v>323</v>
      </c>
      <c r="D22" s="488"/>
      <c r="E22" s="488"/>
      <c r="F22" s="489"/>
      <c r="G22" s="199"/>
      <c r="H22" s="200">
        <f>SUM(H10:H21)</f>
        <v>1035</v>
      </c>
      <c r="I22" s="200">
        <f>SUM(I10:I21)</f>
        <v>1011</v>
      </c>
      <c r="J22" s="200">
        <f>SUM(J10:J21)</f>
        <v>868</v>
      </c>
      <c r="K22" s="200">
        <f>SUM(K10:K21)</f>
        <v>143</v>
      </c>
      <c r="L22" s="201">
        <f t="shared" si="3"/>
        <v>85.855588526211662</v>
      </c>
      <c r="M22" s="201">
        <f t="shared" si="4"/>
        <v>14.144411473788329</v>
      </c>
      <c r="N22" s="200">
        <f t="shared" ref="N22:U22" si="6">SUM(N10:N21)</f>
        <v>95</v>
      </c>
      <c r="O22" s="200">
        <f t="shared" si="6"/>
        <v>213</v>
      </c>
      <c r="P22" s="200">
        <f t="shared" si="6"/>
        <v>319</v>
      </c>
      <c r="Q22" s="200">
        <f t="shared" si="6"/>
        <v>121</v>
      </c>
      <c r="R22" s="200">
        <f t="shared" si="6"/>
        <v>120</v>
      </c>
      <c r="S22" s="200">
        <f t="shared" si="6"/>
        <v>50</v>
      </c>
      <c r="T22" s="200">
        <f t="shared" si="6"/>
        <v>46</v>
      </c>
      <c r="U22" s="200">
        <f t="shared" si="6"/>
        <v>47</v>
      </c>
      <c r="V22" s="433">
        <f>SUM(N22:U22)</f>
        <v>1011</v>
      </c>
    </row>
    <row r="23" spans="1:22" ht="15" customHeight="1" x14ac:dyDescent="0.3">
      <c r="A23" s="183"/>
      <c r="B23" s="490" t="s">
        <v>324</v>
      </c>
      <c r="C23" s="490"/>
      <c r="D23" s="490"/>
      <c r="E23" s="490"/>
      <c r="F23" s="490"/>
      <c r="G23" s="490"/>
      <c r="H23" s="490"/>
      <c r="I23" s="490"/>
      <c r="J23" s="490"/>
      <c r="K23" s="490"/>
      <c r="L23" s="490"/>
      <c r="M23" s="490"/>
      <c r="N23" s="490"/>
      <c r="O23" s="490"/>
      <c r="P23" s="490"/>
      <c r="Q23" s="490"/>
      <c r="R23" s="490"/>
      <c r="S23" s="490"/>
      <c r="T23" s="490"/>
      <c r="U23" s="490"/>
      <c r="V23" s="55"/>
    </row>
    <row r="24" spans="1:22" x14ac:dyDescent="0.3">
      <c r="A24" s="183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  <c r="R24" s="202"/>
      <c r="S24" s="202"/>
      <c r="T24" s="202"/>
      <c r="U24" s="55"/>
      <c r="V24" s="55"/>
    </row>
    <row r="25" spans="1:22" ht="15" customHeight="1" x14ac:dyDescent="0.3">
      <c r="A25" s="183"/>
      <c r="B25" s="203" t="s">
        <v>325</v>
      </c>
      <c r="C25" s="421"/>
      <c r="D25" s="491">
        <f t="shared" ref="D25" si="7">$I$22</f>
        <v>1011</v>
      </c>
      <c r="E25" s="491"/>
      <c r="F25" s="205"/>
      <c r="G25" s="205"/>
      <c r="H25" s="205"/>
      <c r="I25" s="483" t="s">
        <v>326</v>
      </c>
      <c r="J25" s="483"/>
      <c r="K25" s="483"/>
      <c r="L25" s="483"/>
      <c r="M25" s="483"/>
      <c r="N25" s="491">
        <f t="shared" ref="N25" si="8">$K$22</f>
        <v>143</v>
      </c>
      <c r="O25" s="491"/>
      <c r="P25" s="183"/>
      <c r="Q25" s="183"/>
      <c r="R25" s="183"/>
      <c r="S25" s="183"/>
      <c r="T25" s="183"/>
      <c r="U25" s="55"/>
      <c r="V25" s="55"/>
    </row>
    <row r="26" spans="1:22" x14ac:dyDescent="0.3">
      <c r="A26" s="183"/>
      <c r="B26" s="483"/>
      <c r="C26" s="483"/>
      <c r="D26" s="483"/>
      <c r="E26" s="483"/>
      <c r="F26" s="420"/>
      <c r="G26" s="420"/>
      <c r="H26" s="420"/>
      <c r="I26" s="55"/>
      <c r="J26" s="55"/>
      <c r="K26" s="55"/>
      <c r="L26" s="55"/>
      <c r="M26" s="55"/>
      <c r="N26" s="483"/>
      <c r="O26" s="483"/>
      <c r="P26" s="183"/>
      <c r="Q26" s="183"/>
      <c r="R26" s="183"/>
      <c r="S26" s="183"/>
      <c r="T26" s="183"/>
      <c r="U26" s="55"/>
      <c r="V26" s="55"/>
    </row>
    <row r="27" spans="1:22" ht="15" customHeight="1" x14ac:dyDescent="0.3">
      <c r="A27" s="183"/>
      <c r="B27" s="483" t="s">
        <v>327</v>
      </c>
      <c r="C27" s="483"/>
      <c r="D27" s="491">
        <f t="shared" ref="D27" si="9">$J$22</f>
        <v>868</v>
      </c>
      <c r="E27" s="491"/>
      <c r="F27" s="420"/>
      <c r="G27" s="420"/>
      <c r="H27" s="420"/>
      <c r="N27" s="492"/>
      <c r="O27" s="492"/>
      <c r="P27" s="183"/>
      <c r="Q27" s="183"/>
      <c r="R27" s="183"/>
      <c r="S27" s="183"/>
      <c r="T27" s="183"/>
      <c r="U27" s="55"/>
      <c r="V27" s="55"/>
    </row>
    <row r="28" spans="1:22" x14ac:dyDescent="0.3">
      <c r="A28" s="183"/>
      <c r="B28" s="420"/>
      <c r="C28" s="420"/>
      <c r="D28" s="207"/>
      <c r="E28" s="420"/>
      <c r="F28" s="420"/>
      <c r="G28" s="420"/>
      <c r="H28" s="420"/>
      <c r="I28" s="481" t="s">
        <v>328</v>
      </c>
      <c r="J28" s="482"/>
      <c r="K28" s="482"/>
      <c r="L28" s="482"/>
      <c r="M28" s="208">
        <f>$L$22</f>
        <v>85.855588526211662</v>
      </c>
      <c r="N28" s="420"/>
      <c r="O28" s="420"/>
      <c r="P28" s="183"/>
      <c r="Q28" s="183"/>
      <c r="R28" s="183"/>
      <c r="S28" s="183"/>
      <c r="T28" s="183"/>
      <c r="U28" s="55"/>
      <c r="V28" s="55"/>
    </row>
    <row r="29" spans="1:22" x14ac:dyDescent="0.3">
      <c r="A29" s="203" t="s">
        <v>329</v>
      </c>
      <c r="B29" s="420"/>
      <c r="C29" s="420"/>
      <c r="D29" s="420"/>
      <c r="E29" s="420"/>
      <c r="F29" s="420"/>
      <c r="G29" s="420"/>
      <c r="H29" s="420"/>
      <c r="I29" s="483"/>
      <c r="J29" s="483"/>
      <c r="K29" s="483"/>
      <c r="L29" s="483"/>
      <c r="M29" s="483"/>
      <c r="N29" s="209"/>
      <c r="O29" s="420"/>
      <c r="P29" s="183"/>
      <c r="Q29" s="183"/>
      <c r="R29" s="183"/>
      <c r="S29" s="183"/>
      <c r="T29" s="183"/>
      <c r="U29" s="55"/>
      <c r="V29" s="55"/>
    </row>
    <row r="30" spans="1:22" x14ac:dyDescent="0.3">
      <c r="A30" s="183"/>
      <c r="B30" s="420"/>
      <c r="C30" s="210"/>
      <c r="D30" s="420"/>
      <c r="E30" s="55"/>
      <c r="F30" s="183"/>
      <c r="G30" s="420"/>
      <c r="H30" s="420"/>
      <c r="I30" s="420"/>
      <c r="J30" s="420"/>
      <c r="K30" s="210"/>
      <c r="L30" s="210"/>
      <c r="M30" s="210"/>
      <c r="N30" s="420"/>
      <c r="O30" s="420"/>
      <c r="P30" s="183"/>
      <c r="Q30" s="183"/>
      <c r="R30" s="183"/>
      <c r="S30" s="183"/>
      <c r="T30" s="183"/>
      <c r="U30" s="183"/>
      <c r="V30" s="55"/>
    </row>
    <row r="31" spans="1:22" x14ac:dyDescent="0.3">
      <c r="A31" s="55"/>
      <c r="B31" s="55"/>
      <c r="C31" s="423" t="str">
        <f>$F$10</f>
        <v>Mme. Lukong Claris</v>
      </c>
      <c r="D31" s="423"/>
      <c r="E31" s="55"/>
      <c r="F31" s="183"/>
      <c r="G31" s="183"/>
      <c r="H31" s="183"/>
      <c r="I31" s="183"/>
      <c r="J31" s="183"/>
      <c r="K31" s="213" t="str">
        <f>$F$11</f>
        <v>Dr Ngie Florence</v>
      </c>
      <c r="L31" s="213"/>
      <c r="M31" s="213"/>
      <c r="N31" s="423"/>
      <c r="O31" s="183"/>
      <c r="P31" s="418" t="str">
        <f>$F$15</f>
        <v>Mr.Nkeng Blaise</v>
      </c>
      <c r="Q31" s="418"/>
      <c r="R31" s="418"/>
      <c r="S31" s="418"/>
      <c r="T31" s="418"/>
      <c r="U31" s="418"/>
      <c r="V31" s="55"/>
    </row>
    <row r="32" spans="1:22" x14ac:dyDescent="0.3">
      <c r="A32" s="55"/>
      <c r="B32" s="55"/>
      <c r="C32" s="423"/>
      <c r="D32" s="423"/>
      <c r="E32" s="55"/>
      <c r="F32" s="183"/>
      <c r="G32" s="183"/>
      <c r="H32" s="183"/>
      <c r="I32" s="183"/>
      <c r="J32" s="183"/>
      <c r="K32" s="213"/>
      <c r="L32" s="213"/>
      <c r="M32" s="213"/>
      <c r="N32" s="423"/>
      <c r="O32" s="183"/>
      <c r="P32" s="183"/>
      <c r="Q32" s="183"/>
      <c r="R32" s="183"/>
      <c r="S32" s="183"/>
      <c r="T32" s="183"/>
      <c r="U32" s="183"/>
      <c r="V32" s="55"/>
    </row>
    <row r="33" spans="1:22" x14ac:dyDescent="0.3">
      <c r="A33" s="55"/>
      <c r="B33" s="55"/>
      <c r="C33" s="423"/>
      <c r="D33" s="423"/>
      <c r="E33" s="55"/>
      <c r="F33" s="183"/>
      <c r="G33" s="183"/>
      <c r="H33" s="183"/>
      <c r="I33" s="183"/>
      <c r="J33" s="183"/>
      <c r="K33" s="213"/>
      <c r="L33" s="213"/>
      <c r="M33" s="213"/>
      <c r="N33" s="423"/>
      <c r="O33" s="183"/>
      <c r="P33" s="183"/>
      <c r="Q33" s="183"/>
      <c r="R33" s="183"/>
      <c r="S33" s="183"/>
      <c r="T33" s="183"/>
      <c r="U33" s="183"/>
      <c r="V33" s="55"/>
    </row>
    <row r="34" spans="1:22" x14ac:dyDescent="0.3">
      <c r="A34" s="423"/>
      <c r="B34" s="423"/>
      <c r="C34" s="423"/>
      <c r="D34" s="423"/>
      <c r="E34" s="210"/>
      <c r="F34" s="210"/>
      <c r="G34" s="183"/>
      <c r="H34" s="183"/>
      <c r="I34" s="183"/>
      <c r="J34" s="183"/>
      <c r="K34" s="423"/>
      <c r="L34" s="423"/>
      <c r="M34" s="423"/>
      <c r="N34" s="423"/>
      <c r="O34" s="183"/>
      <c r="P34" s="183"/>
      <c r="Q34" s="183"/>
      <c r="R34" s="183"/>
      <c r="S34" s="183"/>
      <c r="T34" s="183"/>
      <c r="U34" s="183"/>
      <c r="V34" s="55"/>
    </row>
    <row r="35" spans="1:22" x14ac:dyDescent="0.3">
      <c r="A35" s="423"/>
      <c r="B35" s="423"/>
      <c r="C35" s="422" t="s">
        <v>352</v>
      </c>
      <c r="D35" s="423"/>
      <c r="E35" s="55" t="s">
        <v>330</v>
      </c>
      <c r="F35" s="55" t="s">
        <v>331</v>
      </c>
      <c r="G35" s="183"/>
      <c r="H35" s="183"/>
      <c r="I35" s="183"/>
      <c r="J35" s="183"/>
      <c r="K35" s="423"/>
      <c r="L35" s="423"/>
      <c r="M35" s="423"/>
      <c r="N35" s="423"/>
      <c r="O35" s="183"/>
      <c r="P35" s="183"/>
      <c r="Q35" s="183"/>
      <c r="R35" s="183"/>
      <c r="S35" s="183"/>
      <c r="T35" s="183"/>
      <c r="U35" s="183"/>
      <c r="V35" s="55"/>
    </row>
    <row r="36" spans="1:22" x14ac:dyDescent="0.3">
      <c r="A36" s="183"/>
      <c r="B36" s="183"/>
      <c r="C36" s="423" t="s">
        <v>353</v>
      </c>
      <c r="D36" s="423"/>
      <c r="E36" s="182"/>
      <c r="F36" s="182" t="s">
        <v>332</v>
      </c>
      <c r="G36" s="183"/>
      <c r="H36" s="183"/>
      <c r="I36" s="183"/>
      <c r="J36" s="183"/>
      <c r="K36" s="183"/>
      <c r="L36" s="183"/>
      <c r="M36" s="183"/>
      <c r="N36" s="183"/>
      <c r="O36" s="183"/>
      <c r="P36" s="183"/>
      <c r="Q36" s="183"/>
      <c r="R36" s="183"/>
      <c r="S36" s="183"/>
      <c r="T36" s="183"/>
      <c r="U36" s="183"/>
      <c r="V36" s="55"/>
    </row>
    <row r="49" spans="1:22" ht="17.399999999999999" x14ac:dyDescent="0.3">
      <c r="A49" s="183"/>
      <c r="B49" s="183"/>
      <c r="C49" s="484" t="s">
        <v>302</v>
      </c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183"/>
      <c r="R49" s="183"/>
      <c r="S49" s="183"/>
      <c r="T49" s="183"/>
      <c r="U49" s="183"/>
      <c r="V49" s="55"/>
    </row>
    <row r="50" spans="1:22" x14ac:dyDescent="0.3">
      <c r="A50" s="183"/>
      <c r="B50" s="183"/>
      <c r="C50" s="183"/>
      <c r="D50" s="183"/>
      <c r="E50" s="183"/>
      <c r="F50" s="183"/>
      <c r="G50" s="183"/>
      <c r="H50" s="183"/>
      <c r="I50" s="183"/>
      <c r="J50" s="183"/>
      <c r="K50" s="183"/>
      <c r="L50" s="183"/>
      <c r="M50" s="183"/>
      <c r="N50" s="183"/>
      <c r="O50" s="183"/>
      <c r="P50" s="183"/>
      <c r="Q50" s="183"/>
      <c r="R50" s="183"/>
      <c r="S50" s="183"/>
      <c r="T50" s="183"/>
      <c r="U50" s="183"/>
      <c r="V50" s="55"/>
    </row>
    <row r="51" spans="1:22" x14ac:dyDescent="0.3">
      <c r="A51" s="184" t="s">
        <v>303</v>
      </c>
      <c r="B51" s="55"/>
      <c r="C51" s="184" t="s">
        <v>304</v>
      </c>
      <c r="D51" s="184"/>
      <c r="E51" s="184"/>
      <c r="F51" s="184"/>
      <c r="G51" s="185"/>
      <c r="H51" s="185"/>
      <c r="I51" s="185"/>
      <c r="J51" s="185"/>
      <c r="K51" s="55"/>
      <c r="L51" s="185" t="s">
        <v>333</v>
      </c>
      <c r="M51" s="55"/>
      <c r="N51" s="185"/>
      <c r="O51" s="185"/>
      <c r="P51" s="185"/>
      <c r="Q51" s="55"/>
      <c r="R51" s="55"/>
      <c r="S51" s="55"/>
      <c r="T51" s="55"/>
      <c r="U51" s="55"/>
      <c r="V51" s="55"/>
    </row>
    <row r="52" spans="1:22" ht="15.6" x14ac:dyDescent="0.3">
      <c r="A52" s="55"/>
      <c r="B52" s="55"/>
      <c r="C52" s="184"/>
      <c r="D52" s="184"/>
      <c r="E52" s="184"/>
      <c r="F52" s="184"/>
      <c r="G52" s="424"/>
      <c r="H52" s="424"/>
      <c r="I52" s="424"/>
      <c r="J52" s="424"/>
      <c r="K52" s="55"/>
      <c r="L52" s="184" t="s">
        <v>306</v>
      </c>
      <c r="M52" s="55"/>
      <c r="N52" s="184"/>
      <c r="O52" s="184"/>
      <c r="P52" s="424"/>
      <c r="Q52" s="424"/>
      <c r="R52" s="55"/>
      <c r="S52" s="55"/>
      <c r="T52" s="55"/>
      <c r="U52" s="55"/>
      <c r="V52" s="55"/>
    </row>
    <row r="53" spans="1:22" ht="15.6" x14ac:dyDescent="0.3">
      <c r="A53" s="187" t="s">
        <v>307</v>
      </c>
      <c r="B53" s="55"/>
      <c r="C53" s="55"/>
      <c r="D53" s="55"/>
      <c r="E53" s="55"/>
      <c r="F53" s="55"/>
      <c r="G53" s="34"/>
      <c r="H53" s="34"/>
      <c r="I53" s="34"/>
      <c r="J53" s="34"/>
      <c r="K53" s="55"/>
      <c r="L53" s="485" t="s">
        <v>1930</v>
      </c>
      <c r="M53" s="485"/>
      <c r="N53" s="485"/>
      <c r="O53" s="485"/>
      <c r="P53" s="485"/>
      <c r="Q53" s="34"/>
      <c r="R53" s="55"/>
      <c r="S53" s="55"/>
      <c r="T53" s="55"/>
      <c r="U53" s="55"/>
      <c r="V53" s="55"/>
    </row>
    <row r="54" spans="1:22" ht="15.6" x14ac:dyDescent="0.3">
      <c r="A54" s="55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55"/>
      <c r="S54" s="55"/>
      <c r="T54" s="55"/>
      <c r="U54" s="55"/>
      <c r="V54" s="55"/>
    </row>
    <row r="55" spans="1:22" x14ac:dyDescent="0.3">
      <c r="A55" s="55"/>
      <c r="B55" s="55"/>
      <c r="C55" s="486" t="s">
        <v>308</v>
      </c>
      <c r="D55" s="486"/>
      <c r="E55" s="486"/>
      <c r="F55" s="486"/>
      <c r="G55" s="486"/>
      <c r="H55" s="486"/>
      <c r="I55" s="486"/>
      <c r="J55" s="486"/>
      <c r="K55" s="486"/>
      <c r="L55" s="486"/>
      <c r="M55" s="486"/>
      <c r="N55" s="486"/>
      <c r="O55" s="486"/>
      <c r="P55" s="486"/>
      <c r="Q55" s="55"/>
      <c r="R55" s="55"/>
      <c r="S55" s="55"/>
      <c r="T55" s="55"/>
      <c r="U55" s="55"/>
      <c r="V55" s="55"/>
    </row>
    <row r="56" spans="1:22" x14ac:dyDescent="0.3">
      <c r="A56" s="472" t="s">
        <v>309</v>
      </c>
      <c r="B56" s="472" t="s">
        <v>310</v>
      </c>
      <c r="C56" s="472" t="s">
        <v>311</v>
      </c>
      <c r="D56" s="472" t="s">
        <v>312</v>
      </c>
      <c r="E56" s="472" t="s">
        <v>313</v>
      </c>
      <c r="F56" s="472" t="s">
        <v>314</v>
      </c>
      <c r="G56" s="473" t="s">
        <v>315</v>
      </c>
      <c r="H56" s="476" t="s">
        <v>316</v>
      </c>
      <c r="I56" s="477"/>
      <c r="J56" s="477"/>
      <c r="K56" s="478"/>
      <c r="L56" s="479" t="s">
        <v>317</v>
      </c>
      <c r="M56" s="479" t="s">
        <v>318</v>
      </c>
      <c r="N56" s="476" t="s">
        <v>316</v>
      </c>
      <c r="O56" s="477"/>
      <c r="P56" s="477"/>
      <c r="Q56" s="477"/>
      <c r="R56" s="477"/>
      <c r="S56" s="477"/>
      <c r="T56" s="477"/>
      <c r="U56" s="478"/>
      <c r="V56" s="55"/>
    </row>
    <row r="57" spans="1:22" x14ac:dyDescent="0.3">
      <c r="A57" s="472"/>
      <c r="B57" s="472"/>
      <c r="C57" s="472"/>
      <c r="D57" s="472"/>
      <c r="E57" s="472"/>
      <c r="F57" s="472"/>
      <c r="G57" s="474"/>
      <c r="H57" s="419" t="s">
        <v>319</v>
      </c>
      <c r="I57" s="419" t="s">
        <v>320</v>
      </c>
      <c r="J57" s="430" t="s">
        <v>1939</v>
      </c>
      <c r="K57" s="430" t="s">
        <v>1940</v>
      </c>
      <c r="L57" s="480"/>
      <c r="M57" s="480"/>
      <c r="N57" s="190" t="s">
        <v>28</v>
      </c>
      <c r="O57" s="190" t="s">
        <v>29</v>
      </c>
      <c r="P57" s="190" t="s">
        <v>30</v>
      </c>
      <c r="Q57" s="190" t="s">
        <v>31</v>
      </c>
      <c r="R57" s="190" t="s">
        <v>32</v>
      </c>
      <c r="S57" s="190" t="s">
        <v>33</v>
      </c>
      <c r="T57" s="190" t="s">
        <v>34</v>
      </c>
      <c r="U57" s="190" t="s">
        <v>35</v>
      </c>
      <c r="V57" s="55"/>
    </row>
    <row r="58" spans="1:22" ht="27.6" x14ac:dyDescent="0.3">
      <c r="A58" s="191">
        <v>1</v>
      </c>
      <c r="B58" s="192" t="str">
        <f>'[1]level one'!$C$402</f>
        <v>ACC1102H</v>
      </c>
      <c r="C58" s="192" t="str">
        <f>'[1]level one'!$C$403</f>
        <v>OHADA Financial Accounting I</v>
      </c>
      <c r="D58" s="193">
        <v>3</v>
      </c>
      <c r="E58" s="193" t="s">
        <v>32</v>
      </c>
      <c r="F58" s="198" t="s">
        <v>418</v>
      </c>
      <c r="G58" s="194">
        <v>80</v>
      </c>
      <c r="H58" s="155">
        <f>'FBMS-HND LEVEL ONE'!$O$599</f>
        <v>54</v>
      </c>
      <c r="I58" s="155">
        <f>'FBMS-HND LEVEL ONE'!$O$600</f>
        <v>54</v>
      </c>
      <c r="J58" s="155">
        <f>'FBMS-HND LEVEL ONE'!$O$602</f>
        <v>50</v>
      </c>
      <c r="K58" s="155">
        <f>'FBMS-HND LEVEL ONE'!$O$604</f>
        <v>4</v>
      </c>
      <c r="L58" s="195">
        <f t="shared" ref="L58:L65" si="10">J58/I58*100</f>
        <v>92.592592592592595</v>
      </c>
      <c r="M58" s="195">
        <f>K58/I58*100</f>
        <v>7.4074074074074066</v>
      </c>
      <c r="N58" s="196">
        <f>'FBMS-HND LEVEL ONE'!O612</f>
        <v>3</v>
      </c>
      <c r="O58" s="196">
        <f>'FBMS-HND LEVEL ONE'!P612</f>
        <v>12</v>
      </c>
      <c r="P58" s="196">
        <f>'FBMS-HND LEVEL ONE'!Q612</f>
        <v>23</v>
      </c>
      <c r="Q58" s="196">
        <f>'FBMS-HND LEVEL ONE'!R612</f>
        <v>5</v>
      </c>
      <c r="R58" s="196">
        <f>'FBMS-HND LEVEL ONE'!S612</f>
        <v>7</v>
      </c>
      <c r="S58" s="196">
        <f>'FBMS-HND LEVEL ONE'!T612</f>
        <v>1</v>
      </c>
      <c r="T58" s="196">
        <f>'FBMS-HND LEVEL ONE'!U612</f>
        <v>2</v>
      </c>
      <c r="U58" s="196">
        <f>'FBMS-HND LEVEL ONE'!V612</f>
        <v>1</v>
      </c>
      <c r="V58" s="55">
        <f>SUM(N58:U58)</f>
        <v>54</v>
      </c>
    </row>
    <row r="59" spans="1:22" ht="25.5" customHeight="1" x14ac:dyDescent="0.3">
      <c r="A59" s="197">
        <v>2</v>
      </c>
      <c r="B59" s="192" t="s">
        <v>351</v>
      </c>
      <c r="C59" s="192" t="str">
        <f>'[1]level one'!$C$458</f>
        <v>Principles of Taxation</v>
      </c>
      <c r="D59" s="193">
        <f>'[1]level one'!$C$459</f>
        <v>3</v>
      </c>
      <c r="E59" s="193" t="s">
        <v>32</v>
      </c>
      <c r="F59" s="198" t="str">
        <f>'[1]level one'!$C$460</f>
        <v>Mr Youopouo Maurice</v>
      </c>
      <c r="G59" s="194">
        <v>86</v>
      </c>
      <c r="H59" s="196">
        <f>'FBMS-HND LEVEL ONE'!$O$670</f>
        <v>54</v>
      </c>
      <c r="I59" s="196">
        <f>'FBMS-HND LEVEL ONE'!$O$671</f>
        <v>54</v>
      </c>
      <c r="J59" s="196">
        <f>'FBMS-HND LEVEL ONE'!$O$673</f>
        <v>39</v>
      </c>
      <c r="K59" s="196">
        <f>'FBMS-HND LEVEL ONE'!$O$675</f>
        <v>15</v>
      </c>
      <c r="L59" s="195">
        <f t="shared" si="10"/>
        <v>72.222222222222214</v>
      </c>
      <c r="M59" s="195">
        <f t="shared" ref="M59:M65" si="11">K59/I59*100</f>
        <v>27.777777777777779</v>
      </c>
      <c r="N59" s="196">
        <f>'FBMS-HND LEVEL ONE'!O682</f>
        <v>3</v>
      </c>
      <c r="O59" s="196">
        <f>'FBMS-HND LEVEL ONE'!P682</f>
        <v>9</v>
      </c>
      <c r="P59" s="196">
        <f>'FBMS-HND LEVEL ONE'!Q682</f>
        <v>12</v>
      </c>
      <c r="Q59" s="196">
        <f>'FBMS-HND LEVEL ONE'!R682</f>
        <v>8</v>
      </c>
      <c r="R59" s="196">
        <f>'FBMS-HND LEVEL ONE'!S682</f>
        <v>7</v>
      </c>
      <c r="S59" s="196">
        <f>'FBMS-HND LEVEL ONE'!T682</f>
        <v>0</v>
      </c>
      <c r="T59" s="196">
        <f>'FBMS-HND LEVEL ONE'!U682</f>
        <v>1</v>
      </c>
      <c r="U59" s="196">
        <f>'FBMS-HND LEVEL ONE'!V682</f>
        <v>14</v>
      </c>
      <c r="V59" s="55">
        <f t="shared" ref="V59:V65" si="12">SUM(N59:U59)</f>
        <v>54</v>
      </c>
    </row>
    <row r="60" spans="1:22" ht="27.6" x14ac:dyDescent="0.3">
      <c r="A60" s="191">
        <v>3</v>
      </c>
      <c r="B60" s="192" t="str">
        <f>'[1]level one'!$C$563</f>
        <v>ACC1101H</v>
      </c>
      <c r="C60" s="192" t="str">
        <f>'[1]level one'!$C$564</f>
        <v>Principles of Accounting</v>
      </c>
      <c r="D60" s="193">
        <f>'[1]level one'!$C$565</f>
        <v>3</v>
      </c>
      <c r="E60" s="193" t="s">
        <v>32</v>
      </c>
      <c r="F60" s="198" t="s">
        <v>1949</v>
      </c>
      <c r="G60" s="194">
        <v>80</v>
      </c>
      <c r="H60" s="196">
        <f>'FBMS-HND LEVEL ONE'!$O$813</f>
        <v>56</v>
      </c>
      <c r="I60" s="196">
        <f>'FBMS-HND LEVEL ONE'!$O$814</f>
        <v>55</v>
      </c>
      <c r="J60" s="196">
        <f>'FBMS-HND LEVEL ONE'!$O$816</f>
        <v>41</v>
      </c>
      <c r="K60" s="196">
        <f>'FBMS-HND LEVEL ONE'!$O$818</f>
        <v>14</v>
      </c>
      <c r="L60" s="195">
        <f t="shared" si="10"/>
        <v>74.545454545454547</v>
      </c>
      <c r="M60" s="195">
        <f t="shared" si="11"/>
        <v>25.454545454545453</v>
      </c>
      <c r="N60" s="196">
        <f>'FBMS-HND LEVEL ONE'!O826</f>
        <v>9</v>
      </c>
      <c r="O60" s="196">
        <f>'FBMS-HND LEVEL ONE'!P826</f>
        <v>14</v>
      </c>
      <c r="P60" s="196">
        <f>'FBMS-HND LEVEL ONE'!Q826</f>
        <v>7</v>
      </c>
      <c r="Q60" s="196">
        <f>'FBMS-HND LEVEL ONE'!R826</f>
        <v>4</v>
      </c>
      <c r="R60" s="196">
        <f>'FBMS-HND LEVEL ONE'!S826</f>
        <v>7</v>
      </c>
      <c r="S60" s="196">
        <f>'FBMS-HND LEVEL ONE'!T826</f>
        <v>2</v>
      </c>
      <c r="T60" s="196">
        <f>'FBMS-HND LEVEL ONE'!U826</f>
        <v>3</v>
      </c>
      <c r="U60" s="196">
        <f>'FBMS-HND LEVEL ONE'!V826</f>
        <v>9</v>
      </c>
      <c r="V60" s="55">
        <f t="shared" si="12"/>
        <v>55</v>
      </c>
    </row>
    <row r="61" spans="1:22" ht="31.5" customHeight="1" x14ac:dyDescent="0.3">
      <c r="A61" s="197">
        <v>4</v>
      </c>
      <c r="B61" s="192" t="str">
        <f>'[1]level two'!$C$104</f>
        <v>ACC 2103H</v>
      </c>
      <c r="C61" s="192" t="str">
        <f>'[1]level two'!$C$105</f>
        <v>Cost &amp; Management Accounting II</v>
      </c>
      <c r="D61" s="193">
        <f>'[1]level two'!$C$106</f>
        <v>3</v>
      </c>
      <c r="E61" s="193" t="s">
        <v>32</v>
      </c>
      <c r="F61" s="198" t="s">
        <v>423</v>
      </c>
      <c r="G61" s="194">
        <v>86</v>
      </c>
      <c r="H61" s="196">
        <f>'FBMS-HND LEVEL TWO'!$O$221</f>
        <v>50</v>
      </c>
      <c r="I61" s="196">
        <f>'FBMS-HND LEVEL TWO'!$O$222</f>
        <v>49</v>
      </c>
      <c r="J61" s="196">
        <f>'FBMS-HND LEVEL TWO'!$O$224</f>
        <v>39</v>
      </c>
      <c r="K61" s="196">
        <f>'FBMS-HND LEVEL TWO'!$O$226</f>
        <v>10</v>
      </c>
      <c r="L61" s="195">
        <f t="shared" si="10"/>
        <v>79.591836734693871</v>
      </c>
      <c r="M61" s="195">
        <f t="shared" si="11"/>
        <v>20.408163265306122</v>
      </c>
      <c r="N61" s="196">
        <f>'FBMS-HND LEVEL TWO'!O233</f>
        <v>9</v>
      </c>
      <c r="O61" s="196">
        <f>'FBMS-HND LEVEL TWO'!P233</f>
        <v>4</v>
      </c>
      <c r="P61" s="196">
        <f>'FBMS-HND LEVEL TWO'!Q233</f>
        <v>19</v>
      </c>
      <c r="Q61" s="196">
        <f>'FBMS-HND LEVEL TWO'!R233</f>
        <v>2</v>
      </c>
      <c r="R61" s="196">
        <f>'FBMS-HND LEVEL TWO'!S233</f>
        <v>5</v>
      </c>
      <c r="S61" s="196">
        <f>'FBMS-HND LEVEL TWO'!T233</f>
        <v>2</v>
      </c>
      <c r="T61" s="196">
        <f>'FBMS-HND LEVEL TWO'!U233</f>
        <v>4</v>
      </c>
      <c r="U61" s="196">
        <f>'FBMS-HND LEVEL TWO'!V233</f>
        <v>4</v>
      </c>
      <c r="V61" s="55">
        <f t="shared" si="12"/>
        <v>49</v>
      </c>
    </row>
    <row r="62" spans="1:22" ht="27.6" x14ac:dyDescent="0.3">
      <c r="A62" s="197">
        <v>5</v>
      </c>
      <c r="B62" s="192" t="str">
        <f>'[1]level two'!$C$174</f>
        <v>ACC 2105H</v>
      </c>
      <c r="C62" s="192" t="str">
        <f>'[1]level two'!$C$175</f>
        <v>Taxation I &amp; II</v>
      </c>
      <c r="D62" s="193">
        <f>'[1]level two'!$C$176</f>
        <v>3</v>
      </c>
      <c r="E62" s="193" t="s">
        <v>32</v>
      </c>
      <c r="F62" s="198" t="str">
        <f>'[1]level two'!$C$177</f>
        <v>Mr. Youopouo Maurice</v>
      </c>
      <c r="G62" s="194">
        <v>100</v>
      </c>
      <c r="H62" s="196">
        <f>'FBMS-HND LEVEL TWO'!$O$370</f>
        <v>29</v>
      </c>
      <c r="I62" s="196">
        <f>'FBMS-HND LEVEL TWO'!$O$371</f>
        <v>29</v>
      </c>
      <c r="J62" s="196">
        <f>'FBMS-HND LEVEL TWO'!$O$373</f>
        <v>25</v>
      </c>
      <c r="K62" s="196">
        <f>'FBMS-HND LEVEL TWO'!$O$375</f>
        <v>4</v>
      </c>
      <c r="L62" s="195">
        <f t="shared" si="10"/>
        <v>86.206896551724128</v>
      </c>
      <c r="M62" s="195">
        <f t="shared" si="11"/>
        <v>13.793103448275861</v>
      </c>
      <c r="N62" s="196">
        <f>'FBMS-HND LEVEL TWO'!O382</f>
        <v>5</v>
      </c>
      <c r="O62" s="196">
        <f>'FBMS-HND LEVEL TWO'!P382</f>
        <v>2</v>
      </c>
      <c r="P62" s="196">
        <f>'FBMS-HND LEVEL TWO'!Q382</f>
        <v>8</v>
      </c>
      <c r="Q62" s="196">
        <f>'FBMS-HND LEVEL TWO'!R382</f>
        <v>4</v>
      </c>
      <c r="R62" s="196">
        <f>'FBMS-HND LEVEL TWO'!S382</f>
        <v>6</v>
      </c>
      <c r="S62" s="196">
        <f>'FBMS-HND LEVEL TWO'!T382</f>
        <v>0</v>
      </c>
      <c r="T62" s="196">
        <f>'FBMS-HND LEVEL TWO'!U382</f>
        <v>2</v>
      </c>
      <c r="U62" s="196">
        <f>'FBMS-HND LEVEL TWO'!V382</f>
        <v>2</v>
      </c>
      <c r="V62" s="55">
        <f t="shared" si="12"/>
        <v>29</v>
      </c>
    </row>
    <row r="63" spans="1:22" ht="27.6" x14ac:dyDescent="0.3">
      <c r="A63" s="197">
        <v>6</v>
      </c>
      <c r="B63" s="192" t="str">
        <f>'[1]level two'!$C$332</f>
        <v>ACC 2102H</v>
      </c>
      <c r="C63" s="192" t="str">
        <f>'[1]level two'!$C$333</f>
        <v>OHADA Financial Accounting III</v>
      </c>
      <c r="D63" s="193">
        <f>'[1]level two'!$C$334</f>
        <v>3</v>
      </c>
      <c r="E63" s="193" t="s">
        <v>32</v>
      </c>
      <c r="F63" s="198" t="str">
        <f>'[1]level two'!$C$335</f>
        <v>Mr. Youopouo Maurice</v>
      </c>
      <c r="G63" s="194">
        <v>95</v>
      </c>
      <c r="H63" s="196">
        <f>'FBMS-HND LEVEL TWO'!$O$699</f>
        <v>29</v>
      </c>
      <c r="I63" s="196">
        <f>'FBMS-HND LEVEL TWO'!$O$700</f>
        <v>28</v>
      </c>
      <c r="J63" s="196">
        <f>'FBMS-HND LEVEL TWO'!$O$702</f>
        <v>22</v>
      </c>
      <c r="K63" s="196">
        <f>'FBMS-HND LEVEL TWO'!$O$704</f>
        <v>6</v>
      </c>
      <c r="L63" s="195">
        <f t="shared" si="10"/>
        <v>78.571428571428569</v>
      </c>
      <c r="M63" s="195">
        <f t="shared" si="11"/>
        <v>21.428571428571427</v>
      </c>
      <c r="N63" s="196">
        <f>'FBMS-HND LEVEL TWO'!O711</f>
        <v>3</v>
      </c>
      <c r="O63" s="196">
        <f>'FBMS-HND LEVEL TWO'!P711</f>
        <v>3</v>
      </c>
      <c r="P63" s="196">
        <f>'FBMS-HND LEVEL TWO'!Q711</f>
        <v>7</v>
      </c>
      <c r="Q63" s="196">
        <f>'FBMS-HND LEVEL TWO'!R711</f>
        <v>1</v>
      </c>
      <c r="R63" s="196">
        <f>'FBMS-HND LEVEL TWO'!S711</f>
        <v>8</v>
      </c>
      <c r="S63" s="196">
        <f>'FBMS-HND LEVEL TWO'!T711</f>
        <v>0</v>
      </c>
      <c r="T63" s="196">
        <f>'FBMS-HND LEVEL TWO'!U711</f>
        <v>3</v>
      </c>
      <c r="U63" s="196">
        <f>'FBMS-HND LEVEL TWO'!V711</f>
        <v>3</v>
      </c>
      <c r="V63" s="55">
        <f t="shared" si="12"/>
        <v>28</v>
      </c>
    </row>
    <row r="64" spans="1:22" x14ac:dyDescent="0.3">
      <c r="A64" s="197">
        <v>7</v>
      </c>
      <c r="B64" s="192" t="str">
        <f>'[1]level two'!$C$364</f>
        <v>ACC 2104H</v>
      </c>
      <c r="C64" s="192" t="str">
        <f>'[1]level two'!$C$365</f>
        <v>Company Accounting</v>
      </c>
      <c r="D64" s="193">
        <v>3</v>
      </c>
      <c r="E64" s="193" t="s">
        <v>32</v>
      </c>
      <c r="F64" s="198" t="str">
        <f>'[1]level two'!$C$367</f>
        <v>Mr. Mforsah Roger</v>
      </c>
      <c r="G64" s="194">
        <v>80</v>
      </c>
      <c r="H64" s="196">
        <f>'FBMS-HND LEVEL TWO'!$O$753</f>
        <v>23</v>
      </c>
      <c r="I64" s="196">
        <f>'FBMS-HND LEVEL TWO'!$O$754</f>
        <v>20</v>
      </c>
      <c r="J64" s="196">
        <f>'FBMS-HND LEVEL TWO'!$O$756</f>
        <v>17</v>
      </c>
      <c r="K64" s="196">
        <f>'FBMS-HND LEVEL TWO'!$O$758</f>
        <v>3</v>
      </c>
      <c r="L64" s="195">
        <f t="shared" si="10"/>
        <v>85</v>
      </c>
      <c r="M64" s="195">
        <f t="shared" si="11"/>
        <v>15</v>
      </c>
      <c r="N64" s="196">
        <f>'FBMS-HND LEVEL TWO'!O765</f>
        <v>3</v>
      </c>
      <c r="O64" s="196">
        <f>'FBMS-HND LEVEL TWO'!P765</f>
        <v>2</v>
      </c>
      <c r="P64" s="196">
        <f>'FBMS-HND LEVEL TWO'!Q765</f>
        <v>4</v>
      </c>
      <c r="Q64" s="196">
        <f>'FBMS-HND LEVEL TWO'!R765</f>
        <v>3</v>
      </c>
      <c r="R64" s="196">
        <f>'FBMS-HND LEVEL TWO'!S765</f>
        <v>5</v>
      </c>
      <c r="S64" s="196">
        <f>'FBMS-HND LEVEL TWO'!T765</f>
        <v>0</v>
      </c>
      <c r="T64" s="196">
        <f>'FBMS-HND LEVEL TWO'!U765</f>
        <v>1</v>
      </c>
      <c r="U64" s="196">
        <f>'FBMS-HND LEVEL TWO'!V765</f>
        <v>2</v>
      </c>
      <c r="V64" s="55">
        <f t="shared" si="12"/>
        <v>20</v>
      </c>
    </row>
    <row r="65" spans="1:22" ht="27.6" x14ac:dyDescent="0.3">
      <c r="A65" s="197">
        <v>8</v>
      </c>
      <c r="B65" s="192" t="str">
        <f>'[1]level two'!$C$395</f>
        <v>ACC 2101H</v>
      </c>
      <c r="C65" s="215" t="str">
        <f>'[1]level two'!$C$396</f>
        <v>Computer Asisted Accounting II</v>
      </c>
      <c r="D65" s="193">
        <f>'[1]level two'!$C$397</f>
        <v>3</v>
      </c>
      <c r="E65" s="193" t="s">
        <v>32</v>
      </c>
      <c r="F65" s="198" t="s">
        <v>418</v>
      </c>
      <c r="G65" s="194">
        <v>86</v>
      </c>
      <c r="H65" s="196">
        <f>'FBMS-HND LEVEL TWO'!$O$797</f>
        <v>21</v>
      </c>
      <c r="I65" s="196">
        <f>'FBMS-HND LEVEL TWO'!$O$798</f>
        <v>21</v>
      </c>
      <c r="J65" s="196">
        <f>'FBMS-HND LEVEL TWO'!$O$800</f>
        <v>19</v>
      </c>
      <c r="K65" s="196">
        <f>'FBMS-HND LEVEL TWO'!$O$802</f>
        <v>2</v>
      </c>
      <c r="L65" s="195">
        <f t="shared" si="10"/>
        <v>90.476190476190482</v>
      </c>
      <c r="M65" s="195">
        <f t="shared" si="11"/>
        <v>9.5238095238095237</v>
      </c>
      <c r="N65" s="196">
        <f>'FBMS-HND LEVEL TWO'!O809</f>
        <v>8</v>
      </c>
      <c r="O65" s="196">
        <f>'FBMS-HND LEVEL TWO'!P809</f>
        <v>4</v>
      </c>
      <c r="P65" s="196">
        <f>'FBMS-HND LEVEL TWO'!Q809</f>
        <v>6</v>
      </c>
      <c r="Q65" s="196">
        <f>'FBMS-HND LEVEL TWO'!R809</f>
        <v>0</v>
      </c>
      <c r="R65" s="196">
        <f>'FBMS-HND LEVEL TWO'!S809</f>
        <v>1</v>
      </c>
      <c r="S65" s="196">
        <f>'FBMS-HND LEVEL TWO'!T809</f>
        <v>1</v>
      </c>
      <c r="T65" s="196">
        <f>'FBMS-HND LEVEL TWO'!U809</f>
        <v>0</v>
      </c>
      <c r="U65" s="196">
        <f>'FBMS-HND LEVEL TWO'!V809</f>
        <v>1</v>
      </c>
      <c r="V65" s="55">
        <f t="shared" si="12"/>
        <v>21</v>
      </c>
    </row>
    <row r="66" spans="1:22" x14ac:dyDescent="0.3">
      <c r="A66" s="199"/>
      <c r="B66" s="199"/>
      <c r="C66" s="487" t="s">
        <v>323</v>
      </c>
      <c r="D66" s="488"/>
      <c r="E66" s="488"/>
      <c r="F66" s="489"/>
      <c r="G66" s="199"/>
      <c r="H66" s="200">
        <f>SUM(H58:H65)</f>
        <v>316</v>
      </c>
      <c r="I66" s="200">
        <f>SUM(I58:I65)</f>
        <v>310</v>
      </c>
      <c r="J66" s="200">
        <f>SUM(J58:J65)</f>
        <v>252</v>
      </c>
      <c r="K66" s="200">
        <f>SUM(K58:K65)</f>
        <v>58</v>
      </c>
      <c r="L66" s="201">
        <f>J66/I66*100</f>
        <v>81.290322580645153</v>
      </c>
      <c r="M66" s="201">
        <f>K66/I66*100</f>
        <v>18.70967741935484</v>
      </c>
      <c r="N66" s="200">
        <f t="shared" ref="N66:U66" si="13">SUM(N58:N65)</f>
        <v>43</v>
      </c>
      <c r="O66" s="200">
        <f t="shared" si="13"/>
        <v>50</v>
      </c>
      <c r="P66" s="200">
        <f t="shared" si="13"/>
        <v>86</v>
      </c>
      <c r="Q66" s="200">
        <f>SUM(Q58:Q65)</f>
        <v>27</v>
      </c>
      <c r="R66" s="200">
        <f t="shared" si="13"/>
        <v>46</v>
      </c>
      <c r="S66" s="200">
        <f>SUM(S58:S65)</f>
        <v>6</v>
      </c>
      <c r="T66" s="200">
        <f t="shared" si="13"/>
        <v>16</v>
      </c>
      <c r="U66" s="200">
        <f t="shared" si="13"/>
        <v>36</v>
      </c>
      <c r="V66" s="55">
        <f>SUM(N66:U66)</f>
        <v>310</v>
      </c>
    </row>
    <row r="67" spans="1:22" x14ac:dyDescent="0.3">
      <c r="A67" s="183"/>
      <c r="B67" s="490" t="s">
        <v>324</v>
      </c>
      <c r="C67" s="490"/>
      <c r="D67" s="490"/>
      <c r="E67" s="490"/>
      <c r="F67" s="490"/>
      <c r="G67" s="490"/>
      <c r="H67" s="490"/>
      <c r="I67" s="490"/>
      <c r="J67" s="490"/>
      <c r="K67" s="490"/>
      <c r="L67" s="490"/>
      <c r="M67" s="490"/>
      <c r="N67" s="490"/>
      <c r="O67" s="490"/>
      <c r="P67" s="490"/>
      <c r="Q67" s="490"/>
      <c r="R67" s="490"/>
      <c r="S67" s="490"/>
      <c r="T67" s="490"/>
      <c r="U67" s="490"/>
      <c r="V67" s="55"/>
    </row>
    <row r="68" spans="1:22" x14ac:dyDescent="0.3">
      <c r="A68" s="183"/>
      <c r="B68" s="202"/>
      <c r="C68" s="202"/>
      <c r="D68" s="202"/>
      <c r="E68" s="202"/>
      <c r="F68" s="202"/>
      <c r="G68" s="202"/>
      <c r="H68" s="202"/>
      <c r="I68" s="202"/>
      <c r="J68" s="202"/>
      <c r="K68" s="202"/>
      <c r="L68" s="202"/>
      <c r="M68" s="202"/>
      <c r="N68" s="202"/>
      <c r="O68" s="202"/>
      <c r="P68" s="202"/>
      <c r="Q68" s="202"/>
      <c r="R68" s="202"/>
      <c r="S68" s="202"/>
      <c r="T68" s="202"/>
      <c r="U68" s="55"/>
      <c r="V68" s="55"/>
    </row>
    <row r="69" spans="1:22" x14ac:dyDescent="0.3">
      <c r="A69" s="183"/>
      <c r="B69" s="203" t="s">
        <v>325</v>
      </c>
      <c r="C69" s="421"/>
      <c r="D69" s="491">
        <f t="shared" ref="D69" si="14">$I$66</f>
        <v>310</v>
      </c>
      <c r="E69" s="491"/>
      <c r="F69" s="205"/>
      <c r="G69" s="205"/>
      <c r="H69" s="205"/>
      <c r="I69" s="483" t="s">
        <v>326</v>
      </c>
      <c r="J69" s="483"/>
      <c r="K69" s="483"/>
      <c r="L69" s="483"/>
      <c r="M69" s="483"/>
      <c r="N69" s="491">
        <f t="shared" ref="N69" si="15">$K$66</f>
        <v>58</v>
      </c>
      <c r="O69" s="491"/>
      <c r="P69" s="183"/>
      <c r="Q69" s="183"/>
      <c r="R69" s="183"/>
      <c r="S69" s="183"/>
      <c r="T69" s="183"/>
      <c r="U69" s="55"/>
      <c r="V69" s="55"/>
    </row>
    <row r="70" spans="1:22" x14ac:dyDescent="0.3">
      <c r="A70" s="183"/>
      <c r="B70" s="483" t="s">
        <v>327</v>
      </c>
      <c r="C70" s="483"/>
      <c r="D70" s="491">
        <f t="shared" ref="D70" si="16">$J$66</f>
        <v>252</v>
      </c>
      <c r="E70" s="491"/>
      <c r="F70" s="420"/>
      <c r="G70" s="420"/>
      <c r="H70" s="420"/>
      <c r="N70" s="492"/>
      <c r="O70" s="492"/>
      <c r="P70" s="183"/>
      <c r="Q70" s="183"/>
      <c r="R70" s="183"/>
      <c r="S70" s="183"/>
      <c r="T70" s="183"/>
      <c r="U70" s="55"/>
      <c r="V70" s="55"/>
    </row>
    <row r="71" spans="1:22" x14ac:dyDescent="0.3">
      <c r="A71" s="203" t="s">
        <v>329</v>
      </c>
      <c r="B71" s="420"/>
      <c r="C71" s="420"/>
      <c r="D71" s="420"/>
      <c r="E71" s="420"/>
      <c r="F71" s="420"/>
      <c r="G71" s="420"/>
      <c r="H71" s="420"/>
      <c r="I71" s="491" t="s">
        <v>334</v>
      </c>
      <c r="J71" s="491"/>
      <c r="K71" s="491"/>
      <c r="L71" s="491"/>
      <c r="M71" s="209">
        <f>$L$66</f>
        <v>81.290322580645153</v>
      </c>
      <c r="N71" s="420"/>
      <c r="O71" s="420"/>
      <c r="P71" s="183"/>
      <c r="Q71" s="183"/>
      <c r="R71" s="183"/>
      <c r="S71" s="183"/>
      <c r="T71" s="183"/>
      <c r="U71" s="55"/>
      <c r="V71" s="55"/>
    </row>
    <row r="72" spans="1:22" x14ac:dyDescent="0.3">
      <c r="A72" s="183"/>
      <c r="B72" s="420"/>
      <c r="C72" s="210"/>
      <c r="D72" s="420"/>
      <c r="E72" s="55"/>
      <c r="F72" s="55"/>
      <c r="G72" s="420"/>
      <c r="H72" s="420"/>
      <c r="I72" s="420"/>
      <c r="J72" s="420"/>
      <c r="K72" s="210"/>
      <c r="L72" s="210"/>
      <c r="M72" s="210"/>
      <c r="N72" s="420"/>
      <c r="O72" s="420"/>
      <c r="P72" s="183"/>
      <c r="Q72" s="183"/>
      <c r="R72" s="183"/>
      <c r="S72" s="183"/>
      <c r="T72" s="183"/>
      <c r="U72" s="55"/>
      <c r="V72" s="55"/>
    </row>
    <row r="73" spans="1:22" x14ac:dyDescent="0.3">
      <c r="A73" s="55"/>
      <c r="B73" s="55"/>
      <c r="C73" s="423" t="str">
        <f>$F$58</f>
        <v>Mr.Ngondo Charles</v>
      </c>
      <c r="D73" s="423"/>
      <c r="E73" s="55"/>
      <c r="F73" s="418" t="str">
        <f>$F$60</f>
        <v>Mr Nzebir Chrysantus</v>
      </c>
      <c r="G73" s="183"/>
      <c r="H73" s="183"/>
      <c r="I73" s="183"/>
      <c r="J73" s="183"/>
      <c r="K73" s="213" t="str">
        <f>$F$61</f>
        <v>Mr.Shiyghan Chrysanctus</v>
      </c>
      <c r="L73" s="423"/>
      <c r="M73" s="423"/>
      <c r="N73" s="423"/>
      <c r="O73" s="183"/>
      <c r="P73" s="183"/>
      <c r="Q73" s="183"/>
      <c r="R73" s="183"/>
      <c r="S73" s="183"/>
      <c r="T73" s="183"/>
      <c r="U73" s="183"/>
      <c r="V73" s="55"/>
    </row>
    <row r="74" spans="1:22" x14ac:dyDescent="0.3">
      <c r="A74" s="55"/>
      <c r="B74" s="55"/>
      <c r="C74" s="423"/>
      <c r="D74" s="423"/>
      <c r="E74" s="55"/>
      <c r="F74" s="183"/>
      <c r="G74" s="183"/>
      <c r="H74" s="183"/>
      <c r="I74" s="183"/>
      <c r="J74" s="183"/>
      <c r="K74" s="213"/>
      <c r="L74" s="423"/>
      <c r="M74" s="423"/>
      <c r="N74" s="423"/>
      <c r="O74" s="183"/>
      <c r="P74" s="183"/>
      <c r="Q74" s="183"/>
      <c r="R74" s="183"/>
      <c r="S74" s="183"/>
      <c r="T74" s="183"/>
      <c r="U74" s="183"/>
      <c r="V74" s="55"/>
    </row>
    <row r="75" spans="1:22" x14ac:dyDescent="0.3">
      <c r="A75" s="55"/>
      <c r="B75" s="55"/>
      <c r="C75" s="423"/>
      <c r="D75" s="423"/>
      <c r="E75" s="55"/>
      <c r="F75" s="183"/>
      <c r="G75" s="183"/>
      <c r="H75" s="183"/>
      <c r="I75" s="183"/>
      <c r="J75" s="183"/>
      <c r="K75" s="213"/>
      <c r="L75" s="423"/>
      <c r="M75" s="423"/>
      <c r="N75" s="423"/>
      <c r="O75" s="183"/>
      <c r="P75" s="183"/>
      <c r="Q75" s="183"/>
      <c r="R75" s="183"/>
      <c r="S75" s="183"/>
      <c r="T75" s="183"/>
      <c r="U75" s="183"/>
      <c r="V75" s="55"/>
    </row>
    <row r="76" spans="1:22" x14ac:dyDescent="0.3">
      <c r="A76" s="55"/>
      <c r="B76" s="55"/>
      <c r="C76" s="423"/>
      <c r="D76" s="423"/>
      <c r="E76" s="55"/>
      <c r="F76" s="183"/>
      <c r="G76" s="183"/>
      <c r="H76" s="183"/>
      <c r="I76" s="183"/>
      <c r="J76" s="183"/>
      <c r="K76" s="213"/>
      <c r="L76" s="423"/>
      <c r="M76" s="423"/>
      <c r="N76" s="423"/>
      <c r="O76" s="183"/>
      <c r="P76" s="183"/>
      <c r="Q76" s="183"/>
      <c r="R76" s="183"/>
      <c r="S76" s="183"/>
      <c r="T76" s="183"/>
      <c r="U76" s="183"/>
      <c r="V76" s="55"/>
    </row>
    <row r="77" spans="1:22" x14ac:dyDescent="0.3">
      <c r="A77" s="423"/>
      <c r="B77" s="423"/>
      <c r="C77" s="422" t="s">
        <v>352</v>
      </c>
      <c r="D77" s="423"/>
      <c r="E77" s="55" t="s">
        <v>330</v>
      </c>
      <c r="F77" s="55" t="s">
        <v>331</v>
      </c>
      <c r="G77" s="183"/>
      <c r="H77" s="183"/>
      <c r="I77" s="183"/>
      <c r="J77" s="183"/>
      <c r="K77" s="423"/>
      <c r="L77" s="423"/>
      <c r="M77" s="423"/>
      <c r="N77" s="423"/>
      <c r="O77" s="183"/>
      <c r="P77" s="183"/>
      <c r="Q77" s="183"/>
      <c r="R77" s="183"/>
      <c r="S77" s="183"/>
      <c r="T77" s="183"/>
      <c r="U77" s="183"/>
      <c r="V77" s="55"/>
    </row>
    <row r="78" spans="1:22" x14ac:dyDescent="0.3">
      <c r="A78" s="183"/>
      <c r="B78" s="183"/>
      <c r="C78" s="423" t="s">
        <v>353</v>
      </c>
      <c r="D78" s="423"/>
      <c r="E78" s="182"/>
      <c r="F78" s="182" t="s">
        <v>332</v>
      </c>
      <c r="G78" s="183"/>
      <c r="H78" s="183"/>
      <c r="I78" s="183"/>
      <c r="J78" s="183"/>
      <c r="K78" s="183"/>
      <c r="L78" s="183"/>
      <c r="M78" s="183"/>
      <c r="N78" s="183"/>
      <c r="O78" s="183"/>
      <c r="P78" s="183"/>
      <c r="Q78" s="183"/>
      <c r="R78" s="183"/>
      <c r="S78" s="183"/>
      <c r="T78" s="183"/>
      <c r="U78" s="183"/>
      <c r="V78" s="55"/>
    </row>
    <row r="79" spans="1:22" x14ac:dyDescent="0.3">
      <c r="A79" s="183"/>
      <c r="B79" s="183"/>
      <c r="C79" s="423"/>
      <c r="D79" s="423"/>
      <c r="E79" s="182"/>
      <c r="F79" s="182"/>
      <c r="G79" s="183"/>
      <c r="H79" s="183"/>
      <c r="I79" s="183"/>
      <c r="J79" s="183"/>
      <c r="K79" s="183"/>
      <c r="L79" s="183"/>
      <c r="M79" s="183"/>
      <c r="N79" s="183"/>
      <c r="O79" s="183"/>
      <c r="P79" s="183"/>
      <c r="Q79" s="183"/>
      <c r="R79" s="183"/>
      <c r="S79" s="183"/>
      <c r="T79" s="183"/>
      <c r="U79" s="183"/>
      <c r="V79" s="55"/>
    </row>
    <row r="80" spans="1:22" x14ac:dyDescent="0.3">
      <c r="A80" s="183"/>
      <c r="B80" s="183"/>
      <c r="C80" s="423"/>
      <c r="D80" s="423"/>
      <c r="E80" s="182"/>
      <c r="F80" s="182"/>
      <c r="G80" s="183"/>
      <c r="H80" s="183"/>
      <c r="I80" s="183"/>
      <c r="J80" s="183"/>
      <c r="K80" s="183"/>
      <c r="L80" s="183"/>
      <c r="M80" s="183"/>
      <c r="N80" s="183"/>
      <c r="O80" s="183"/>
      <c r="P80" s="183"/>
      <c r="Q80" s="183"/>
      <c r="R80" s="183"/>
      <c r="S80" s="183"/>
      <c r="T80" s="183"/>
      <c r="U80" s="183"/>
      <c r="V80" s="55"/>
    </row>
    <row r="81" spans="1:22" x14ac:dyDescent="0.3">
      <c r="A81" s="183"/>
      <c r="B81" s="183"/>
      <c r="C81" s="423"/>
      <c r="D81" s="423"/>
      <c r="E81" s="182"/>
      <c r="F81" s="182"/>
      <c r="G81" s="183"/>
      <c r="H81" s="183"/>
      <c r="I81" s="183"/>
      <c r="J81" s="183"/>
      <c r="K81" s="183"/>
      <c r="L81" s="183"/>
      <c r="M81" s="183"/>
      <c r="N81" s="183"/>
      <c r="O81" s="183"/>
      <c r="P81" s="183"/>
      <c r="Q81" s="183"/>
      <c r="R81" s="183"/>
      <c r="S81" s="183"/>
      <c r="T81" s="183"/>
      <c r="U81" s="183"/>
      <c r="V81" s="55"/>
    </row>
    <row r="82" spans="1:22" x14ac:dyDescent="0.3">
      <c r="A82" s="183"/>
      <c r="B82" s="183"/>
      <c r="C82" s="423"/>
      <c r="D82" s="423"/>
      <c r="E82" s="182"/>
      <c r="F82" s="182"/>
      <c r="G82" s="183"/>
      <c r="H82" s="183"/>
      <c r="I82" s="183"/>
      <c r="J82" s="183"/>
      <c r="K82" s="183"/>
      <c r="L82" s="183"/>
      <c r="M82" s="183"/>
      <c r="N82" s="183"/>
      <c r="O82" s="183"/>
      <c r="P82" s="183"/>
      <c r="Q82" s="183"/>
      <c r="R82" s="183"/>
      <c r="S82" s="183"/>
      <c r="T82" s="183"/>
      <c r="U82" s="183"/>
      <c r="V82" s="55"/>
    </row>
    <row r="83" spans="1:22" ht="17.399999999999999" x14ac:dyDescent="0.3">
      <c r="A83" s="183"/>
      <c r="B83" s="183"/>
      <c r="C83" s="484" t="s">
        <v>302</v>
      </c>
      <c r="D83" s="484"/>
      <c r="E83" s="484"/>
      <c r="F83" s="484"/>
      <c r="G83" s="484"/>
      <c r="H83" s="484"/>
      <c r="I83" s="484"/>
      <c r="J83" s="484"/>
      <c r="K83" s="484"/>
      <c r="L83" s="484"/>
      <c r="M83" s="484"/>
      <c r="N83" s="484"/>
      <c r="O83" s="484"/>
      <c r="P83" s="484"/>
      <c r="Q83" s="484"/>
      <c r="R83" s="183"/>
      <c r="S83" s="183"/>
      <c r="T83" s="183"/>
      <c r="U83" s="183"/>
      <c r="V83" s="55"/>
    </row>
    <row r="84" spans="1:22" x14ac:dyDescent="0.3">
      <c r="A84" s="184" t="s">
        <v>335</v>
      </c>
      <c r="B84" s="55"/>
      <c r="C84" s="184"/>
      <c r="D84" s="184"/>
      <c r="E84" s="184"/>
      <c r="F84" s="184"/>
      <c r="G84" s="185"/>
      <c r="H84" s="185"/>
      <c r="I84" s="185"/>
      <c r="J84" s="185"/>
      <c r="K84" s="55"/>
      <c r="L84" s="216" t="s">
        <v>336</v>
      </c>
      <c r="M84" s="55"/>
      <c r="N84" s="185"/>
      <c r="O84" s="185"/>
      <c r="P84" s="185"/>
      <c r="Q84" s="55"/>
      <c r="R84" s="55"/>
      <c r="S84" s="55"/>
      <c r="T84" s="55"/>
      <c r="U84" s="55"/>
      <c r="V84" s="55"/>
    </row>
    <row r="85" spans="1:22" ht="15.6" x14ac:dyDescent="0.3">
      <c r="A85" s="55"/>
      <c r="B85" s="55"/>
      <c r="C85" s="184"/>
      <c r="D85" s="184"/>
      <c r="E85" s="184"/>
      <c r="F85" s="184"/>
      <c r="G85" s="424"/>
      <c r="H85" s="424"/>
      <c r="I85" s="424"/>
      <c r="J85" s="424"/>
      <c r="K85" s="55"/>
      <c r="L85" s="184" t="s">
        <v>306</v>
      </c>
      <c r="M85" s="55"/>
      <c r="N85" s="184"/>
      <c r="O85" s="184"/>
      <c r="P85" s="424"/>
      <c r="Q85" s="424"/>
      <c r="R85" s="55"/>
      <c r="S85" s="55"/>
      <c r="T85" s="55"/>
      <c r="U85" s="55"/>
      <c r="V85" s="55"/>
    </row>
    <row r="86" spans="1:22" ht="15.6" x14ac:dyDescent="0.3">
      <c r="A86" s="187" t="s">
        <v>307</v>
      </c>
      <c r="B86" s="55"/>
      <c r="C86" s="55"/>
      <c r="D86" s="55"/>
      <c r="E86" s="55"/>
      <c r="F86" s="55"/>
      <c r="G86" s="34"/>
      <c r="H86" s="34"/>
      <c r="I86" s="34"/>
      <c r="J86" s="34"/>
      <c r="K86" s="55"/>
      <c r="L86" s="485" t="s">
        <v>1930</v>
      </c>
      <c r="M86" s="485"/>
      <c r="N86" s="485"/>
      <c r="O86" s="485"/>
      <c r="P86" s="485"/>
      <c r="Q86" s="34"/>
      <c r="R86" s="55"/>
      <c r="S86" s="55"/>
      <c r="T86" s="55"/>
      <c r="U86" s="55"/>
      <c r="V86" s="55"/>
    </row>
    <row r="87" spans="1:22" x14ac:dyDescent="0.3">
      <c r="A87" s="55"/>
      <c r="B87" s="55"/>
      <c r="C87" s="486" t="s">
        <v>308</v>
      </c>
      <c r="D87" s="486"/>
      <c r="E87" s="486"/>
      <c r="F87" s="486"/>
      <c r="G87" s="486"/>
      <c r="H87" s="486"/>
      <c r="I87" s="486"/>
      <c r="J87" s="486"/>
      <c r="K87" s="486"/>
      <c r="L87" s="486"/>
      <c r="M87" s="486"/>
      <c r="N87" s="486"/>
      <c r="O87" s="486"/>
      <c r="P87" s="486"/>
      <c r="Q87" s="55"/>
      <c r="R87" s="55"/>
      <c r="S87" s="55"/>
      <c r="T87" s="55"/>
      <c r="U87" s="55"/>
      <c r="V87" s="55"/>
    </row>
    <row r="88" spans="1:22" x14ac:dyDescent="0.3">
      <c r="A88" s="472" t="s">
        <v>309</v>
      </c>
      <c r="B88" s="472" t="s">
        <v>310</v>
      </c>
      <c r="C88" s="472" t="s">
        <v>311</v>
      </c>
      <c r="D88" s="472" t="s">
        <v>312</v>
      </c>
      <c r="E88" s="472" t="s">
        <v>313</v>
      </c>
      <c r="F88" s="472" t="s">
        <v>314</v>
      </c>
      <c r="G88" s="473" t="s">
        <v>315</v>
      </c>
      <c r="H88" s="476" t="s">
        <v>316</v>
      </c>
      <c r="I88" s="477"/>
      <c r="J88" s="477"/>
      <c r="K88" s="478"/>
      <c r="L88" s="419" t="s">
        <v>317</v>
      </c>
      <c r="M88" s="419" t="s">
        <v>318</v>
      </c>
      <c r="N88" s="476" t="s">
        <v>316</v>
      </c>
      <c r="O88" s="477"/>
      <c r="P88" s="477"/>
      <c r="Q88" s="477"/>
      <c r="R88" s="477"/>
      <c r="S88" s="477"/>
      <c r="T88" s="477"/>
      <c r="U88" s="478"/>
      <c r="V88" s="55"/>
    </row>
    <row r="89" spans="1:22" x14ac:dyDescent="0.3">
      <c r="A89" s="472"/>
      <c r="B89" s="472"/>
      <c r="C89" s="472"/>
      <c r="D89" s="472"/>
      <c r="E89" s="472"/>
      <c r="F89" s="472"/>
      <c r="G89" s="493"/>
      <c r="H89" s="419" t="s">
        <v>319</v>
      </c>
      <c r="I89" s="419" t="s">
        <v>320</v>
      </c>
      <c r="J89" s="430" t="s">
        <v>1939</v>
      </c>
      <c r="K89" s="430" t="s">
        <v>1940</v>
      </c>
      <c r="L89" s="419"/>
      <c r="M89" s="419"/>
      <c r="N89" s="190" t="s">
        <v>28</v>
      </c>
      <c r="O89" s="190" t="s">
        <v>29</v>
      </c>
      <c r="P89" s="190" t="s">
        <v>30</v>
      </c>
      <c r="Q89" s="190" t="s">
        <v>31</v>
      </c>
      <c r="R89" s="190" t="s">
        <v>32</v>
      </c>
      <c r="S89" s="190" t="s">
        <v>33</v>
      </c>
      <c r="T89" s="190" t="s">
        <v>34</v>
      </c>
      <c r="U89" s="190" t="s">
        <v>35</v>
      </c>
      <c r="V89" s="55"/>
    </row>
    <row r="90" spans="1:22" ht="31.2" x14ac:dyDescent="0.3">
      <c r="A90" s="217">
        <v>1</v>
      </c>
      <c r="B90" s="218" t="str">
        <f>'[1]level one'!$C$141</f>
        <v>MGT1101H</v>
      </c>
      <c r="C90" s="218" t="str">
        <f>'[1]level one'!$C$142</f>
        <v>Principles of Management</v>
      </c>
      <c r="D90" s="217">
        <f>'[1]level one'!$C$143</f>
        <v>3</v>
      </c>
      <c r="E90" s="217" t="s">
        <v>32</v>
      </c>
      <c r="F90" s="276" t="s">
        <v>1931</v>
      </c>
      <c r="G90" s="238">
        <v>80</v>
      </c>
      <c r="H90" s="217">
        <f>'FBMS-HND LEVEL ONE'!$O$233</f>
        <v>53</v>
      </c>
      <c r="I90" s="220">
        <f>'FBMS-HND LEVEL ONE'!$O$234</f>
        <v>51</v>
      </c>
      <c r="J90" s="220">
        <f>'FBMS-HND LEVEL ONE'!$O$236</f>
        <v>46</v>
      </c>
      <c r="K90" s="220">
        <f>'FBMS-HND LEVEL ONE'!$O$238</f>
        <v>5</v>
      </c>
      <c r="L90" s="221">
        <f t="shared" ref="L90:L95" si="17">J90/I90*100</f>
        <v>90.196078431372555</v>
      </c>
      <c r="M90" s="221">
        <f>K90/I90*100</f>
        <v>9.8039215686274517</v>
      </c>
      <c r="N90" s="220">
        <f>'FBMS-HND LEVEL ONE'!O244</f>
        <v>1</v>
      </c>
      <c r="O90" s="220">
        <f>'FBMS-HND LEVEL ONE'!P244</f>
        <v>7</v>
      </c>
      <c r="P90" s="217">
        <f>'FBMS-HND LEVEL ONE'!Q244</f>
        <v>19</v>
      </c>
      <c r="Q90" s="217">
        <f>'FBMS-HND LEVEL ONE'!R244</f>
        <v>7</v>
      </c>
      <c r="R90" s="217">
        <f>'FBMS-HND LEVEL ONE'!S244</f>
        <v>12</v>
      </c>
      <c r="S90" s="220">
        <f>'FBMS-HND LEVEL ONE'!T244</f>
        <v>2</v>
      </c>
      <c r="T90" s="220">
        <f>'FBMS-HND LEVEL ONE'!U244</f>
        <v>1</v>
      </c>
      <c r="U90" s="220">
        <f>'FBMS-HND LEVEL ONE'!V244</f>
        <v>2</v>
      </c>
      <c r="V90" s="55">
        <f t="shared" ref="V90:V96" si="18">SUM(N90:U90)</f>
        <v>51</v>
      </c>
    </row>
    <row r="91" spans="1:22" ht="30.75" customHeight="1" x14ac:dyDescent="0.3">
      <c r="A91" s="217">
        <v>2</v>
      </c>
      <c r="B91" s="155" t="str">
        <f>'[1]level two'!$C$239</f>
        <v>LAW 2101H</v>
      </c>
      <c r="C91" s="155" t="str">
        <f>'[1]level two'!$C$240</f>
        <v>Business / Company Law</v>
      </c>
      <c r="D91" s="217">
        <f>'[1]level two'!$C$241</f>
        <v>3</v>
      </c>
      <c r="E91" s="217" t="s">
        <v>32</v>
      </c>
      <c r="F91" s="155" t="str">
        <f>'[1]level two'!$C$242</f>
        <v>Mr. Ajong Jude</v>
      </c>
      <c r="G91" s="239">
        <v>100</v>
      </c>
      <c r="H91" s="155">
        <f>'FBMS-HND LEVEL TWO'!$O$496</f>
        <v>49</v>
      </c>
      <c r="I91" s="155">
        <f>'FBMS-HND LEVEL TWO'!$O$497</f>
        <v>48</v>
      </c>
      <c r="J91" s="155">
        <f>'FBMS-HND LEVEL TWO'!$O$499</f>
        <v>38</v>
      </c>
      <c r="K91" s="155">
        <f>'FBMS-HND LEVEL TWO'!$O$501</f>
        <v>10</v>
      </c>
      <c r="L91" s="221">
        <f t="shared" si="17"/>
        <v>79.166666666666657</v>
      </c>
      <c r="M91" s="221">
        <f t="shared" ref="M91:M95" si="19">K91/I91*100</f>
        <v>20.833333333333336</v>
      </c>
      <c r="N91" s="220">
        <f>'FBMS-HND LEVEL TWO'!O508</f>
        <v>11</v>
      </c>
      <c r="O91" s="155">
        <f>'FBMS-HND LEVEL TWO'!P508</f>
        <v>9</v>
      </c>
      <c r="P91" s="155">
        <f>'FBMS-HND LEVEL TWO'!Q508</f>
        <v>10</v>
      </c>
      <c r="Q91" s="155">
        <f>'FBMS-HND LEVEL TWO'!R508</f>
        <v>5</v>
      </c>
      <c r="R91" s="155">
        <f>'FBMS-HND LEVEL TWO'!S508</f>
        <v>3</v>
      </c>
      <c r="S91" s="155">
        <f>'FBMS-HND LEVEL TWO'!T508</f>
        <v>4</v>
      </c>
      <c r="T91" s="155">
        <f>'FBMS-HND LEVEL TWO'!U508</f>
        <v>5</v>
      </c>
      <c r="U91" s="155">
        <f>'FBMS-HND LEVEL TWO'!V508</f>
        <v>1</v>
      </c>
      <c r="V91" s="55">
        <f t="shared" si="18"/>
        <v>48</v>
      </c>
    </row>
    <row r="92" spans="1:22" ht="31.2" x14ac:dyDescent="0.3">
      <c r="A92" s="217">
        <v>3</v>
      </c>
      <c r="B92" s="155" t="str">
        <f>'[1]level two'!$C$514</f>
        <v>MGT2104H</v>
      </c>
      <c r="C92" s="155" t="str">
        <f>'[1]level two'!$C$515</f>
        <v>Social Environment I &amp; II</v>
      </c>
      <c r="D92" s="217">
        <f>'[1]level two'!$C$516</f>
        <v>3</v>
      </c>
      <c r="E92" s="217" t="s">
        <v>32</v>
      </c>
      <c r="F92" s="155" t="str">
        <f>'[1]level two'!$C$517</f>
        <v xml:space="preserve">Mr Mohammadou </v>
      </c>
      <c r="G92" s="239">
        <v>90</v>
      </c>
      <c r="H92" s="155">
        <f>'FBMS-HND LEVEL TWO'!$O$1200</f>
        <v>10</v>
      </c>
      <c r="I92" s="155">
        <f>'FBMS-HND LEVEL TWO'!$O$1201</f>
        <v>9</v>
      </c>
      <c r="J92" s="155">
        <f>'FBMS-HND LEVEL TWO'!$O$1203</f>
        <v>9</v>
      </c>
      <c r="K92" s="155">
        <f>'FBMS-HND LEVEL TWO'!$O$1205</f>
        <v>0</v>
      </c>
      <c r="L92" s="221">
        <f t="shared" si="17"/>
        <v>100</v>
      </c>
      <c r="M92" s="221">
        <f t="shared" si="19"/>
        <v>0</v>
      </c>
      <c r="N92" s="220">
        <f>'FBMS-HND LEVEL TWO'!O1211</f>
        <v>6</v>
      </c>
      <c r="O92" s="155">
        <f>'FBMS-HND LEVEL TWO'!P1211</f>
        <v>3</v>
      </c>
      <c r="P92" s="155">
        <f>'FBMS-HND LEVEL TWO'!Q1211</f>
        <v>0</v>
      </c>
      <c r="Q92" s="155">
        <f>'FBMS-HND LEVEL TWO'!R1211</f>
        <v>0</v>
      </c>
      <c r="R92" s="155">
        <f>'FBMS-HND LEVEL TWO'!S1211</f>
        <v>0</v>
      </c>
      <c r="S92" s="155">
        <f>'FBMS-HND LEVEL TWO'!T1211</f>
        <v>0</v>
      </c>
      <c r="T92" s="155">
        <f>'FBMS-HND LEVEL TWO'!U1211</f>
        <v>0</v>
      </c>
      <c r="U92" s="155">
        <f>'FBMS-HND LEVEL TWO'!V1211</f>
        <v>0</v>
      </c>
      <c r="V92" s="55">
        <f t="shared" si="18"/>
        <v>9</v>
      </c>
    </row>
    <row r="93" spans="1:22" ht="31.2" x14ac:dyDescent="0.3">
      <c r="A93" s="222">
        <v>4</v>
      </c>
      <c r="B93" s="155" t="str">
        <f>'[1]level two'!$C$551</f>
        <v>MGT 2102H</v>
      </c>
      <c r="C93" s="155" t="str">
        <f>'[1]level two'!$C$552</f>
        <v>Organization and Management I</v>
      </c>
      <c r="D93" s="214">
        <f>'[1]level two'!$C$553</f>
        <v>3</v>
      </c>
      <c r="E93" s="214" t="s">
        <v>32</v>
      </c>
      <c r="F93" s="155" t="str">
        <f>'[1]level two'!$C$517</f>
        <v xml:space="preserve">Mr Mohammadou </v>
      </c>
      <c r="G93" s="279">
        <v>90</v>
      </c>
      <c r="H93" s="196">
        <f>'FBMS-HND LEVEL TWO'!$O$1166</f>
        <v>10</v>
      </c>
      <c r="I93" s="196">
        <f>'FBMS-HND LEVEL TWO'!$O$1167</f>
        <v>9</v>
      </c>
      <c r="J93" s="196">
        <f>'FBMS-HND LEVEL TWO'!$O$1169</f>
        <v>9</v>
      </c>
      <c r="K93" s="196">
        <f>'FBMS-HND LEVEL TWO'!$O$1171</f>
        <v>0</v>
      </c>
      <c r="L93" s="195">
        <f t="shared" si="17"/>
        <v>100</v>
      </c>
      <c r="M93" s="195">
        <f t="shared" si="19"/>
        <v>0</v>
      </c>
      <c r="N93" s="220">
        <f>'FBMS-HND LEVEL TWO'!O1177</f>
        <v>5</v>
      </c>
      <c r="O93" s="196">
        <f>'FBMS-HND LEVEL TWO'!P1177</f>
        <v>3</v>
      </c>
      <c r="P93" s="196">
        <f>'FBMS-HND LEVEL TWO'!Q1177</f>
        <v>1</v>
      </c>
      <c r="Q93" s="196">
        <f>'FBMS-HND LEVEL TWO'!R1177</f>
        <v>0</v>
      </c>
      <c r="R93" s="196">
        <f>'FBMS-HND LEVEL TWO'!S1177</f>
        <v>0</v>
      </c>
      <c r="S93" s="196">
        <f>'FBMS-HND LEVEL TWO'!T1177</f>
        <v>0</v>
      </c>
      <c r="T93" s="196">
        <f>'FBMS-HND LEVEL TWO'!U1177</f>
        <v>0</v>
      </c>
      <c r="U93" s="196">
        <f>'FBMS-HND LEVEL TWO'!V1177</f>
        <v>0</v>
      </c>
      <c r="V93" s="55">
        <f t="shared" si="18"/>
        <v>9</v>
      </c>
    </row>
    <row r="94" spans="1:22" ht="15.6" x14ac:dyDescent="0.3">
      <c r="A94" s="222">
        <v>5</v>
      </c>
      <c r="B94" s="155" t="str">
        <f>'[1]level two'!$C$582</f>
        <v>MGT 2103H</v>
      </c>
      <c r="C94" s="155" t="str">
        <f>'[1]level two'!$C$583</f>
        <v>Practice of HRM</v>
      </c>
      <c r="D94" s="214">
        <f>'[1]level two'!$C$584</f>
        <v>3</v>
      </c>
      <c r="E94" s="214" t="s">
        <v>32</v>
      </c>
      <c r="F94" s="155" t="str">
        <f>'[1]level two'!$C$585</f>
        <v>Mr. Neba Befrieden</v>
      </c>
      <c r="G94" s="279">
        <v>100</v>
      </c>
      <c r="H94" s="196">
        <f>'FBMS-HND LEVEL TWO'!$O$1232</f>
        <v>9</v>
      </c>
      <c r="I94" s="196">
        <f>'FBMS-HND LEVEL TWO'!$O$930</f>
        <v>9</v>
      </c>
      <c r="J94" s="196">
        <f>'FBMS-HND LEVEL TWO'!$O$932</f>
        <v>9</v>
      </c>
      <c r="K94" s="196">
        <f>'FBMS-HND LEVEL TWO'!$O$934</f>
        <v>0</v>
      </c>
      <c r="L94" s="195">
        <f t="shared" si="17"/>
        <v>100</v>
      </c>
      <c r="M94" s="195">
        <f t="shared" si="19"/>
        <v>0</v>
      </c>
      <c r="N94" s="220">
        <f>'FBMS-HND LEVEL TWO'!O1243</f>
        <v>0</v>
      </c>
      <c r="O94" s="196">
        <f>'FBMS-HND LEVEL TWO'!P1243</f>
        <v>3</v>
      </c>
      <c r="P94" s="196">
        <f>'FBMS-HND LEVEL TWO'!Q1243</f>
        <v>3</v>
      </c>
      <c r="Q94" s="196">
        <f>'FBMS-HND LEVEL TWO'!R1243</f>
        <v>1</v>
      </c>
      <c r="R94" s="196">
        <f>'FBMS-HND LEVEL TWO'!S1243</f>
        <v>2</v>
      </c>
      <c r="S94" s="196">
        <f>'FBMS-HND LEVEL TWO'!T1243</f>
        <v>0</v>
      </c>
      <c r="T94" s="196">
        <f>'FBMS-HND LEVEL TWO'!U1243</f>
        <v>0</v>
      </c>
      <c r="U94" s="196">
        <f>'FBMS-HND LEVEL TWO'!V1243</f>
        <v>0</v>
      </c>
      <c r="V94" s="55">
        <f t="shared" si="18"/>
        <v>9</v>
      </c>
    </row>
    <row r="95" spans="1:22" ht="15.6" x14ac:dyDescent="0.3">
      <c r="A95" s="222">
        <v>6</v>
      </c>
      <c r="B95" s="155" t="str">
        <f>'[1]level two'!$C$618</f>
        <v>MGT 2101H</v>
      </c>
      <c r="C95" s="224" t="str">
        <f>'[1]level two'!$C$619</f>
        <v>Human Relations II</v>
      </c>
      <c r="D95" s="214">
        <f>'[1]level two'!$C$620</f>
        <v>3</v>
      </c>
      <c r="E95" s="214" t="s">
        <v>32</v>
      </c>
      <c r="F95" s="235" t="str">
        <f>'[1]level two'!$C$621</f>
        <v>Mr. Neba Befrieden</v>
      </c>
      <c r="G95" s="279">
        <v>100</v>
      </c>
      <c r="H95" s="196">
        <f>'FBMS-HND LEVEL TWO'!$O$1268</f>
        <v>9</v>
      </c>
      <c r="I95" s="196">
        <f>'FBMS-HND LEVEL TWO'!$O$1269</f>
        <v>9</v>
      </c>
      <c r="J95" s="196">
        <f>'FBMS-HND LEVEL TWO'!$O$1271</f>
        <v>9</v>
      </c>
      <c r="K95" s="196">
        <f>'FBMS-HND LEVEL TWO'!$O$1273</f>
        <v>0</v>
      </c>
      <c r="L95" s="195">
        <f t="shared" si="17"/>
        <v>100</v>
      </c>
      <c r="M95" s="195">
        <f t="shared" si="19"/>
        <v>0</v>
      </c>
      <c r="N95" s="220">
        <f>'FBMS-HND LEVEL TWO'!O1279</f>
        <v>1</v>
      </c>
      <c r="O95" s="196">
        <f>'FBMS-HND LEVEL TWO'!P1279</f>
        <v>2</v>
      </c>
      <c r="P95" s="196">
        <f>'FBMS-HND LEVEL TWO'!Q1279</f>
        <v>5</v>
      </c>
      <c r="Q95" s="196">
        <f>'FBMS-HND LEVEL TWO'!R1279</f>
        <v>0</v>
      </c>
      <c r="R95" s="225">
        <f>'FBMS-HND LEVEL TWO'!S1279</f>
        <v>1</v>
      </c>
      <c r="S95" s="196">
        <f>'FBMS-HND LEVEL TWO'!T1279</f>
        <v>0</v>
      </c>
      <c r="T95" s="196">
        <f>'FBMS-HND LEVEL TWO'!U1279</f>
        <v>0</v>
      </c>
      <c r="U95" s="196">
        <f>'FBMS-HND LEVEL TWO'!V1279</f>
        <v>0</v>
      </c>
      <c r="V95" s="55">
        <f t="shared" si="18"/>
        <v>9</v>
      </c>
    </row>
    <row r="96" spans="1:22" ht="15.6" x14ac:dyDescent="0.3">
      <c r="A96" s="199"/>
      <c r="B96" s="199"/>
      <c r="C96" s="487" t="s">
        <v>323</v>
      </c>
      <c r="D96" s="488"/>
      <c r="E96" s="488"/>
      <c r="F96" s="489"/>
      <c r="G96" s="237"/>
      <c r="H96" s="200">
        <f>SUM(H90:H95)</f>
        <v>140</v>
      </c>
      <c r="I96" s="200">
        <f>SUM(I90:I95)</f>
        <v>135</v>
      </c>
      <c r="J96" s="200">
        <f>SUM(J90:J95)</f>
        <v>120</v>
      </c>
      <c r="K96" s="200">
        <f>SUM(K90:K95)</f>
        <v>15</v>
      </c>
      <c r="L96" s="201">
        <f>J96/I96*100</f>
        <v>88.888888888888886</v>
      </c>
      <c r="M96" s="201">
        <f>K96/I96*100</f>
        <v>11.111111111111111</v>
      </c>
      <c r="N96" s="226">
        <f t="shared" ref="N96:U96" si="20">SUM(N90:N95)</f>
        <v>24</v>
      </c>
      <c r="O96" s="200">
        <f t="shared" si="20"/>
        <v>27</v>
      </c>
      <c r="P96" s="200">
        <f t="shared" si="20"/>
        <v>38</v>
      </c>
      <c r="Q96" s="200">
        <f t="shared" si="20"/>
        <v>13</v>
      </c>
      <c r="R96" s="200">
        <f t="shared" si="20"/>
        <v>18</v>
      </c>
      <c r="S96" s="200">
        <f t="shared" si="20"/>
        <v>6</v>
      </c>
      <c r="T96" s="200">
        <f t="shared" si="20"/>
        <v>6</v>
      </c>
      <c r="U96" s="200">
        <f t="shared" si="20"/>
        <v>3</v>
      </c>
      <c r="V96" s="55">
        <f t="shared" si="18"/>
        <v>135</v>
      </c>
    </row>
    <row r="97" spans="1:22" x14ac:dyDescent="0.3">
      <c r="A97" s="183"/>
      <c r="B97" s="490" t="s">
        <v>324</v>
      </c>
      <c r="C97" s="490"/>
      <c r="D97" s="490"/>
      <c r="E97" s="490"/>
      <c r="F97" s="490"/>
      <c r="G97" s="490"/>
      <c r="H97" s="490"/>
      <c r="I97" s="490"/>
      <c r="J97" s="490"/>
      <c r="K97" s="490"/>
      <c r="L97" s="490"/>
      <c r="M97" s="490"/>
      <c r="N97" s="490"/>
      <c r="O97" s="490"/>
      <c r="P97" s="490"/>
      <c r="Q97" s="490"/>
      <c r="R97" s="490"/>
      <c r="S97" s="490"/>
      <c r="T97" s="490"/>
      <c r="U97" s="55"/>
      <c r="V97" s="55"/>
    </row>
    <row r="98" spans="1:22" x14ac:dyDescent="0.3">
      <c r="A98" s="183"/>
      <c r="B98" s="202"/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02"/>
      <c r="P98" s="202"/>
      <c r="Q98" s="202"/>
      <c r="R98" s="202"/>
      <c r="S98" s="202"/>
      <c r="T98" s="202"/>
      <c r="U98" s="55"/>
      <c r="V98" s="55"/>
    </row>
    <row r="99" spans="1:22" x14ac:dyDescent="0.3">
      <c r="A99" s="183"/>
      <c r="B99" s="203" t="s">
        <v>325</v>
      </c>
      <c r="C99" s="421">
        <f>'FBMS-HND LEVEL TWO'!$O$853</f>
        <v>0</v>
      </c>
      <c r="D99" s="491">
        <f t="shared" ref="D99" si="21">$I$96</f>
        <v>135</v>
      </c>
      <c r="E99" s="491"/>
      <c r="F99" s="205"/>
      <c r="G99" s="205"/>
      <c r="H99" s="205"/>
      <c r="I99" s="483" t="s">
        <v>326</v>
      </c>
      <c r="J99" s="483"/>
      <c r="K99" s="483"/>
      <c r="L99" s="483"/>
      <c r="M99" s="483"/>
      <c r="N99" s="494">
        <f t="shared" ref="N99" si="22">$K$96</f>
        <v>15</v>
      </c>
      <c r="O99" s="494"/>
      <c r="P99" s="183"/>
      <c r="Q99" s="183"/>
      <c r="R99" s="183"/>
      <c r="S99" s="183"/>
      <c r="T99" s="183"/>
      <c r="U99" s="55"/>
      <c r="V99" s="55"/>
    </row>
    <row r="100" spans="1:22" x14ac:dyDescent="0.3">
      <c r="A100" s="183"/>
      <c r="B100" s="483" t="s">
        <v>327</v>
      </c>
      <c r="C100" s="483"/>
      <c r="D100" s="495">
        <f t="shared" ref="D100" si="23">$J$96</f>
        <v>120</v>
      </c>
      <c r="E100" s="495"/>
      <c r="F100" s="420"/>
      <c r="G100" s="420"/>
      <c r="H100" s="420"/>
      <c r="N100" s="492"/>
      <c r="O100" s="492"/>
      <c r="P100" s="183"/>
      <c r="Q100" s="183"/>
      <c r="R100" s="183"/>
      <c r="S100" s="183"/>
      <c r="T100" s="183"/>
      <c r="U100" s="55"/>
      <c r="V100" s="55"/>
    </row>
    <row r="101" spans="1:22" x14ac:dyDescent="0.3">
      <c r="A101" s="183"/>
      <c r="B101" s="420"/>
      <c r="C101" s="420"/>
      <c r="D101" s="420"/>
      <c r="E101" s="420"/>
      <c r="F101" s="420"/>
      <c r="G101" s="420"/>
      <c r="H101" s="420"/>
      <c r="I101" s="491" t="s">
        <v>328</v>
      </c>
      <c r="J101" s="491"/>
      <c r="K101" s="491"/>
      <c r="L101" s="491"/>
      <c r="M101" s="209">
        <f>$L$96</f>
        <v>88.888888888888886</v>
      </c>
      <c r="N101" s="420"/>
      <c r="O101" s="420"/>
      <c r="P101" s="183"/>
      <c r="Q101" s="183"/>
      <c r="R101" s="183"/>
      <c r="S101" s="183"/>
      <c r="T101" s="183"/>
      <c r="U101" s="55"/>
      <c r="V101" s="55"/>
    </row>
    <row r="102" spans="1:22" x14ac:dyDescent="0.3">
      <c r="A102" s="203" t="s">
        <v>329</v>
      </c>
      <c r="B102" s="420"/>
      <c r="C102" s="420"/>
      <c r="D102" s="420"/>
      <c r="E102" s="420"/>
      <c r="F102" s="420"/>
      <c r="G102" s="420"/>
      <c r="H102" s="420"/>
      <c r="I102" s="420"/>
      <c r="J102" s="420"/>
      <c r="K102" s="420"/>
      <c r="L102" s="420"/>
      <c r="M102" s="420"/>
      <c r="N102" s="420"/>
      <c r="O102" s="420"/>
      <c r="P102" s="183"/>
      <c r="Q102" s="183"/>
      <c r="R102" s="183"/>
      <c r="S102" s="183"/>
      <c r="T102" s="183"/>
      <c r="U102" s="55"/>
      <c r="V102" s="55"/>
    </row>
    <row r="103" spans="1:22" x14ac:dyDescent="0.3">
      <c r="A103" s="55"/>
      <c r="B103" s="55"/>
      <c r="C103" s="496" t="str">
        <f t="shared" ref="C103" si="24">$F$90</f>
        <v>Mr. Neba Befrieden</v>
      </c>
      <c r="D103" s="496"/>
      <c r="E103" s="213"/>
      <c r="F103" s="418" t="str">
        <f>$F$91</f>
        <v>Mr. Ajong Jude</v>
      </c>
      <c r="G103" s="183"/>
      <c r="H103" s="418" t="str">
        <f>$F$94</f>
        <v>Mr. Neba Befrieden</v>
      </c>
      <c r="I103" s="418"/>
      <c r="J103" s="418"/>
      <c r="K103" s="418"/>
      <c r="L103" s="418"/>
      <c r="M103" s="183"/>
      <c r="N103" s="418" t="str">
        <f>$F$92</f>
        <v xml:space="preserve">Mr Mohammadou </v>
      </c>
      <c r="O103" s="418"/>
      <c r="P103" s="418"/>
      <c r="Q103" s="418"/>
      <c r="R103" s="418"/>
      <c r="S103" s="183"/>
      <c r="T103" s="183"/>
      <c r="U103" s="183"/>
      <c r="V103" s="55"/>
    </row>
    <row r="104" spans="1:22" x14ac:dyDescent="0.3">
      <c r="A104" s="55"/>
      <c r="B104" s="55"/>
      <c r="C104" s="423"/>
      <c r="D104" s="423"/>
      <c r="E104" s="213"/>
      <c r="F104" s="183"/>
      <c r="G104" s="183"/>
      <c r="H104" s="183"/>
      <c r="I104" s="183"/>
      <c r="J104" s="183"/>
      <c r="K104" s="183"/>
      <c r="L104" s="183"/>
      <c r="M104" s="183"/>
      <c r="N104" s="183"/>
      <c r="O104" s="183"/>
      <c r="P104" s="183"/>
      <c r="Q104" s="183"/>
      <c r="R104" s="183"/>
      <c r="S104" s="183"/>
      <c r="T104" s="183"/>
      <c r="U104" s="183"/>
      <c r="V104" s="55"/>
    </row>
    <row r="105" spans="1:22" x14ac:dyDescent="0.3">
      <c r="A105" s="55"/>
      <c r="B105" s="55"/>
      <c r="C105" s="423"/>
      <c r="D105" s="423"/>
      <c r="E105" s="213"/>
      <c r="F105" s="183"/>
      <c r="G105" s="183"/>
      <c r="H105" s="183"/>
      <c r="I105" s="183"/>
      <c r="J105" s="183"/>
      <c r="K105" s="183"/>
      <c r="L105" s="183"/>
      <c r="M105" s="183"/>
      <c r="N105" s="183"/>
      <c r="O105" s="183"/>
      <c r="P105" s="183"/>
      <c r="Q105" s="183"/>
      <c r="R105" s="183"/>
      <c r="S105" s="183"/>
      <c r="T105" s="183"/>
      <c r="U105" s="183"/>
      <c r="V105" s="55"/>
    </row>
    <row r="106" spans="1:22" x14ac:dyDescent="0.3">
      <c r="A106" s="55"/>
      <c r="B106" s="55"/>
      <c r="C106" s="423"/>
      <c r="D106" s="423"/>
      <c r="E106" s="213"/>
      <c r="F106" s="183"/>
      <c r="G106" s="183"/>
      <c r="H106" s="183"/>
      <c r="I106" s="183"/>
      <c r="J106" s="183"/>
      <c r="K106" s="55"/>
      <c r="L106" s="55"/>
      <c r="M106" s="55"/>
      <c r="N106" s="55"/>
      <c r="O106" s="55"/>
      <c r="P106" s="183"/>
      <c r="Q106" s="183"/>
      <c r="R106" s="183"/>
      <c r="S106" s="183"/>
      <c r="T106" s="183"/>
      <c r="U106" s="183"/>
      <c r="V106" s="55"/>
    </row>
    <row r="107" spans="1:22" x14ac:dyDescent="0.3">
      <c r="A107" s="55"/>
      <c r="B107" s="55"/>
      <c r="C107" s="422" t="s">
        <v>352</v>
      </c>
      <c r="D107" s="423"/>
      <c r="E107" s="213"/>
      <c r="F107" s="425" t="s">
        <v>337</v>
      </c>
      <c r="G107" s="231"/>
      <c r="H107" s="231"/>
      <c r="I107" s="183"/>
      <c r="M107" s="183"/>
      <c r="N107" s="55"/>
      <c r="O107" s="55"/>
      <c r="P107" s="55"/>
      <c r="Q107" s="55"/>
      <c r="R107" s="55"/>
      <c r="S107" s="183"/>
      <c r="T107" s="183"/>
      <c r="U107" s="183"/>
      <c r="V107" s="55"/>
    </row>
    <row r="108" spans="1:22" x14ac:dyDescent="0.3">
      <c r="A108" s="55"/>
      <c r="B108" s="55"/>
      <c r="C108" s="423" t="s">
        <v>353</v>
      </c>
      <c r="D108" s="423"/>
      <c r="E108" s="213"/>
      <c r="F108" s="232" t="s">
        <v>338</v>
      </c>
      <c r="G108" s="232"/>
      <c r="H108" s="231"/>
      <c r="I108" s="183"/>
      <c r="M108" s="183"/>
      <c r="N108" s="55"/>
      <c r="O108" s="55"/>
      <c r="P108" s="55"/>
      <c r="Q108" s="55"/>
      <c r="R108" s="55"/>
      <c r="S108" s="183"/>
      <c r="T108" s="183"/>
      <c r="U108" s="183"/>
      <c r="V108" s="55"/>
    </row>
    <row r="116" spans="1:22" ht="17.399999999999999" x14ac:dyDescent="0.3">
      <c r="A116" s="183"/>
      <c r="B116" s="183"/>
      <c r="C116" s="484" t="s">
        <v>302</v>
      </c>
      <c r="D116" s="484"/>
      <c r="E116" s="484"/>
      <c r="F116" s="484"/>
      <c r="G116" s="484"/>
      <c r="H116" s="484"/>
      <c r="I116" s="484"/>
      <c r="J116" s="484"/>
      <c r="K116" s="484"/>
      <c r="L116" s="484"/>
      <c r="M116" s="484"/>
      <c r="N116" s="484"/>
      <c r="O116" s="484"/>
      <c r="P116" s="484"/>
      <c r="Q116" s="183"/>
      <c r="R116" s="183"/>
      <c r="S116" s="183"/>
      <c r="T116" s="183"/>
      <c r="U116" s="183"/>
      <c r="V116" s="55"/>
    </row>
    <row r="117" spans="1:22" x14ac:dyDescent="0.3">
      <c r="A117" s="184" t="s">
        <v>303</v>
      </c>
      <c r="B117" s="55"/>
      <c r="C117" s="184" t="s">
        <v>304</v>
      </c>
      <c r="D117" s="184"/>
      <c r="E117" s="184"/>
      <c r="F117" s="184"/>
      <c r="G117" s="185"/>
      <c r="H117" s="185"/>
      <c r="I117" s="185"/>
      <c r="J117" s="185"/>
      <c r="K117" s="55"/>
      <c r="L117" s="185" t="s">
        <v>339</v>
      </c>
      <c r="M117" s="55"/>
      <c r="N117" s="185"/>
      <c r="O117" s="185"/>
      <c r="P117" s="185"/>
      <c r="Q117" s="55"/>
      <c r="R117" s="55"/>
      <c r="S117" s="55"/>
      <c r="T117" s="55"/>
      <c r="U117" s="55"/>
      <c r="V117" s="55"/>
    </row>
    <row r="118" spans="1:22" ht="15.6" x14ac:dyDescent="0.3">
      <c r="A118" s="55"/>
      <c r="B118" s="55"/>
      <c r="C118" s="184"/>
      <c r="D118" s="184"/>
      <c r="E118" s="184"/>
      <c r="F118" s="184"/>
      <c r="G118" s="424"/>
      <c r="H118" s="424"/>
      <c r="I118" s="424"/>
      <c r="J118" s="424"/>
      <c r="K118" s="55"/>
      <c r="L118" s="184" t="s">
        <v>306</v>
      </c>
      <c r="M118" s="55"/>
      <c r="N118" s="184"/>
      <c r="O118" s="184"/>
      <c r="P118" s="424"/>
      <c r="Q118" s="424"/>
      <c r="R118" s="55"/>
      <c r="S118" s="55"/>
      <c r="T118" s="55"/>
      <c r="U118" s="55"/>
      <c r="V118" s="55"/>
    </row>
    <row r="119" spans="1:22" ht="15.6" x14ac:dyDescent="0.3">
      <c r="A119" s="187" t="s">
        <v>307</v>
      </c>
      <c r="B119" s="55"/>
      <c r="C119" s="55"/>
      <c r="D119" s="55"/>
      <c r="E119" s="55"/>
      <c r="F119" s="55"/>
      <c r="G119" s="34"/>
      <c r="H119" s="34"/>
      <c r="I119" s="34"/>
      <c r="J119" s="34"/>
      <c r="K119" s="55"/>
      <c r="L119" s="485" t="s">
        <v>1930</v>
      </c>
      <c r="M119" s="485"/>
      <c r="N119" s="485"/>
      <c r="O119" s="485"/>
      <c r="P119" s="485"/>
      <c r="Q119" s="34"/>
      <c r="R119" s="55"/>
      <c r="S119" s="55"/>
      <c r="T119" s="55"/>
      <c r="U119" s="55"/>
      <c r="V119" s="55"/>
    </row>
    <row r="120" spans="1:22" x14ac:dyDescent="0.3">
      <c r="A120" s="55"/>
      <c r="B120" s="55"/>
      <c r="C120" s="486" t="s">
        <v>308</v>
      </c>
      <c r="D120" s="486"/>
      <c r="E120" s="486"/>
      <c r="F120" s="486"/>
      <c r="G120" s="486"/>
      <c r="H120" s="486"/>
      <c r="I120" s="486"/>
      <c r="J120" s="486"/>
      <c r="K120" s="486"/>
      <c r="L120" s="486"/>
      <c r="M120" s="486"/>
      <c r="N120" s="486"/>
      <c r="O120" s="486"/>
      <c r="P120" s="486"/>
      <c r="Q120" s="55"/>
      <c r="R120" s="55"/>
      <c r="S120" s="55"/>
      <c r="T120" s="55"/>
      <c r="U120" s="55"/>
      <c r="V120" s="55"/>
    </row>
    <row r="121" spans="1:22" x14ac:dyDescent="0.3">
      <c r="A121" s="472" t="s">
        <v>309</v>
      </c>
      <c r="B121" s="472" t="s">
        <v>310</v>
      </c>
      <c r="C121" s="472" t="s">
        <v>311</v>
      </c>
      <c r="D121" s="472" t="s">
        <v>312</v>
      </c>
      <c r="E121" s="472" t="s">
        <v>313</v>
      </c>
      <c r="F121" s="472" t="s">
        <v>314</v>
      </c>
      <c r="G121" s="473" t="s">
        <v>315</v>
      </c>
      <c r="H121" s="476" t="s">
        <v>316</v>
      </c>
      <c r="I121" s="477"/>
      <c r="J121" s="477"/>
      <c r="K121" s="478"/>
      <c r="L121" s="479" t="s">
        <v>317</v>
      </c>
      <c r="M121" s="479" t="s">
        <v>318</v>
      </c>
      <c r="N121" s="476" t="s">
        <v>316</v>
      </c>
      <c r="O121" s="477"/>
      <c r="P121" s="477"/>
      <c r="Q121" s="477"/>
      <c r="R121" s="477"/>
      <c r="S121" s="477"/>
      <c r="T121" s="477"/>
      <c r="U121" s="478"/>
      <c r="V121" s="55"/>
    </row>
    <row r="122" spans="1:22" x14ac:dyDescent="0.3">
      <c r="A122" s="472"/>
      <c r="B122" s="472"/>
      <c r="C122" s="472"/>
      <c r="D122" s="472"/>
      <c r="E122" s="472"/>
      <c r="F122" s="472"/>
      <c r="G122" s="474"/>
      <c r="H122" s="419" t="s">
        <v>319</v>
      </c>
      <c r="I122" s="419" t="s">
        <v>320</v>
      </c>
      <c r="J122" s="430" t="s">
        <v>1939</v>
      </c>
      <c r="K122" s="430" t="s">
        <v>1940</v>
      </c>
      <c r="L122" s="480"/>
      <c r="M122" s="480"/>
      <c r="N122" s="190" t="s">
        <v>28</v>
      </c>
      <c r="O122" s="190" t="s">
        <v>29</v>
      </c>
      <c r="P122" s="190" t="s">
        <v>30</v>
      </c>
      <c r="Q122" s="190" t="s">
        <v>31</v>
      </c>
      <c r="R122" s="190" t="s">
        <v>32</v>
      </c>
      <c r="S122" s="190" t="s">
        <v>33</v>
      </c>
      <c r="T122" s="190" t="s">
        <v>34</v>
      </c>
      <c r="U122" s="190" t="s">
        <v>35</v>
      </c>
      <c r="V122" s="55"/>
    </row>
    <row r="123" spans="1:22" ht="31.2" x14ac:dyDescent="0.3">
      <c r="A123" s="191">
        <v>1</v>
      </c>
      <c r="B123" s="155" t="str">
        <f>'[1]level one'!$C$193</f>
        <v>MKT1101H</v>
      </c>
      <c r="C123" s="155" t="str">
        <f>'[1]level one'!$C$194</f>
        <v>Principles of Marketing</v>
      </c>
      <c r="D123" s="193">
        <f>'[1]level one'!$C$195</f>
        <v>3</v>
      </c>
      <c r="E123" s="193" t="s">
        <v>32</v>
      </c>
      <c r="F123" s="198" t="s">
        <v>413</v>
      </c>
      <c r="G123" s="233">
        <v>91</v>
      </c>
      <c r="H123" s="155">
        <f>'FBMS-HND LEVEL ONE'!$O$304</f>
        <v>54</v>
      </c>
      <c r="I123" s="155">
        <f>'FBMS-HND LEVEL ONE'!$O$305</f>
        <v>54</v>
      </c>
      <c r="J123" s="155">
        <f>'FBMS-HND LEVEL ONE'!$O$307</f>
        <v>26</v>
      </c>
      <c r="K123" s="155">
        <f>'FBMS-HND LEVEL ONE'!$O$309</f>
        <v>28</v>
      </c>
      <c r="L123" s="195">
        <f t="shared" ref="L123:L128" si="25">J123/I123*100</f>
        <v>48.148148148148145</v>
      </c>
      <c r="M123" s="195">
        <f>K123/I123*100</f>
        <v>51.851851851851848</v>
      </c>
      <c r="N123" s="196">
        <f>'FBMS-HND LEVEL ONE'!O314</f>
        <v>0</v>
      </c>
      <c r="O123" s="196">
        <f>'FBMS-HND LEVEL ONE'!P314</f>
        <v>3</v>
      </c>
      <c r="P123" s="196">
        <f>'FBMS-HND LEVEL ONE'!Q314</f>
        <v>3</v>
      </c>
      <c r="Q123" s="196">
        <f>'FBMS-HND LEVEL ONE'!R314</f>
        <v>7</v>
      </c>
      <c r="R123" s="196">
        <f>'FBMS-HND LEVEL ONE'!S314</f>
        <v>13</v>
      </c>
      <c r="S123" s="196">
        <f>'FBMS-HND LEVEL ONE'!T314</f>
        <v>5</v>
      </c>
      <c r="T123" s="196">
        <f>'FBMS-HND LEVEL ONE'!U314</f>
        <v>8</v>
      </c>
      <c r="U123" s="196">
        <f>'FBMS-HND LEVEL ONE'!V314</f>
        <v>15</v>
      </c>
      <c r="V123" s="55">
        <f>SUM(N123:U123)</f>
        <v>54</v>
      </c>
    </row>
    <row r="124" spans="1:22" ht="31.2" x14ac:dyDescent="0.3">
      <c r="A124" s="191">
        <v>2</v>
      </c>
      <c r="B124" s="155" t="s">
        <v>191</v>
      </c>
      <c r="C124" s="224" t="s">
        <v>192</v>
      </c>
      <c r="D124" s="193">
        <v>3</v>
      </c>
      <c r="E124" s="193" t="s">
        <v>32</v>
      </c>
      <c r="F124" s="198" t="s">
        <v>413</v>
      </c>
      <c r="G124" s="233">
        <v>86</v>
      </c>
      <c r="H124" s="155">
        <f>'FBMS-HND LEVEL TWO'!$O$1063</f>
        <v>10</v>
      </c>
      <c r="I124" s="155">
        <f>'FBMS-HND LEVEL TWO'!$O$1064</f>
        <v>10</v>
      </c>
      <c r="J124" s="155">
        <f>'FBMS-HND LEVEL TWO'!$O$1066</f>
        <v>9</v>
      </c>
      <c r="K124" s="155">
        <f>'FBMS-HND LEVEL TWO'!$O$1068</f>
        <v>1</v>
      </c>
      <c r="L124" s="195">
        <f>J124/I124*100</f>
        <v>90</v>
      </c>
      <c r="M124" s="195">
        <f>K124/I124*100</f>
        <v>10</v>
      </c>
      <c r="N124" s="196">
        <f>'FBMS-HND LEVEL TWO'!O1074</f>
        <v>0</v>
      </c>
      <c r="O124" s="196">
        <f>'FBMS-HND LEVEL TWO'!P1074</f>
        <v>1</v>
      </c>
      <c r="P124" s="196">
        <f>'FBMS-HND LEVEL TWO'!Q1074</f>
        <v>4</v>
      </c>
      <c r="Q124" s="196">
        <f>'FBMS-HND LEVEL TWO'!R1074</f>
        <v>0</v>
      </c>
      <c r="R124" s="196">
        <f>'FBMS-HND LEVEL TWO'!S1074</f>
        <v>4</v>
      </c>
      <c r="S124" s="196">
        <f>'FBMS-HND LEVEL TWO'!T1074</f>
        <v>0</v>
      </c>
      <c r="T124" s="196">
        <f>'FBMS-HND LEVEL TWO'!U1074</f>
        <v>0</v>
      </c>
      <c r="U124" s="196">
        <f>'FBMS-HND LEVEL TWO'!V1074</f>
        <v>1</v>
      </c>
      <c r="V124" s="55">
        <f t="shared" ref="V124:V128" si="26">SUM(N124:U124)</f>
        <v>10</v>
      </c>
    </row>
    <row r="125" spans="1:22" ht="34.5" customHeight="1" x14ac:dyDescent="0.3">
      <c r="A125" s="191">
        <v>3</v>
      </c>
      <c r="B125" s="276" t="s">
        <v>189</v>
      </c>
      <c r="C125" s="375" t="s">
        <v>190</v>
      </c>
      <c r="D125" s="193">
        <v>3</v>
      </c>
      <c r="E125" s="193" t="s">
        <v>32</v>
      </c>
      <c r="F125" s="432" t="s">
        <v>1932</v>
      </c>
      <c r="G125" s="233">
        <v>93</v>
      </c>
      <c r="H125" s="155">
        <f>'FBMS-HND LEVEL TWO'!$O$1028</f>
        <v>10</v>
      </c>
      <c r="I125" s="155">
        <f>'FBMS-HND LEVEL TWO'!$O$1029</f>
        <v>10</v>
      </c>
      <c r="J125" s="155">
        <f>'FBMS-HND LEVEL TWO'!$O$1031</f>
        <v>9</v>
      </c>
      <c r="K125" s="155">
        <f>'FBMS-HND LEVEL TWO'!$O$1033</f>
        <v>1</v>
      </c>
      <c r="L125" s="195">
        <f>J125/I125*100</f>
        <v>90</v>
      </c>
      <c r="M125" s="195">
        <f>K125/I125*100</f>
        <v>10</v>
      </c>
      <c r="N125" s="196">
        <f>'FBMS-HND LEVEL TWO'!O1040</f>
        <v>3</v>
      </c>
      <c r="O125" s="196">
        <f>'FBMS-HND LEVEL TWO'!P1040</f>
        <v>1</v>
      </c>
      <c r="P125" s="196">
        <f>'FBMS-HND LEVEL TWO'!Q1040</f>
        <v>5</v>
      </c>
      <c r="Q125" s="196">
        <f>'FBMS-HND LEVEL TWO'!R1040</f>
        <v>0</v>
      </c>
      <c r="R125" s="196">
        <f>'FBMS-HND LEVEL TWO'!S1040</f>
        <v>0</v>
      </c>
      <c r="S125" s="196">
        <f>'FBMS-HND LEVEL TWO'!T1040</f>
        <v>0</v>
      </c>
      <c r="T125" s="196">
        <f>'FBMS-HND LEVEL TWO'!U1040</f>
        <v>0</v>
      </c>
      <c r="U125" s="196">
        <f>'FBMS-HND LEVEL TWO'!V1040</f>
        <v>1</v>
      </c>
      <c r="V125" s="55">
        <f t="shared" si="26"/>
        <v>10</v>
      </c>
    </row>
    <row r="126" spans="1:22" ht="31.2" x14ac:dyDescent="0.3">
      <c r="A126" s="191">
        <v>4</v>
      </c>
      <c r="B126" s="155" t="s">
        <v>222</v>
      </c>
      <c r="C126" s="224" t="s">
        <v>346</v>
      </c>
      <c r="D126" s="193">
        <v>3</v>
      </c>
      <c r="E126" s="193" t="s">
        <v>32</v>
      </c>
      <c r="F126" s="432" t="s">
        <v>1932</v>
      </c>
      <c r="G126" s="233">
        <v>87</v>
      </c>
      <c r="H126" s="155">
        <f>'FBMS-HND LEVEL TWO'!$O$1130</f>
        <v>10</v>
      </c>
      <c r="I126" s="155">
        <f>'FBMS-HND LEVEL TWO'!$O$1131</f>
        <v>10</v>
      </c>
      <c r="J126" s="155">
        <f>'FBMS-HND LEVEL TWO'!$O$1133</f>
        <v>9</v>
      </c>
      <c r="K126" s="155">
        <f>'FBMS-HND LEVEL TWO'!$O$1135</f>
        <v>1</v>
      </c>
      <c r="L126" s="195">
        <f>J126/I126*100</f>
        <v>90</v>
      </c>
      <c r="M126" s="195">
        <f>K126/I126*100</f>
        <v>10</v>
      </c>
      <c r="N126" s="196">
        <f>'FBMS-HND LEVEL TWO'!O1141</f>
        <v>0</v>
      </c>
      <c r="O126" s="196">
        <f>'FBMS-HND LEVEL TWO'!P1141</f>
        <v>2</v>
      </c>
      <c r="P126" s="196">
        <f>'FBMS-HND LEVEL TWO'!Q1141</f>
        <v>4</v>
      </c>
      <c r="Q126" s="196">
        <f>'FBMS-HND LEVEL TWO'!R1141</f>
        <v>2</v>
      </c>
      <c r="R126" s="196">
        <f>'FBMS-HND LEVEL TWO'!S1141</f>
        <v>1</v>
      </c>
      <c r="S126" s="196">
        <f>'FBMS-HND LEVEL TWO'!T1141</f>
        <v>1</v>
      </c>
      <c r="T126" s="196">
        <f>'FBMS-HND LEVEL TWO'!U1141</f>
        <v>0</v>
      </c>
      <c r="U126" s="196">
        <f>'FBMS-HND LEVEL TWO'!V1141</f>
        <v>0</v>
      </c>
      <c r="V126" s="55">
        <f t="shared" si="26"/>
        <v>10</v>
      </c>
    </row>
    <row r="127" spans="1:22" ht="27.6" x14ac:dyDescent="0.3">
      <c r="A127" s="191">
        <v>5</v>
      </c>
      <c r="B127" s="276" t="s">
        <v>187</v>
      </c>
      <c r="C127" s="10" t="s">
        <v>188</v>
      </c>
      <c r="D127" s="277">
        <v>3</v>
      </c>
      <c r="E127" s="193" t="s">
        <v>32</v>
      </c>
      <c r="F127" s="198" t="s">
        <v>413</v>
      </c>
      <c r="G127" s="233">
        <v>87</v>
      </c>
      <c r="H127" s="155">
        <f>'FBMS-HND LEVEL TWO'!$O$996</f>
        <v>10</v>
      </c>
      <c r="I127" s="155">
        <f>'FBMS-HND LEVEL TWO'!$O$997</f>
        <v>10</v>
      </c>
      <c r="J127" s="155">
        <f>'FBMS-HND LEVEL TWO'!$O$999</f>
        <v>9</v>
      </c>
      <c r="K127" s="155">
        <f>'FBMS-HND LEVEL TWO'!$O$1001</f>
        <v>1</v>
      </c>
      <c r="L127" s="195">
        <f t="shared" si="25"/>
        <v>90</v>
      </c>
      <c r="M127" s="195">
        <f t="shared" ref="M127:M128" si="27">K127/I127*100</f>
        <v>10</v>
      </c>
      <c r="N127" s="196">
        <f>'FBMS-HND LEVEL TWO'!O1074</f>
        <v>0</v>
      </c>
      <c r="O127" s="196">
        <f>'FBMS-HND LEVEL TWO'!P1074</f>
        <v>1</v>
      </c>
      <c r="P127" s="196">
        <f>'FBMS-HND LEVEL TWO'!Q1074</f>
        <v>4</v>
      </c>
      <c r="Q127" s="196">
        <f>'FBMS-HND LEVEL TWO'!R1074</f>
        <v>0</v>
      </c>
      <c r="R127" s="196">
        <f>'FBMS-HND LEVEL TWO'!S1074</f>
        <v>4</v>
      </c>
      <c r="S127" s="196">
        <f>'FBMS-HND LEVEL TWO'!T1074</f>
        <v>0</v>
      </c>
      <c r="T127" s="196">
        <f>'FBMS-HND LEVEL TWO'!U1074</f>
        <v>0</v>
      </c>
      <c r="U127" s="196">
        <f>'FBMS-HND LEVEL TWO'!V1074</f>
        <v>1</v>
      </c>
      <c r="V127" s="55">
        <f t="shared" si="26"/>
        <v>10</v>
      </c>
    </row>
    <row r="128" spans="1:22" ht="31.2" x14ac:dyDescent="0.3">
      <c r="A128" s="191">
        <v>6</v>
      </c>
      <c r="B128" s="155" t="s">
        <v>193</v>
      </c>
      <c r="C128" s="224" t="s">
        <v>194</v>
      </c>
      <c r="D128" s="193">
        <v>3</v>
      </c>
      <c r="E128" s="193" t="s">
        <v>32</v>
      </c>
      <c r="F128" s="432" t="s">
        <v>1932</v>
      </c>
      <c r="G128" s="233">
        <v>93</v>
      </c>
      <c r="H128" s="155">
        <f>'FBMS-HND LEVEL TWO'!$O$1098</f>
        <v>10</v>
      </c>
      <c r="I128" s="155">
        <f>'FBMS-HND LEVEL TWO'!$O$1099</f>
        <v>10</v>
      </c>
      <c r="J128" s="155">
        <f>'FBMS-HND LEVEL TWO'!$O$1101</f>
        <v>7</v>
      </c>
      <c r="K128" s="155">
        <f>'FBMS-HND LEVEL TWO'!$O$1103</f>
        <v>3</v>
      </c>
      <c r="L128" s="195">
        <f t="shared" si="25"/>
        <v>70</v>
      </c>
      <c r="M128" s="195">
        <f t="shared" si="27"/>
        <v>30</v>
      </c>
      <c r="N128" s="196">
        <f>'FBMS-HND LEVEL TWO'!O1109</f>
        <v>2</v>
      </c>
      <c r="O128" s="196">
        <f>'FBMS-HND LEVEL TWO'!P1109</f>
        <v>2</v>
      </c>
      <c r="P128" s="196">
        <f>'FBMS-HND LEVEL TWO'!Q1109</f>
        <v>1</v>
      </c>
      <c r="Q128" s="196">
        <f>'FBMS-HND LEVEL TWO'!R1109</f>
        <v>2</v>
      </c>
      <c r="R128" s="196">
        <f>'FBMS-HND LEVEL TWO'!S1109</f>
        <v>0</v>
      </c>
      <c r="S128" s="196">
        <f>'FBMS-HND LEVEL TWO'!T1109</f>
        <v>2</v>
      </c>
      <c r="T128" s="196">
        <f>'FBMS-HND LEVEL TWO'!U1109</f>
        <v>0</v>
      </c>
      <c r="U128" s="196">
        <f>'FBMS-HND LEVEL TWO'!V1109</f>
        <v>1</v>
      </c>
      <c r="V128" s="55">
        <f t="shared" si="26"/>
        <v>10</v>
      </c>
    </row>
    <row r="129" spans="1:22" x14ac:dyDescent="0.3">
      <c r="A129" s="199"/>
      <c r="B129" s="199"/>
      <c r="C129" s="487" t="s">
        <v>323</v>
      </c>
      <c r="D129" s="488"/>
      <c r="E129" s="488"/>
      <c r="F129" s="489"/>
      <c r="G129" s="199"/>
      <c r="H129" s="200">
        <f>SUM(H123:H128)</f>
        <v>104</v>
      </c>
      <c r="I129" s="200">
        <f>SUM(I123:I128)</f>
        <v>104</v>
      </c>
      <c r="J129" s="200">
        <f>SUM(J123:J128)</f>
        <v>69</v>
      </c>
      <c r="K129" s="200">
        <f>SUM(K123:K128)</f>
        <v>35</v>
      </c>
      <c r="L129" s="201">
        <f>J129/I129*100</f>
        <v>66.34615384615384</v>
      </c>
      <c r="M129" s="201">
        <f>K129/I129*100</f>
        <v>33.653846153846153</v>
      </c>
      <c r="N129" s="200">
        <f t="shared" ref="N129:U129" si="28">SUM(N123:N128)</f>
        <v>5</v>
      </c>
      <c r="O129" s="200">
        <f t="shared" si="28"/>
        <v>10</v>
      </c>
      <c r="P129" s="200">
        <f t="shared" si="28"/>
        <v>21</v>
      </c>
      <c r="Q129" s="200">
        <f t="shared" si="28"/>
        <v>11</v>
      </c>
      <c r="R129" s="200">
        <f t="shared" si="28"/>
        <v>22</v>
      </c>
      <c r="S129" s="200">
        <f t="shared" si="28"/>
        <v>8</v>
      </c>
      <c r="T129" s="200">
        <f t="shared" si="28"/>
        <v>8</v>
      </c>
      <c r="U129" s="200">
        <f t="shared" si="28"/>
        <v>19</v>
      </c>
      <c r="V129" s="55">
        <f t="shared" ref="V129" si="29">SUM(N129:U129)</f>
        <v>104</v>
      </c>
    </row>
    <row r="130" spans="1:22" x14ac:dyDescent="0.3">
      <c r="A130" s="183"/>
      <c r="B130" s="490" t="s">
        <v>324</v>
      </c>
      <c r="C130" s="490"/>
      <c r="D130" s="490"/>
      <c r="E130" s="490"/>
      <c r="F130" s="490"/>
      <c r="G130" s="490"/>
      <c r="H130" s="490"/>
      <c r="I130" s="490"/>
      <c r="J130" s="490"/>
      <c r="K130" s="490"/>
      <c r="L130" s="490"/>
      <c r="M130" s="490"/>
      <c r="N130" s="490"/>
      <c r="O130" s="490"/>
      <c r="P130" s="490"/>
      <c r="Q130" s="490"/>
      <c r="R130" s="490"/>
      <c r="S130" s="490"/>
      <c r="T130" s="490"/>
      <c r="U130" s="490"/>
      <c r="V130" s="55"/>
    </row>
    <row r="131" spans="1:22" x14ac:dyDescent="0.3">
      <c r="A131" s="183"/>
      <c r="B131" s="202"/>
      <c r="C131" s="202"/>
      <c r="D131" s="202"/>
      <c r="E131" s="202"/>
      <c r="F131" s="202"/>
      <c r="G131" s="202"/>
      <c r="H131" s="202"/>
      <c r="I131" s="202"/>
      <c r="J131" s="202"/>
      <c r="K131" s="202"/>
      <c r="L131" s="202"/>
      <c r="M131" s="202"/>
      <c r="N131" s="202"/>
      <c r="O131" s="202"/>
      <c r="P131" s="202"/>
      <c r="Q131" s="202"/>
      <c r="R131" s="202"/>
      <c r="S131" s="202"/>
      <c r="T131" s="202"/>
      <c r="U131" s="55"/>
      <c r="V131" s="55"/>
    </row>
    <row r="132" spans="1:22" x14ac:dyDescent="0.3">
      <c r="A132" s="183"/>
      <c r="B132" s="203" t="s">
        <v>325</v>
      </c>
      <c r="C132" s="421"/>
      <c r="D132" s="491">
        <f t="shared" ref="D132" si="30">$I$129</f>
        <v>104</v>
      </c>
      <c r="E132" s="491"/>
      <c r="F132" s="205"/>
      <c r="G132" s="205"/>
      <c r="H132" s="205"/>
      <c r="I132" s="483" t="s">
        <v>326</v>
      </c>
      <c r="J132" s="483"/>
      <c r="K132" s="483"/>
      <c r="L132" s="483"/>
      <c r="M132" s="483"/>
      <c r="N132" s="491">
        <f t="shared" ref="N132" si="31">$K$129</f>
        <v>35</v>
      </c>
      <c r="O132" s="491"/>
      <c r="P132" s="183"/>
      <c r="Q132" s="183"/>
      <c r="R132" s="183"/>
      <c r="S132" s="183"/>
      <c r="T132" s="183"/>
      <c r="U132" s="55"/>
      <c r="V132" s="55"/>
    </row>
    <row r="133" spans="1:22" x14ac:dyDescent="0.3">
      <c r="A133" s="183"/>
      <c r="B133" s="483"/>
      <c r="C133" s="483"/>
      <c r="D133" s="483"/>
      <c r="E133" s="483"/>
      <c r="F133" s="420"/>
      <c r="G133" s="420"/>
      <c r="H133" s="420"/>
      <c r="I133" s="55"/>
      <c r="J133" s="55"/>
      <c r="K133" s="55"/>
      <c r="L133" s="55"/>
      <c r="M133" s="55"/>
      <c r="N133" s="483"/>
      <c r="O133" s="483"/>
      <c r="P133" s="183"/>
      <c r="Q133" s="183"/>
      <c r="R133" s="183"/>
      <c r="S133" s="183"/>
      <c r="T133" s="183"/>
      <c r="U133" s="55"/>
      <c r="V133" s="55"/>
    </row>
    <row r="134" spans="1:22" x14ac:dyDescent="0.3">
      <c r="A134" s="183"/>
      <c r="B134" s="483" t="s">
        <v>327</v>
      </c>
      <c r="C134" s="483"/>
      <c r="D134" s="491">
        <f t="shared" ref="D134" si="32">$J$129</f>
        <v>69</v>
      </c>
      <c r="E134" s="491"/>
      <c r="F134" s="420"/>
      <c r="G134" s="420"/>
      <c r="H134" s="420"/>
      <c r="I134" s="14" t="s">
        <v>334</v>
      </c>
      <c r="M134" s="499">
        <f>$L$129</f>
        <v>66.34615384615384</v>
      </c>
      <c r="N134" s="499"/>
      <c r="O134" s="499"/>
      <c r="P134" s="183"/>
      <c r="Q134" s="183"/>
      <c r="R134" s="183"/>
      <c r="S134" s="183"/>
      <c r="T134" s="183"/>
      <c r="U134" s="55"/>
      <c r="V134" s="55"/>
    </row>
    <row r="135" spans="1:22" ht="15" customHeight="1" x14ac:dyDescent="0.3">
      <c r="A135" s="183"/>
      <c r="B135" s="420"/>
      <c r="C135" s="420"/>
      <c r="D135" s="420"/>
      <c r="E135" s="420"/>
      <c r="F135" s="420"/>
      <c r="G135" s="420"/>
      <c r="H135" s="420"/>
      <c r="I135" s="443"/>
      <c r="J135" s="443"/>
      <c r="K135" s="443"/>
      <c r="L135" s="443"/>
      <c r="M135" s="443"/>
      <c r="N135" s="209"/>
      <c r="O135" s="420"/>
      <c r="P135" s="183"/>
      <c r="Q135" s="183"/>
      <c r="R135" s="183"/>
      <c r="S135" s="183"/>
      <c r="T135" s="183"/>
      <c r="U135" s="55"/>
      <c r="V135" s="55"/>
    </row>
    <row r="136" spans="1:22" x14ac:dyDescent="0.3">
      <c r="A136" s="203" t="s">
        <v>329</v>
      </c>
      <c r="B136" s="420"/>
      <c r="C136" s="210"/>
      <c r="D136" s="210"/>
      <c r="E136" s="420"/>
      <c r="F136" s="420"/>
      <c r="G136" s="420"/>
      <c r="H136" s="420"/>
      <c r="I136" s="420"/>
      <c r="J136" s="420"/>
      <c r="K136" s="420"/>
      <c r="L136" s="420"/>
      <c r="M136" s="420"/>
      <c r="N136" s="420"/>
      <c r="O136" s="420"/>
      <c r="P136" s="183"/>
      <c r="Q136" s="183"/>
      <c r="R136" s="183"/>
      <c r="S136" s="183"/>
      <c r="T136" s="183"/>
      <c r="U136" s="55"/>
      <c r="V136" s="55"/>
    </row>
    <row r="137" spans="1:22" x14ac:dyDescent="0.3">
      <c r="A137" s="55"/>
      <c r="B137" s="55"/>
      <c r="C137" s="423" t="str">
        <f>$F$123</f>
        <v>Mme. Teneng Conscience</v>
      </c>
      <c r="D137" s="423"/>
      <c r="E137" s="55"/>
      <c r="F137" s="55"/>
      <c r="G137" s="183"/>
      <c r="H137" s="183"/>
      <c r="I137" s="497"/>
      <c r="J137" s="497"/>
      <c r="K137" s="497"/>
      <c r="L137" s="497"/>
      <c r="M137" s="423"/>
      <c r="N137" s="423"/>
      <c r="O137" s="498" t="s">
        <v>1932</v>
      </c>
      <c r="P137" s="498"/>
      <c r="Q137" s="498"/>
      <c r="R137" s="498"/>
      <c r="S137" s="498"/>
      <c r="T137" s="183"/>
      <c r="U137" s="183"/>
      <c r="V137" s="55"/>
    </row>
    <row r="138" spans="1:22" x14ac:dyDescent="0.3">
      <c r="A138" s="55"/>
      <c r="B138" s="55"/>
      <c r="C138" s="423"/>
      <c r="D138" s="423"/>
      <c r="E138" s="55"/>
      <c r="F138" s="55"/>
      <c r="G138" s="183"/>
      <c r="H138" s="183"/>
      <c r="I138" s="183"/>
      <c r="J138" s="183"/>
      <c r="K138" s="183"/>
      <c r="L138" s="183"/>
      <c r="M138" s="423"/>
      <c r="N138" s="423"/>
      <c r="O138" s="183"/>
      <c r="P138" s="183"/>
      <c r="Q138" s="183"/>
      <c r="R138" s="183"/>
      <c r="S138" s="183"/>
      <c r="T138" s="183"/>
      <c r="U138" s="183"/>
      <c r="V138" s="55"/>
    </row>
    <row r="139" spans="1:22" x14ac:dyDescent="0.3">
      <c r="A139" s="55"/>
      <c r="B139" s="55"/>
      <c r="C139" s="423"/>
      <c r="D139" s="423"/>
      <c r="E139" s="55"/>
      <c r="F139" s="55"/>
      <c r="G139" s="183"/>
      <c r="H139" s="183"/>
      <c r="I139" s="183"/>
      <c r="J139" s="183"/>
      <c r="K139" s="183"/>
      <c r="L139" s="183"/>
      <c r="M139" s="423"/>
      <c r="N139" s="423"/>
      <c r="O139" s="183"/>
      <c r="P139" s="183"/>
      <c r="Q139" s="183"/>
      <c r="R139" s="183"/>
      <c r="S139" s="183"/>
      <c r="T139" s="183"/>
      <c r="U139" s="183"/>
      <c r="V139" s="55"/>
    </row>
    <row r="140" spans="1:22" x14ac:dyDescent="0.3">
      <c r="A140" s="423"/>
      <c r="B140" s="423"/>
      <c r="C140" s="423"/>
      <c r="D140" s="423"/>
      <c r="E140" s="210"/>
      <c r="F140" s="210"/>
      <c r="G140" s="183"/>
      <c r="H140" s="183"/>
      <c r="I140" s="183"/>
      <c r="J140" s="183"/>
      <c r="K140" s="423"/>
      <c r="L140" s="423"/>
      <c r="M140" s="423"/>
      <c r="N140" s="423"/>
      <c r="O140" s="183"/>
      <c r="P140" s="183"/>
      <c r="Q140" s="183"/>
      <c r="R140" s="183"/>
      <c r="S140" s="183"/>
      <c r="T140" s="183"/>
      <c r="U140" s="183"/>
      <c r="V140" s="55"/>
    </row>
    <row r="141" spans="1:22" x14ac:dyDescent="0.3">
      <c r="A141" s="423"/>
      <c r="B141" s="423"/>
      <c r="C141" s="422" t="s">
        <v>352</v>
      </c>
      <c r="D141" s="423"/>
      <c r="E141" s="55" t="s">
        <v>340</v>
      </c>
      <c r="F141" s="55" t="s">
        <v>331</v>
      </c>
      <c r="G141" s="183"/>
      <c r="H141" s="183"/>
      <c r="I141" s="183"/>
      <c r="J141" s="183"/>
      <c r="K141" s="423"/>
      <c r="L141" s="423"/>
      <c r="M141" s="423"/>
      <c r="N141" s="423"/>
      <c r="O141" s="183"/>
      <c r="P141" s="183"/>
      <c r="Q141" s="183"/>
      <c r="R141" s="183"/>
      <c r="S141" s="183"/>
      <c r="T141" s="183"/>
      <c r="U141" s="183"/>
      <c r="V141" s="55"/>
    </row>
    <row r="142" spans="1:22" x14ac:dyDescent="0.3">
      <c r="A142" s="183"/>
      <c r="B142" s="183"/>
      <c r="C142" s="423" t="s">
        <v>353</v>
      </c>
      <c r="D142" s="423"/>
      <c r="E142" s="182"/>
      <c r="F142" s="182" t="s">
        <v>338</v>
      </c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3"/>
      <c r="V142" s="55"/>
    </row>
    <row r="143" spans="1:22" x14ac:dyDescent="0.3">
      <c r="A143" s="183"/>
      <c r="B143" s="183"/>
      <c r="C143" s="423"/>
      <c r="D143" s="423"/>
      <c r="E143" s="182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3"/>
      <c r="V143" s="55"/>
    </row>
    <row r="144" spans="1:22" ht="17.399999999999999" x14ac:dyDescent="0.3">
      <c r="A144" s="183"/>
      <c r="B144" s="183"/>
      <c r="C144" s="484" t="s">
        <v>302</v>
      </c>
      <c r="D144" s="484"/>
      <c r="E144" s="484"/>
      <c r="F144" s="484"/>
      <c r="G144" s="484"/>
      <c r="H144" s="484"/>
      <c r="I144" s="484"/>
      <c r="J144" s="484"/>
      <c r="K144" s="484"/>
      <c r="L144" s="484"/>
      <c r="M144" s="484"/>
      <c r="N144" s="484"/>
      <c r="O144" s="484"/>
      <c r="P144" s="484"/>
      <c r="Q144" s="484"/>
      <c r="R144" s="183"/>
      <c r="S144" s="183"/>
      <c r="T144" s="183"/>
      <c r="U144" s="183"/>
      <c r="V144" s="55"/>
    </row>
    <row r="145" spans="1:22" x14ac:dyDescent="0.3">
      <c r="A145" s="183"/>
      <c r="B145" s="183"/>
      <c r="C145" s="183"/>
      <c r="D145" s="183"/>
      <c r="E145" s="183"/>
      <c r="F145" s="183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55"/>
      <c r="U145" s="55"/>
      <c r="V145" s="55"/>
    </row>
    <row r="146" spans="1:22" x14ac:dyDescent="0.3">
      <c r="A146" s="184" t="s">
        <v>335</v>
      </c>
      <c r="B146" s="55"/>
      <c r="C146" s="184"/>
      <c r="D146" s="184"/>
      <c r="E146" s="184"/>
      <c r="F146" s="184"/>
      <c r="G146" s="185"/>
      <c r="H146" s="185"/>
      <c r="I146" s="185"/>
      <c r="J146" s="185"/>
      <c r="K146" s="55"/>
      <c r="L146" s="216" t="s">
        <v>341</v>
      </c>
      <c r="M146" s="55"/>
      <c r="N146" s="185"/>
      <c r="O146" s="185"/>
      <c r="P146" s="185"/>
      <c r="Q146" s="55"/>
      <c r="R146" s="55"/>
      <c r="S146" s="55"/>
      <c r="T146" s="55"/>
      <c r="U146" s="55"/>
      <c r="V146" s="55"/>
    </row>
    <row r="147" spans="1:22" ht="15.6" x14ac:dyDescent="0.3">
      <c r="A147" s="55"/>
      <c r="B147" s="55"/>
      <c r="C147" s="184"/>
      <c r="D147" s="184"/>
      <c r="E147" s="184"/>
      <c r="F147" s="184"/>
      <c r="G147" s="424"/>
      <c r="H147" s="424"/>
      <c r="I147" s="424"/>
      <c r="J147" s="424"/>
      <c r="K147" s="55"/>
      <c r="L147" s="184" t="s">
        <v>306</v>
      </c>
      <c r="M147" s="55"/>
      <c r="N147" s="184"/>
      <c r="O147" s="184"/>
      <c r="P147" s="424"/>
      <c r="Q147" s="424"/>
      <c r="R147" s="55"/>
      <c r="S147" s="55"/>
      <c r="T147" s="55"/>
      <c r="U147" s="55"/>
      <c r="V147" s="55"/>
    </row>
    <row r="148" spans="1:22" ht="15.6" x14ac:dyDescent="0.3">
      <c r="A148" s="187" t="s">
        <v>307</v>
      </c>
      <c r="B148" s="55"/>
      <c r="C148" s="55"/>
      <c r="D148" s="55"/>
      <c r="E148" s="55"/>
      <c r="F148" s="55"/>
      <c r="G148" s="34"/>
      <c r="H148" s="34"/>
      <c r="I148" s="34"/>
      <c r="J148" s="34"/>
      <c r="K148" s="55"/>
      <c r="L148" s="485" t="s">
        <v>1930</v>
      </c>
      <c r="M148" s="485"/>
      <c r="N148" s="485"/>
      <c r="O148" s="485"/>
      <c r="P148" s="485"/>
      <c r="Q148" s="34"/>
      <c r="R148" s="55"/>
      <c r="S148" s="55"/>
      <c r="T148" s="55"/>
      <c r="U148" s="55"/>
      <c r="V148" s="55"/>
    </row>
    <row r="149" spans="1:22" ht="15.6" x14ac:dyDescent="0.3">
      <c r="A149" s="55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55"/>
      <c r="S149" s="55"/>
      <c r="T149" s="55"/>
      <c r="U149" s="55"/>
      <c r="V149" s="55"/>
    </row>
    <row r="150" spans="1:22" x14ac:dyDescent="0.3">
      <c r="A150" s="55"/>
      <c r="B150" s="55"/>
      <c r="C150" s="486" t="s">
        <v>308</v>
      </c>
      <c r="D150" s="486"/>
      <c r="E150" s="486"/>
      <c r="F150" s="486"/>
      <c r="G150" s="486"/>
      <c r="H150" s="486"/>
      <c r="I150" s="486"/>
      <c r="J150" s="486"/>
      <c r="K150" s="486"/>
      <c r="L150" s="486"/>
      <c r="M150" s="486"/>
      <c r="N150" s="486"/>
      <c r="O150" s="486"/>
      <c r="P150" s="486"/>
      <c r="Q150" s="55"/>
      <c r="R150" s="55"/>
      <c r="S150" s="55"/>
      <c r="T150" s="55"/>
      <c r="U150" s="55"/>
      <c r="V150" s="55"/>
    </row>
    <row r="151" spans="1:22" x14ac:dyDescent="0.3">
      <c r="A151" s="472" t="s">
        <v>309</v>
      </c>
      <c r="B151" s="472" t="s">
        <v>310</v>
      </c>
      <c r="C151" s="472" t="s">
        <v>311</v>
      </c>
      <c r="D151" s="472" t="s">
        <v>312</v>
      </c>
      <c r="E151" s="472" t="s">
        <v>313</v>
      </c>
      <c r="F151" s="472" t="s">
        <v>314</v>
      </c>
      <c r="G151" s="473" t="s">
        <v>315</v>
      </c>
      <c r="H151" s="476" t="s">
        <v>316</v>
      </c>
      <c r="I151" s="477"/>
      <c r="J151" s="477"/>
      <c r="K151" s="478"/>
      <c r="L151" s="419" t="s">
        <v>317</v>
      </c>
      <c r="M151" s="419" t="s">
        <v>318</v>
      </c>
      <c r="N151" s="476" t="s">
        <v>316</v>
      </c>
      <c r="O151" s="477"/>
      <c r="P151" s="477"/>
      <c r="Q151" s="477"/>
      <c r="R151" s="477"/>
      <c r="S151" s="477"/>
      <c r="T151" s="477"/>
      <c r="U151" s="478"/>
      <c r="V151" s="55"/>
    </row>
    <row r="152" spans="1:22" x14ac:dyDescent="0.3">
      <c r="A152" s="472"/>
      <c r="B152" s="472"/>
      <c r="C152" s="472"/>
      <c r="D152" s="472"/>
      <c r="E152" s="472"/>
      <c r="F152" s="472"/>
      <c r="G152" s="493"/>
      <c r="H152" s="419" t="s">
        <v>319</v>
      </c>
      <c r="I152" s="419" t="s">
        <v>320</v>
      </c>
      <c r="J152" s="430" t="s">
        <v>1939</v>
      </c>
      <c r="K152" s="430" t="s">
        <v>1940</v>
      </c>
      <c r="L152" s="419"/>
      <c r="M152" s="419"/>
      <c r="N152" s="189" t="s">
        <v>28</v>
      </c>
      <c r="O152" s="190" t="s">
        <v>29</v>
      </c>
      <c r="P152" s="190" t="s">
        <v>30</v>
      </c>
      <c r="Q152" s="190" t="s">
        <v>31</v>
      </c>
      <c r="R152" s="190" t="s">
        <v>32</v>
      </c>
      <c r="S152" s="190" t="s">
        <v>33</v>
      </c>
      <c r="T152" s="190" t="s">
        <v>34</v>
      </c>
      <c r="U152" s="190" t="s">
        <v>35</v>
      </c>
      <c r="V152" s="55"/>
    </row>
    <row r="153" spans="1:22" ht="31.2" x14ac:dyDescent="0.3">
      <c r="A153" s="217">
        <v>1</v>
      </c>
      <c r="B153" s="218" t="str">
        <f>'[1]level one'!$C$5</f>
        <v>BFI1101H</v>
      </c>
      <c r="C153" s="218" t="str">
        <f>'[1]level one'!$C$6</f>
        <v>Principles  of Banking</v>
      </c>
      <c r="D153" s="217">
        <f>'[1]level one'!$C$7</f>
        <v>3</v>
      </c>
      <c r="E153" s="217" t="s">
        <v>32</v>
      </c>
      <c r="F153" s="219" t="s">
        <v>364</v>
      </c>
      <c r="G153" s="238">
        <v>93</v>
      </c>
      <c r="H153" s="220">
        <f>'FBMS-HND LEVEL ONE'!$O$13</f>
        <v>54</v>
      </c>
      <c r="I153" s="220">
        <f>'FBMS-HND LEVEL ONE'!$O$14</f>
        <v>54</v>
      </c>
      <c r="J153" s="220">
        <f>'FBMS-HND LEVEL ONE'!$O$16</f>
        <v>47</v>
      </c>
      <c r="K153" s="220">
        <f>'FBMS-HND LEVEL ONE'!$O$18</f>
        <v>7</v>
      </c>
      <c r="L153" s="221">
        <f t="shared" ref="L153:L155" si="33">J153/I153*100</f>
        <v>87.037037037037038</v>
      </c>
      <c r="M153" s="221">
        <f t="shared" ref="M153:M155" si="34">K153/I153*100</f>
        <v>12.962962962962962</v>
      </c>
      <c r="N153" s="220">
        <f>'FBMS-HND LEVEL ONE'!R25</f>
        <v>12</v>
      </c>
      <c r="O153" s="217">
        <f>'FBMS-HND LEVEL ONE'!S25</f>
        <v>17</v>
      </c>
      <c r="P153" s="217">
        <f>'FBMS-HND LEVEL ONE'!T25</f>
        <v>9</v>
      </c>
      <c r="Q153" s="217">
        <f>'FBMS-HND LEVEL ONE'!U25</f>
        <v>4</v>
      </c>
      <c r="R153" s="217">
        <f>'FBMS-HND LEVEL ONE'!V25</f>
        <v>5</v>
      </c>
      <c r="S153" s="217">
        <f>'FBMS-HND LEVEL ONE'!W25</f>
        <v>1</v>
      </c>
      <c r="T153" s="217">
        <f>'FBMS-HND LEVEL ONE'!X25</f>
        <v>2</v>
      </c>
      <c r="U153" s="220">
        <f>'FBMS-HND LEVEL ONE'!Y25</f>
        <v>4</v>
      </c>
      <c r="V153" s="55">
        <f t="shared" ref="V153:V159" si="35">SUM(N153:U153)</f>
        <v>54</v>
      </c>
    </row>
    <row r="154" spans="1:22" ht="19.5" customHeight="1" x14ac:dyDescent="0.3">
      <c r="A154" s="217">
        <v>2</v>
      </c>
      <c r="B154" s="155" t="str">
        <f>'[1]level one'!$C$44</f>
        <v>BFI1102H</v>
      </c>
      <c r="C154" s="155" t="str">
        <f>'[1]level one'!$C$45</f>
        <v>Principles of Finance</v>
      </c>
      <c r="D154" s="217">
        <f>'[1]level one'!$C$46</f>
        <v>3</v>
      </c>
      <c r="E154" s="217" t="s">
        <v>32</v>
      </c>
      <c r="F154" s="155" t="s">
        <v>364</v>
      </c>
      <c r="G154" s="239">
        <v>85</v>
      </c>
      <c r="H154" s="220">
        <f>'FBMS-HND LEVEL ONE'!$O$83</f>
        <v>64</v>
      </c>
      <c r="I154" s="220">
        <f>'FBMS-HND LEVEL ONE'!$O$84</f>
        <v>59</v>
      </c>
      <c r="J154" s="220">
        <f>'FBMS-HND LEVEL ONE'!$O$86</f>
        <v>52</v>
      </c>
      <c r="K154" s="220">
        <f>'FBMS-HND LEVEL ONE'!$O$88</f>
        <v>7</v>
      </c>
      <c r="L154" s="221">
        <f t="shared" si="33"/>
        <v>88.135593220338976</v>
      </c>
      <c r="M154" s="221">
        <f t="shared" si="34"/>
        <v>11.864406779661017</v>
      </c>
      <c r="N154" s="220">
        <f>'FBMS-HND LEVEL ONE'!O95</f>
        <v>2</v>
      </c>
      <c r="O154" s="217">
        <f>'FBMS-HND LEVEL ONE'!P95</f>
        <v>9</v>
      </c>
      <c r="P154" s="217">
        <f>'FBMS-HND LEVEL ONE'!Q95</f>
        <v>19</v>
      </c>
      <c r="Q154" s="217">
        <f>'FBMS-HND LEVEL ONE'!R95</f>
        <v>11</v>
      </c>
      <c r="R154" s="155">
        <f>'FBMS-HND LEVEL ONE'!S95</f>
        <v>11</v>
      </c>
      <c r="S154" s="155">
        <f>'FBMS-HND LEVEL ONE'!T95</f>
        <v>3</v>
      </c>
      <c r="T154" s="155">
        <f>'FBMS-HND LEVEL ONE'!U95</f>
        <v>3</v>
      </c>
      <c r="U154" s="155">
        <f>'FBMS-HND LEVEL ONE'!V95</f>
        <v>1</v>
      </c>
      <c r="V154" s="55">
        <f t="shared" si="35"/>
        <v>59</v>
      </c>
    </row>
    <row r="155" spans="1:22" ht="31.5" customHeight="1" x14ac:dyDescent="0.3">
      <c r="A155" s="217"/>
      <c r="B155" s="155" t="s">
        <v>834</v>
      </c>
      <c r="C155" s="155" t="s">
        <v>1950</v>
      </c>
      <c r="D155" s="217">
        <v>3</v>
      </c>
      <c r="E155" s="217" t="s">
        <v>32</v>
      </c>
      <c r="F155" s="155" t="s">
        <v>833</v>
      </c>
      <c r="G155" s="239">
        <v>80</v>
      </c>
      <c r="H155" s="220">
        <f>'FBMS-HND LEVEL TWO'!$O$962</f>
        <v>9</v>
      </c>
      <c r="I155" s="220">
        <f>'FBMS-HND LEVEL TWO'!$O$963</f>
        <v>9</v>
      </c>
      <c r="J155" s="220">
        <f>'FBMS-HND LEVEL TWO'!$O$965</f>
        <v>9</v>
      </c>
      <c r="K155" s="220">
        <f>'FBMS-HND LEVEL TWO'!$O$967</f>
        <v>0</v>
      </c>
      <c r="L155" s="221">
        <f t="shared" si="33"/>
        <v>100</v>
      </c>
      <c r="M155" s="221">
        <f t="shared" si="34"/>
        <v>0</v>
      </c>
      <c r="N155" s="220">
        <f>'FBMS-HND LEVEL TWO'!O973</f>
        <v>0</v>
      </c>
      <c r="O155" s="217">
        <f>'FBMS-HND LEVEL TWO'!P973</f>
        <v>1</v>
      </c>
      <c r="P155" s="217">
        <f>'FBMS-HND LEVEL TWO'!Q973</f>
        <v>5</v>
      </c>
      <c r="Q155" s="217">
        <f>'FBMS-HND LEVEL TWO'!R973</f>
        <v>2</v>
      </c>
      <c r="R155" s="155">
        <f>'FBMS-HND LEVEL TWO'!S973</f>
        <v>1</v>
      </c>
      <c r="S155" s="155">
        <f>'FBMS-HND LEVEL TWO'!T973</f>
        <v>0</v>
      </c>
      <c r="T155" s="155">
        <f>'FBMS-HND LEVEL TWO'!U973</f>
        <v>0</v>
      </c>
      <c r="U155" s="155">
        <f>'FBMS-HND LEVEL TWO'!V973</f>
        <v>0</v>
      </c>
      <c r="V155" s="55">
        <f t="shared" si="35"/>
        <v>9</v>
      </c>
    </row>
    <row r="156" spans="1:22" ht="30" customHeight="1" x14ac:dyDescent="0.3">
      <c r="A156" s="217">
        <v>3</v>
      </c>
      <c r="B156" s="155" t="str">
        <f>'[1]level two'!$C$302</f>
        <v>BFI 2102H</v>
      </c>
      <c r="C156" s="155" t="str">
        <f>'[1]level two'!$C$303</f>
        <v>Financial Accounting for Banks &amp; MFIs I</v>
      </c>
      <c r="D156" s="214">
        <f>'[1]level two'!$C$304</f>
        <v>3</v>
      </c>
      <c r="E156" s="214" t="s">
        <v>32</v>
      </c>
      <c r="F156" s="155" t="str">
        <f>'[1]level two'!$C$305</f>
        <v>Mr. Ngwa Hedwig</v>
      </c>
      <c r="G156" s="223">
        <v>83</v>
      </c>
      <c r="H156" s="196">
        <f>'FBMS-HND LEVEL TWO'!$O$647</f>
        <v>29</v>
      </c>
      <c r="I156" s="196">
        <f>'FBMS-HND LEVEL TWO'!$O$648</f>
        <v>29</v>
      </c>
      <c r="J156" s="234">
        <f>'FBMS-HND LEVEL TWO'!$O$650</f>
        <v>19</v>
      </c>
      <c r="K156" s="234">
        <f>'FBMS-HND LEVEL TWO'!$O$652</f>
        <v>10</v>
      </c>
      <c r="L156" s="195">
        <f>J156/I156*100</f>
        <v>65.517241379310349</v>
      </c>
      <c r="M156" s="195">
        <f>K156/I156*100</f>
        <v>34.482758620689658</v>
      </c>
      <c r="N156" s="196">
        <f>'FBMS-HND LEVEL TWO'!O659</f>
        <v>3</v>
      </c>
      <c r="O156" s="196">
        <f>'FBMS-HND LEVEL TWO'!P659</f>
        <v>6</v>
      </c>
      <c r="P156" s="196">
        <f>'FBMS-HND LEVEL TWO'!Q659</f>
        <v>4</v>
      </c>
      <c r="Q156" s="196">
        <f>'FBMS-HND LEVEL TWO'!R659</f>
        <v>5</v>
      </c>
      <c r="R156" s="196">
        <f>'FBMS-HND LEVEL TWO'!S659</f>
        <v>1</v>
      </c>
      <c r="S156" s="196">
        <f>'FBMS-HND LEVEL TWO'!T659</f>
        <v>1</v>
      </c>
      <c r="T156" s="196">
        <f>'FBMS-HND LEVEL TWO'!U659</f>
        <v>3</v>
      </c>
      <c r="U156" s="196">
        <f>'FBMS-HND LEVEL TWO'!V659</f>
        <v>6</v>
      </c>
      <c r="V156" s="55">
        <f>SUM(N156:U156)</f>
        <v>29</v>
      </c>
    </row>
    <row r="157" spans="1:22" ht="31.5" customHeight="1" x14ac:dyDescent="0.3">
      <c r="A157" s="217">
        <v>4</v>
      </c>
      <c r="B157" s="155" t="str">
        <f>'[1]level two'!$C$272</f>
        <v>BFI 2103H</v>
      </c>
      <c r="C157" s="155" t="str">
        <f>'[1]level two'!$C$273</f>
        <v>Financial Analysis I</v>
      </c>
      <c r="D157" s="217">
        <f>'[1]level two'!$C$274</f>
        <v>3</v>
      </c>
      <c r="E157" s="217" t="s">
        <v>32</v>
      </c>
      <c r="F157" s="155" t="s">
        <v>833</v>
      </c>
      <c r="G157" s="240">
        <v>100</v>
      </c>
      <c r="H157" s="155">
        <f>'FBMS-HND LEVEL TWO'!$O$838</f>
        <v>31</v>
      </c>
      <c r="I157" s="155">
        <f>'FBMS-HND LEVEL TWO'!$O$839</f>
        <v>30</v>
      </c>
      <c r="J157" s="220">
        <f>'FBMS-HND LEVEL TWO'!$O$841</f>
        <v>27</v>
      </c>
      <c r="K157" s="220">
        <f>'FBMS-HND LEVEL TWO'!$O$843</f>
        <v>3</v>
      </c>
      <c r="L157" s="221">
        <f t="shared" ref="L157:L159" si="36">J157/I157*100</f>
        <v>90</v>
      </c>
      <c r="M157" s="221">
        <f t="shared" ref="M157:M159" si="37">K157/I157*100</f>
        <v>10</v>
      </c>
      <c r="N157" s="155">
        <f>'FBMS-HND LEVEL TWO'!O850</f>
        <v>4</v>
      </c>
      <c r="O157" s="155">
        <f>'FBMS-HND LEVEL TWO'!P850</f>
        <v>2</v>
      </c>
      <c r="P157" s="155">
        <f>'FBMS-HND LEVEL TWO'!Q850</f>
        <v>7</v>
      </c>
      <c r="Q157" s="155">
        <f>'FBMS-HND LEVEL TWO'!R850</f>
        <v>7</v>
      </c>
      <c r="R157" s="155">
        <f>'FBMS-HND LEVEL TWO'!S850</f>
        <v>7</v>
      </c>
      <c r="S157" s="155">
        <f>'FBMS-HND LEVEL TWO'!T850</f>
        <v>0</v>
      </c>
      <c r="T157" s="155">
        <f>'FBMS-HND LEVEL TWO'!U850</f>
        <v>1</v>
      </c>
      <c r="U157" s="155">
        <f>'FBMS-HND LEVEL TWO'!V850</f>
        <v>2</v>
      </c>
      <c r="V157" s="55">
        <f t="shared" si="35"/>
        <v>30</v>
      </c>
    </row>
    <row r="158" spans="1:22" ht="15.6" x14ac:dyDescent="0.3">
      <c r="A158" s="217">
        <v>5</v>
      </c>
      <c r="B158" s="155" t="s">
        <v>1519</v>
      </c>
      <c r="C158" s="155" t="s">
        <v>485</v>
      </c>
      <c r="D158" s="217">
        <v>3</v>
      </c>
      <c r="E158" s="217" t="s">
        <v>32</v>
      </c>
      <c r="F158" s="155" t="s">
        <v>833</v>
      </c>
      <c r="G158" s="240">
        <v>88</v>
      </c>
      <c r="H158" s="155">
        <f>'FBMS-HND LEVEL TWO'!$O$929</f>
        <v>9</v>
      </c>
      <c r="I158" s="155">
        <f>'FBMS-HND LEVEL TWO'!$O$930</f>
        <v>9</v>
      </c>
      <c r="J158" s="220">
        <f>'FBMS-HND LEVEL TWO'!$O$932</f>
        <v>9</v>
      </c>
      <c r="K158" s="220">
        <f>'FBMS-HND LEVEL TWO'!$O$934</f>
        <v>0</v>
      </c>
      <c r="L158" s="221">
        <f t="shared" si="36"/>
        <v>100</v>
      </c>
      <c r="M158" s="221">
        <f t="shared" si="37"/>
        <v>0</v>
      </c>
      <c r="N158" s="155">
        <f>'FBMS-HND LEVEL TWO'!O940</f>
        <v>1</v>
      </c>
      <c r="O158" s="155">
        <f>'FBMS-HND LEVEL TWO'!P940</f>
        <v>0</v>
      </c>
      <c r="P158" s="155">
        <f>'FBMS-HND LEVEL TWO'!Q940</f>
        <v>8</v>
      </c>
      <c r="Q158" s="155">
        <f>'FBMS-HND LEVEL TWO'!R940</f>
        <v>0</v>
      </c>
      <c r="R158" s="155">
        <f>'FBMS-HND LEVEL TWO'!S940</f>
        <v>0</v>
      </c>
      <c r="S158" s="155">
        <f>'FBMS-HND LEVEL TWO'!T940</f>
        <v>0</v>
      </c>
      <c r="T158" s="155">
        <f>'FBMS-HND LEVEL TWO'!U940</f>
        <v>0</v>
      </c>
      <c r="U158" s="155">
        <f>'FBMS-HND LEVEL TWO'!V940</f>
        <v>0</v>
      </c>
      <c r="V158" s="55">
        <f t="shared" si="35"/>
        <v>9</v>
      </c>
    </row>
    <row r="159" spans="1:22" ht="31.2" x14ac:dyDescent="0.3">
      <c r="A159" s="217"/>
      <c r="B159" s="155" t="s">
        <v>1539</v>
      </c>
      <c r="C159" s="155" t="s">
        <v>1951</v>
      </c>
      <c r="D159" s="217">
        <v>3</v>
      </c>
      <c r="E159" s="217" t="s">
        <v>32</v>
      </c>
      <c r="F159" s="155" t="s">
        <v>833</v>
      </c>
      <c r="G159" s="240">
        <v>80</v>
      </c>
      <c r="H159" s="155">
        <f>'FBMS-HND LEVEL TWO'!$O$894</f>
        <v>9</v>
      </c>
      <c r="I159" s="155">
        <f>'FBMS-HND LEVEL TWO'!$O$895</f>
        <v>9</v>
      </c>
      <c r="J159" s="220">
        <f>'FBMS-HND LEVEL TWO'!$O$897</f>
        <v>8</v>
      </c>
      <c r="K159" s="220">
        <f>'FBMS-HND LEVEL TWO'!$O$899</f>
        <v>1</v>
      </c>
      <c r="L159" s="221">
        <f t="shared" si="36"/>
        <v>88.888888888888886</v>
      </c>
      <c r="M159" s="221">
        <f t="shared" si="37"/>
        <v>11.111111111111111</v>
      </c>
      <c r="N159" s="155">
        <f>'FBMS-HND LEVEL TWO'!O905</f>
        <v>1</v>
      </c>
      <c r="O159" s="155">
        <f>'FBMS-HND LEVEL TWO'!P905</f>
        <v>2</v>
      </c>
      <c r="P159" s="155">
        <f>'FBMS-HND LEVEL TWO'!Q905</f>
        <v>4</v>
      </c>
      <c r="Q159" s="155">
        <f>'FBMS-HND LEVEL TWO'!R905</f>
        <v>0</v>
      </c>
      <c r="R159" s="155">
        <f>'FBMS-HND LEVEL TWO'!S905</f>
        <v>1</v>
      </c>
      <c r="S159" s="155">
        <f>'FBMS-HND LEVEL TWO'!T905</f>
        <v>0</v>
      </c>
      <c r="T159" s="155">
        <f>'FBMS-HND LEVEL TWO'!U905</f>
        <v>1</v>
      </c>
      <c r="U159" s="155">
        <f>'FBMS-HND LEVEL TWO'!V905</f>
        <v>0</v>
      </c>
      <c r="V159" s="55">
        <f t="shared" si="35"/>
        <v>9</v>
      </c>
    </row>
    <row r="160" spans="1:22" x14ac:dyDescent="0.3">
      <c r="A160" s="199"/>
      <c r="B160" s="199"/>
      <c r="C160" s="487" t="s">
        <v>323</v>
      </c>
      <c r="D160" s="488"/>
      <c r="E160" s="488"/>
      <c r="F160" s="489"/>
      <c r="G160" s="199"/>
      <c r="H160" s="200">
        <f>SUM(H153:H159)</f>
        <v>205</v>
      </c>
      <c r="I160" s="200">
        <f>SUM(I153:I159)</f>
        <v>199</v>
      </c>
      <c r="J160" s="200">
        <f>SUM(J153:J159)</f>
        <v>171</v>
      </c>
      <c r="K160" s="200">
        <f>SUM(K153:K159)</f>
        <v>28</v>
      </c>
      <c r="L160" s="201">
        <f>J160/I160*100</f>
        <v>85.929648241206024</v>
      </c>
      <c r="M160" s="201">
        <f>K160/I160*100</f>
        <v>14.07035175879397</v>
      </c>
      <c r="N160" s="200">
        <f t="shared" ref="N160:U160" si="38">SUM(N153:N159)</f>
        <v>23</v>
      </c>
      <c r="O160" s="200">
        <f t="shared" si="38"/>
        <v>37</v>
      </c>
      <c r="P160" s="200">
        <f t="shared" si="38"/>
        <v>56</v>
      </c>
      <c r="Q160" s="200">
        <f t="shared" si="38"/>
        <v>29</v>
      </c>
      <c r="R160" s="200">
        <f t="shared" si="38"/>
        <v>26</v>
      </c>
      <c r="S160" s="200">
        <f t="shared" si="38"/>
        <v>5</v>
      </c>
      <c r="T160" s="200">
        <f t="shared" si="38"/>
        <v>10</v>
      </c>
      <c r="U160" s="200">
        <f t="shared" si="38"/>
        <v>13</v>
      </c>
      <c r="V160" s="55">
        <f>SUM(N160:U160)</f>
        <v>199</v>
      </c>
    </row>
    <row r="161" spans="1:22" x14ac:dyDescent="0.3">
      <c r="A161" s="183"/>
      <c r="B161" s="490" t="s">
        <v>324</v>
      </c>
      <c r="C161" s="490"/>
      <c r="D161" s="490"/>
      <c r="E161" s="490"/>
      <c r="F161" s="490"/>
      <c r="G161" s="490"/>
      <c r="H161" s="490"/>
      <c r="I161" s="490"/>
      <c r="J161" s="490"/>
      <c r="K161" s="490"/>
      <c r="L161" s="490"/>
      <c r="M161" s="490"/>
      <c r="N161" s="490"/>
      <c r="O161" s="490"/>
      <c r="P161" s="490"/>
      <c r="Q161" s="490"/>
      <c r="R161" s="490"/>
      <c r="S161" s="490"/>
      <c r="T161" s="490"/>
      <c r="U161" s="55"/>
      <c r="V161" s="55"/>
    </row>
    <row r="162" spans="1:22" x14ac:dyDescent="0.3">
      <c r="A162" s="183"/>
      <c r="B162" s="203" t="s">
        <v>325</v>
      </c>
      <c r="C162" s="421"/>
      <c r="D162" s="491">
        <f t="shared" ref="D162" si="39">$I$160</f>
        <v>199</v>
      </c>
      <c r="E162" s="491"/>
      <c r="F162" s="205"/>
      <c r="G162" s="205"/>
      <c r="H162" s="205"/>
      <c r="I162" s="483" t="s">
        <v>326</v>
      </c>
      <c r="J162" s="483"/>
      <c r="K162" s="483"/>
      <c r="L162" s="483"/>
      <c r="M162" s="483"/>
      <c r="N162" s="491">
        <f t="shared" ref="N162" si="40">$K$160</f>
        <v>28</v>
      </c>
      <c r="O162" s="491"/>
      <c r="P162" s="183"/>
      <c r="Q162" s="183"/>
      <c r="R162" s="183"/>
      <c r="S162" s="183"/>
      <c r="T162" s="183"/>
      <c r="U162" s="55"/>
      <c r="V162" s="55"/>
    </row>
    <row r="163" spans="1:22" x14ac:dyDescent="0.3">
      <c r="A163" s="183"/>
      <c r="B163" s="483" t="s">
        <v>327</v>
      </c>
      <c r="C163" s="483"/>
      <c r="D163" s="495">
        <f t="shared" ref="D163" si="41">$J$160</f>
        <v>171</v>
      </c>
      <c r="E163" s="495"/>
      <c r="F163" s="420"/>
      <c r="G163" s="420"/>
      <c r="H163" s="420"/>
      <c r="N163" s="492"/>
      <c r="O163" s="492"/>
      <c r="P163" s="183"/>
      <c r="Q163" s="183"/>
      <c r="R163" s="183"/>
      <c r="S163" s="183"/>
      <c r="T163" s="183"/>
      <c r="U163" s="55"/>
      <c r="V163" s="55"/>
    </row>
    <row r="164" spans="1:22" x14ac:dyDescent="0.3">
      <c r="A164" s="183"/>
      <c r="B164" s="420"/>
      <c r="C164" s="420"/>
      <c r="D164" s="420"/>
      <c r="E164" s="420"/>
      <c r="F164" s="420"/>
      <c r="G164" s="420"/>
      <c r="H164" s="420"/>
      <c r="I164" s="483" t="s">
        <v>342</v>
      </c>
      <c r="J164" s="483"/>
      <c r="K164" s="483"/>
      <c r="L164" s="483"/>
      <c r="M164" s="483"/>
      <c r="N164" s="209"/>
      <c r="O164" s="420"/>
      <c r="P164" s="183"/>
      <c r="Q164" s="183"/>
      <c r="R164" s="183"/>
      <c r="S164" s="183"/>
      <c r="T164" s="183"/>
      <c r="U164" s="55"/>
      <c r="V164" s="55"/>
    </row>
    <row r="165" spans="1:22" x14ac:dyDescent="0.3">
      <c r="A165" s="203" t="s">
        <v>329</v>
      </c>
      <c r="B165" s="420"/>
      <c r="C165" s="420"/>
      <c r="D165" s="420"/>
      <c r="E165" s="420"/>
      <c r="F165" s="420"/>
      <c r="G165" s="420"/>
      <c r="H165" s="420"/>
      <c r="I165" s="420"/>
      <c r="J165" s="420"/>
      <c r="K165" s="420"/>
      <c r="L165" s="420"/>
      <c r="M165" s="420"/>
      <c r="N165" s="420"/>
      <c r="O165" s="420"/>
      <c r="P165" s="183"/>
      <c r="Q165" s="183"/>
      <c r="R165" s="183"/>
      <c r="S165" s="183"/>
      <c r="T165" s="183"/>
      <c r="U165" s="55"/>
      <c r="V165" s="55"/>
    </row>
    <row r="166" spans="1:22" x14ac:dyDescent="0.3">
      <c r="A166" s="183"/>
      <c r="B166" s="227"/>
      <c r="C166" s="228"/>
      <c r="D166" s="227"/>
      <c r="E166" s="227"/>
      <c r="F166" s="227"/>
      <c r="G166" s="227"/>
      <c r="H166" s="183"/>
      <c r="I166" s="183"/>
      <c r="J166" s="227"/>
      <c r="K166" s="227"/>
      <c r="L166" s="227"/>
      <c r="M166" s="227"/>
      <c r="N166" s="228"/>
      <c r="O166" s="228"/>
      <c r="P166" s="228"/>
      <c r="Q166" s="228"/>
      <c r="R166" s="55"/>
      <c r="S166" s="183"/>
      <c r="T166" s="183"/>
      <c r="U166" s="55"/>
      <c r="V166" s="55"/>
    </row>
    <row r="167" spans="1:22" x14ac:dyDescent="0.3">
      <c r="A167" s="55"/>
      <c r="B167" s="55"/>
      <c r="C167" s="500" t="str">
        <f t="shared" ref="C167" si="42">$F$153</f>
        <v>Mme. Lukong Claris</v>
      </c>
      <c r="D167" s="500"/>
      <c r="E167" s="213"/>
      <c r="F167" s="183"/>
      <c r="G167" s="183"/>
      <c r="H167" s="183"/>
      <c r="I167" s="183"/>
      <c r="J167" s="183"/>
      <c r="K167" s="183"/>
      <c r="L167" s="183"/>
      <c r="M167" s="183"/>
      <c r="N167" s="183" t="str">
        <f>$F$157</f>
        <v>Mr Nkwa Felix</v>
      </c>
      <c r="O167" s="183"/>
      <c r="P167" s="183"/>
      <c r="Q167" s="183"/>
      <c r="R167" s="55"/>
      <c r="S167" s="55"/>
      <c r="T167" s="55"/>
      <c r="U167" s="55"/>
      <c r="V167" s="55"/>
    </row>
    <row r="168" spans="1:22" x14ac:dyDescent="0.3">
      <c r="A168" s="55"/>
      <c r="B168" s="55"/>
      <c r="C168" s="423"/>
      <c r="D168" s="423"/>
      <c r="E168" s="213"/>
      <c r="F168" s="183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55"/>
      <c r="S168" s="55"/>
      <c r="T168" s="55"/>
      <c r="U168" s="55"/>
      <c r="V168" s="55"/>
    </row>
    <row r="169" spans="1:22" x14ac:dyDescent="0.3">
      <c r="A169" s="55"/>
      <c r="B169" s="55"/>
      <c r="C169" s="423"/>
      <c r="D169" s="423"/>
      <c r="E169" s="213"/>
      <c r="F169" s="183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55"/>
      <c r="S169" s="55"/>
      <c r="T169" s="55"/>
      <c r="U169" s="55"/>
      <c r="V169" s="55"/>
    </row>
    <row r="170" spans="1:22" x14ac:dyDescent="0.3">
      <c r="A170" s="55"/>
      <c r="B170" s="55"/>
      <c r="C170" s="423"/>
      <c r="D170" s="423"/>
      <c r="E170" s="213"/>
      <c r="F170" s="183"/>
      <c r="G170" s="183"/>
      <c r="H170" s="183"/>
      <c r="I170" s="183"/>
      <c r="J170" s="183"/>
      <c r="K170" s="55"/>
      <c r="L170" s="55"/>
      <c r="M170" s="55"/>
      <c r="N170" s="55"/>
      <c r="O170" s="55"/>
      <c r="P170" s="183"/>
      <c r="Q170" s="183"/>
      <c r="R170" s="183"/>
      <c r="S170" s="183"/>
      <c r="T170" s="183"/>
      <c r="U170" s="183"/>
      <c r="V170" s="55"/>
    </row>
    <row r="171" spans="1:22" x14ac:dyDescent="0.3">
      <c r="A171" s="55"/>
      <c r="B171" s="55"/>
      <c r="C171" s="422" t="s">
        <v>352</v>
      </c>
      <c r="D171" s="423"/>
      <c r="E171" s="213"/>
      <c r="F171" s="183"/>
      <c r="G171" s="418" t="s">
        <v>343</v>
      </c>
      <c r="H171" s="418"/>
      <c r="I171" s="418"/>
      <c r="J171" s="418"/>
      <c r="K171" s="55"/>
      <c r="L171" s="55"/>
      <c r="M171" s="55"/>
      <c r="N171" s="55"/>
      <c r="O171" s="55"/>
      <c r="P171" s="183"/>
      <c r="Q171" s="183"/>
      <c r="R171" s="183"/>
      <c r="S171" s="183"/>
      <c r="T171" s="183"/>
      <c r="U171" s="183"/>
      <c r="V171" s="55"/>
    </row>
    <row r="172" spans="1:22" x14ac:dyDescent="0.3">
      <c r="A172" s="55"/>
      <c r="B172" s="55"/>
      <c r="C172" s="423" t="s">
        <v>353</v>
      </c>
      <c r="D172" s="423"/>
      <c r="E172" s="213"/>
      <c r="F172" s="183"/>
      <c r="G172" s="182" t="s">
        <v>338</v>
      </c>
      <c r="H172" s="183"/>
      <c r="I172" s="183"/>
      <c r="J172" s="183"/>
      <c r="K172" s="55"/>
      <c r="L172" s="55"/>
      <c r="M172" s="55"/>
      <c r="N172" s="55"/>
      <c r="O172" s="55"/>
      <c r="P172" s="183"/>
      <c r="Q172" s="183"/>
      <c r="R172" s="183"/>
      <c r="S172" s="183"/>
      <c r="T172" s="183"/>
      <c r="U172" s="183"/>
      <c r="V172" s="55"/>
    </row>
    <row r="173" spans="1:22" x14ac:dyDescent="0.3">
      <c r="A173" s="55"/>
      <c r="B173" s="55"/>
      <c r="C173" s="423"/>
      <c r="D173" s="423"/>
      <c r="E173" s="213"/>
      <c r="F173" s="183"/>
      <c r="G173" s="183"/>
      <c r="H173" s="183"/>
      <c r="I173" s="183"/>
      <c r="J173" s="183"/>
      <c r="K173" s="55"/>
      <c r="L173" s="55"/>
      <c r="M173" s="55"/>
      <c r="N173" s="55"/>
      <c r="O173" s="55"/>
      <c r="P173" s="183"/>
      <c r="Q173" s="183"/>
      <c r="R173" s="183"/>
      <c r="S173" s="183"/>
      <c r="T173" s="183"/>
      <c r="U173" s="183"/>
      <c r="V173" s="55"/>
    </row>
    <row r="174" spans="1:22" x14ac:dyDescent="0.3">
      <c r="A174" s="55"/>
      <c r="B174" s="55"/>
      <c r="C174" s="423"/>
      <c r="D174" s="423"/>
      <c r="E174" s="213"/>
      <c r="F174" s="227"/>
      <c r="G174" s="227"/>
      <c r="H174" s="183"/>
      <c r="I174" s="183"/>
      <c r="J174" s="183"/>
      <c r="K174" s="183"/>
      <c r="L174" s="183"/>
      <c r="M174" s="183"/>
      <c r="N174" s="55"/>
      <c r="O174" s="55"/>
      <c r="P174" s="55"/>
      <c r="Q174" s="55"/>
      <c r="R174" s="55"/>
      <c r="S174" s="183"/>
      <c r="T174" s="183"/>
      <c r="U174" s="183"/>
      <c r="V174" s="55"/>
    </row>
    <row r="175" spans="1:22" x14ac:dyDescent="0.3">
      <c r="A175" s="55"/>
      <c r="B175" s="55"/>
      <c r="C175" s="423"/>
      <c r="D175" s="423"/>
      <c r="E175" s="213"/>
      <c r="F175" s="183"/>
      <c r="G175" s="183"/>
      <c r="H175" s="183"/>
      <c r="I175" s="183"/>
      <c r="M175" s="183"/>
      <c r="N175" s="55"/>
      <c r="O175" s="55"/>
      <c r="P175" s="55"/>
      <c r="Q175" s="55"/>
      <c r="R175" s="55"/>
      <c r="S175" s="183"/>
      <c r="T175" s="183"/>
      <c r="U175" s="183"/>
      <c r="V175" s="55"/>
    </row>
    <row r="176" spans="1:22" x14ac:dyDescent="0.3">
      <c r="A176" s="55"/>
      <c r="B176" s="55"/>
      <c r="C176" s="423"/>
      <c r="D176" s="423"/>
      <c r="E176" s="213"/>
      <c r="F176" s="55"/>
      <c r="G176" s="183"/>
      <c r="H176" s="183"/>
      <c r="I176" s="183"/>
      <c r="M176" s="183"/>
      <c r="N176" s="55"/>
      <c r="O176" s="55"/>
      <c r="P176" s="55"/>
      <c r="Q176" s="55"/>
      <c r="R176" s="55"/>
      <c r="S176" s="183"/>
      <c r="T176" s="183"/>
      <c r="U176" s="183"/>
      <c r="V176" s="55"/>
    </row>
    <row r="183" spans="1:22" ht="17.399999999999999" x14ac:dyDescent="0.3">
      <c r="A183" s="183"/>
      <c r="B183" s="183"/>
      <c r="C183" s="484" t="s">
        <v>302</v>
      </c>
      <c r="D183" s="484"/>
      <c r="E183" s="484"/>
      <c r="F183" s="484"/>
      <c r="G183" s="484"/>
      <c r="H183" s="484"/>
      <c r="I183" s="484"/>
      <c r="J183" s="484"/>
      <c r="K183" s="484"/>
      <c r="L183" s="484"/>
      <c r="M183" s="484"/>
      <c r="N183" s="484"/>
      <c r="O183" s="484"/>
      <c r="P183" s="484"/>
      <c r="Q183" s="183"/>
      <c r="R183" s="183"/>
      <c r="S183" s="183"/>
      <c r="T183" s="183"/>
      <c r="U183" s="183"/>
      <c r="V183" s="55"/>
    </row>
    <row r="184" spans="1:22" x14ac:dyDescent="0.3">
      <c r="A184" s="183"/>
      <c r="B184" s="183"/>
      <c r="C184" s="183"/>
      <c r="D184" s="183"/>
      <c r="E184" s="183"/>
      <c r="F184" s="183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3"/>
      <c r="V184" s="55"/>
    </row>
    <row r="185" spans="1:22" x14ac:dyDescent="0.3">
      <c r="A185" s="184" t="s">
        <v>303</v>
      </c>
      <c r="B185" s="55"/>
      <c r="C185" s="184" t="s">
        <v>304</v>
      </c>
      <c r="D185" s="184"/>
      <c r="E185" s="184"/>
      <c r="F185" s="184"/>
      <c r="G185" s="185"/>
      <c r="H185" s="185"/>
      <c r="I185" s="185"/>
      <c r="J185" s="185"/>
      <c r="K185" s="55"/>
      <c r="L185" s="185" t="s">
        <v>344</v>
      </c>
      <c r="M185" s="55"/>
      <c r="N185" s="185"/>
      <c r="O185" s="185"/>
      <c r="P185" s="185"/>
      <c r="Q185" s="55"/>
      <c r="R185" s="55"/>
      <c r="S185" s="55"/>
      <c r="T185" s="55"/>
      <c r="U185" s="55"/>
      <c r="V185" s="55"/>
    </row>
    <row r="186" spans="1:22" ht="15.6" x14ac:dyDescent="0.3">
      <c r="A186" s="55"/>
      <c r="B186" s="55"/>
      <c r="C186" s="184"/>
      <c r="D186" s="184"/>
      <c r="E186" s="184"/>
      <c r="F186" s="184"/>
      <c r="G186" s="424"/>
      <c r="H186" s="424"/>
      <c r="I186" s="424"/>
      <c r="J186" s="424"/>
      <c r="K186" s="55"/>
      <c r="L186" s="184" t="s">
        <v>306</v>
      </c>
      <c r="M186" s="55"/>
      <c r="N186" s="184"/>
      <c r="O186" s="184"/>
      <c r="P186" s="424"/>
      <c r="Q186" s="424"/>
      <c r="R186" s="55"/>
      <c r="S186" s="55"/>
      <c r="T186" s="55"/>
      <c r="U186" s="55"/>
      <c r="V186" s="55"/>
    </row>
    <row r="187" spans="1:22" ht="15.6" x14ac:dyDescent="0.3">
      <c r="A187" s="187" t="s">
        <v>307</v>
      </c>
      <c r="B187" s="55"/>
      <c r="C187" s="55"/>
      <c r="D187" s="55"/>
      <c r="E187" s="55"/>
      <c r="F187" s="55"/>
      <c r="G187" s="34"/>
      <c r="H187" s="34"/>
      <c r="I187" s="34"/>
      <c r="J187" s="34"/>
      <c r="K187" s="55"/>
      <c r="L187" s="485" t="s">
        <v>1930</v>
      </c>
      <c r="M187" s="485"/>
      <c r="N187" s="485"/>
      <c r="O187" s="485"/>
      <c r="P187" s="485"/>
      <c r="Q187" s="34"/>
      <c r="R187" s="55"/>
      <c r="S187" s="55"/>
      <c r="T187" s="55"/>
      <c r="U187" s="55"/>
      <c r="V187" s="55"/>
    </row>
    <row r="188" spans="1:22" ht="15.6" x14ac:dyDescent="0.3">
      <c r="A188" s="55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55"/>
      <c r="S188" s="55"/>
      <c r="T188" s="55"/>
      <c r="U188" s="55"/>
      <c r="V188" s="55"/>
    </row>
    <row r="189" spans="1:22" x14ac:dyDescent="0.3">
      <c r="A189" s="55"/>
      <c r="B189" s="55"/>
      <c r="C189" s="486" t="s">
        <v>308</v>
      </c>
      <c r="D189" s="486"/>
      <c r="E189" s="486"/>
      <c r="F189" s="486"/>
      <c r="G189" s="486"/>
      <c r="H189" s="486"/>
      <c r="I189" s="486"/>
      <c r="J189" s="486"/>
      <c r="K189" s="486"/>
      <c r="L189" s="486"/>
      <c r="M189" s="486"/>
      <c r="N189" s="486"/>
      <c r="O189" s="486"/>
      <c r="P189" s="486"/>
      <c r="Q189" s="55"/>
      <c r="R189" s="55"/>
      <c r="S189" s="55"/>
      <c r="T189" s="55"/>
      <c r="U189" s="55"/>
      <c r="V189" s="55"/>
    </row>
    <row r="190" spans="1:22" x14ac:dyDescent="0.3">
      <c r="A190" s="472" t="s">
        <v>309</v>
      </c>
      <c r="B190" s="472" t="s">
        <v>310</v>
      </c>
      <c r="C190" s="472" t="s">
        <v>311</v>
      </c>
      <c r="D190" s="472" t="s">
        <v>312</v>
      </c>
      <c r="E190" s="472" t="s">
        <v>313</v>
      </c>
      <c r="F190" s="472" t="s">
        <v>314</v>
      </c>
      <c r="G190" s="473" t="s">
        <v>315</v>
      </c>
      <c r="H190" s="476" t="s">
        <v>316</v>
      </c>
      <c r="I190" s="477"/>
      <c r="J190" s="477"/>
      <c r="K190" s="478"/>
      <c r="L190" s="479" t="s">
        <v>317</v>
      </c>
      <c r="M190" s="479" t="s">
        <v>318</v>
      </c>
      <c r="N190" s="476" t="s">
        <v>316</v>
      </c>
      <c r="O190" s="477"/>
      <c r="P190" s="477"/>
      <c r="Q190" s="477"/>
      <c r="R190" s="477"/>
      <c r="S190" s="477"/>
      <c r="T190" s="477"/>
      <c r="U190" s="478"/>
      <c r="V190" s="55"/>
    </row>
    <row r="191" spans="1:22" x14ac:dyDescent="0.3">
      <c r="A191" s="472"/>
      <c r="B191" s="472"/>
      <c r="C191" s="472"/>
      <c r="D191" s="472"/>
      <c r="E191" s="472"/>
      <c r="F191" s="472"/>
      <c r="G191" s="474"/>
      <c r="H191" s="419" t="s">
        <v>319</v>
      </c>
      <c r="I191" s="419" t="s">
        <v>320</v>
      </c>
      <c r="J191" s="430" t="s">
        <v>1939</v>
      </c>
      <c r="K191" s="430" t="s">
        <v>1940</v>
      </c>
      <c r="L191" s="480"/>
      <c r="M191" s="480"/>
      <c r="N191" s="190" t="s">
        <v>28</v>
      </c>
      <c r="O191" s="190" t="s">
        <v>29</v>
      </c>
      <c r="P191" s="190" t="s">
        <v>30</v>
      </c>
      <c r="Q191" s="190" t="s">
        <v>31</v>
      </c>
      <c r="R191" s="190" t="s">
        <v>32</v>
      </c>
      <c r="S191" s="190" t="s">
        <v>33</v>
      </c>
      <c r="T191" s="190" t="s">
        <v>34</v>
      </c>
      <c r="U191" s="190" t="s">
        <v>35</v>
      </c>
      <c r="V191" s="55"/>
    </row>
    <row r="192" spans="1:22" x14ac:dyDescent="0.3">
      <c r="A192" s="191">
        <v>1</v>
      </c>
      <c r="V192" s="55">
        <f>SUM(N16:U16)</f>
        <v>54</v>
      </c>
    </row>
    <row r="193" spans="1:22" x14ac:dyDescent="0.3">
      <c r="A193" s="197">
        <v>2</v>
      </c>
      <c r="V193" s="55">
        <f>SUM(N17:U17)</f>
        <v>55</v>
      </c>
    </row>
    <row r="194" spans="1:22" x14ac:dyDescent="0.3">
      <c r="A194" s="197"/>
      <c r="V194" s="55">
        <f>SUM(N18:U18)</f>
        <v>54</v>
      </c>
    </row>
    <row r="195" spans="1:22" x14ac:dyDescent="0.3">
      <c r="A195" s="191">
        <v>3</v>
      </c>
      <c r="V195" s="55">
        <f>SUM(N20:U20)</f>
        <v>49</v>
      </c>
    </row>
    <row r="196" spans="1:22" x14ac:dyDescent="0.3">
      <c r="A196" s="197">
        <v>4</v>
      </c>
      <c r="V196" s="55">
        <f>SUM(N19:U19)</f>
        <v>47</v>
      </c>
    </row>
    <row r="197" spans="1:22" x14ac:dyDescent="0.3">
      <c r="A197" s="199"/>
      <c r="B197" s="199"/>
      <c r="C197" s="487" t="s">
        <v>323</v>
      </c>
      <c r="D197" s="488"/>
      <c r="E197" s="488"/>
      <c r="F197" s="489"/>
      <c r="G197" s="199"/>
      <c r="H197" s="200">
        <f>SUM(H16:H20)</f>
        <v>264</v>
      </c>
      <c r="I197" s="200">
        <f>SUM(I16:I20)</f>
        <v>259</v>
      </c>
      <c r="J197" s="200">
        <f>SUM(J16:J20)</f>
        <v>235</v>
      </c>
      <c r="K197" s="200">
        <f>SUM(K16:K20)</f>
        <v>24</v>
      </c>
      <c r="L197" s="201">
        <f>J197/I197*100</f>
        <v>90.733590733590731</v>
      </c>
      <c r="M197" s="201">
        <f>K197/I197*100</f>
        <v>9.2664092664092657</v>
      </c>
      <c r="N197" s="200">
        <f t="shared" ref="N197:U197" si="43">SUM(N16:N20)</f>
        <v>36</v>
      </c>
      <c r="O197" s="200">
        <f t="shared" si="43"/>
        <v>47</v>
      </c>
      <c r="P197" s="200">
        <f t="shared" si="43"/>
        <v>77</v>
      </c>
      <c r="Q197" s="200">
        <f t="shared" si="43"/>
        <v>35</v>
      </c>
      <c r="R197" s="200">
        <f t="shared" si="43"/>
        <v>40</v>
      </c>
      <c r="S197" s="200">
        <f t="shared" si="43"/>
        <v>5</v>
      </c>
      <c r="T197" s="200">
        <f t="shared" si="43"/>
        <v>7</v>
      </c>
      <c r="U197" s="200">
        <f t="shared" si="43"/>
        <v>12</v>
      </c>
      <c r="V197" s="55">
        <f t="shared" ref="V197" si="44">SUM(N197:U197)</f>
        <v>259</v>
      </c>
    </row>
    <row r="198" spans="1:22" x14ac:dyDescent="0.3">
      <c r="A198" s="183"/>
      <c r="B198" s="490" t="s">
        <v>324</v>
      </c>
      <c r="C198" s="490"/>
      <c r="D198" s="490"/>
      <c r="E198" s="490"/>
      <c r="F198" s="490"/>
      <c r="G198" s="490"/>
      <c r="H198" s="490"/>
      <c r="I198" s="490"/>
      <c r="J198" s="490"/>
      <c r="K198" s="490"/>
      <c r="L198" s="490"/>
      <c r="M198" s="490"/>
      <c r="N198" s="490"/>
      <c r="O198" s="490"/>
      <c r="P198" s="490"/>
      <c r="Q198" s="490"/>
      <c r="R198" s="490"/>
      <c r="S198" s="490"/>
      <c r="T198" s="490"/>
      <c r="U198" s="490"/>
      <c r="V198" s="55"/>
    </row>
    <row r="199" spans="1:22" x14ac:dyDescent="0.3">
      <c r="A199" s="183"/>
      <c r="B199" s="202"/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02"/>
      <c r="P199" s="202"/>
      <c r="Q199" s="202"/>
      <c r="R199" s="202"/>
      <c r="S199" s="202"/>
      <c r="T199" s="202"/>
      <c r="U199" s="55"/>
      <c r="V199" s="55"/>
    </row>
    <row r="200" spans="1:22" x14ac:dyDescent="0.3">
      <c r="A200" s="183"/>
      <c r="B200" s="203" t="s">
        <v>325</v>
      </c>
      <c r="C200" s="421"/>
      <c r="D200" s="491">
        <f t="shared" ref="D200" si="45">$I$197</f>
        <v>259</v>
      </c>
      <c r="E200" s="491"/>
      <c r="F200" s="205"/>
      <c r="G200" s="205"/>
      <c r="H200" s="205"/>
      <c r="I200" s="483" t="s">
        <v>326</v>
      </c>
      <c r="J200" s="483"/>
      <c r="K200" s="483"/>
      <c r="L200" s="483"/>
      <c r="M200" s="483"/>
      <c r="N200" s="491">
        <f t="shared" ref="N200" si="46">$K$197</f>
        <v>24</v>
      </c>
      <c r="O200" s="491"/>
      <c r="P200" s="183"/>
      <c r="Q200" s="183"/>
      <c r="R200" s="183"/>
      <c r="S200" s="183"/>
      <c r="T200" s="183"/>
      <c r="U200" s="55"/>
      <c r="V200" s="55"/>
    </row>
    <row r="201" spans="1:22" x14ac:dyDescent="0.3">
      <c r="A201" s="183"/>
      <c r="B201" s="483"/>
      <c r="C201" s="483"/>
      <c r="D201" s="483"/>
      <c r="E201" s="483"/>
      <c r="F201" s="420"/>
      <c r="G201" s="420"/>
      <c r="H201" s="420"/>
      <c r="I201" s="55"/>
      <c r="J201" s="55"/>
      <c r="K201" s="55"/>
      <c r="L201" s="55"/>
      <c r="M201" s="55"/>
      <c r="N201" s="483"/>
      <c r="O201" s="483"/>
      <c r="P201" s="183"/>
      <c r="Q201" s="183"/>
      <c r="R201" s="183"/>
      <c r="S201" s="183"/>
      <c r="T201" s="183"/>
      <c r="U201" s="55"/>
      <c r="V201" s="55"/>
    </row>
    <row r="202" spans="1:22" x14ac:dyDescent="0.3">
      <c r="A202" s="183"/>
      <c r="B202" s="483" t="s">
        <v>327</v>
      </c>
      <c r="C202" s="483"/>
      <c r="D202" s="491">
        <f t="shared" ref="D202" si="47">$J$197</f>
        <v>235</v>
      </c>
      <c r="E202" s="491"/>
      <c r="F202" s="420"/>
      <c r="G202" s="420"/>
      <c r="H202" s="420"/>
      <c r="I202" s="481" t="s">
        <v>328</v>
      </c>
      <c r="J202" s="482"/>
      <c r="K202" s="482"/>
      <c r="L202" s="482"/>
      <c r="M202" s="208">
        <f>$L$197</f>
        <v>90.733590733590731</v>
      </c>
      <c r="N202" s="492"/>
      <c r="O202" s="492"/>
      <c r="P202" s="183"/>
      <c r="Q202" s="183"/>
      <c r="R202" s="183"/>
      <c r="S202" s="183"/>
      <c r="T202" s="183"/>
      <c r="U202" s="55"/>
      <c r="V202" s="55"/>
    </row>
    <row r="203" spans="1:22" x14ac:dyDescent="0.3">
      <c r="A203" s="183"/>
      <c r="B203" s="420"/>
      <c r="C203" s="420"/>
      <c r="D203" s="420"/>
      <c r="E203" s="420"/>
      <c r="F203" s="420"/>
      <c r="G203" s="420"/>
      <c r="H203" s="420"/>
      <c r="I203" s="483"/>
      <c r="J203" s="483"/>
      <c r="K203" s="483"/>
      <c r="L203" s="483"/>
      <c r="M203" s="483"/>
      <c r="N203" s="209"/>
      <c r="O203" s="420"/>
      <c r="P203" s="183"/>
      <c r="Q203" s="183"/>
      <c r="R203" s="183"/>
      <c r="S203" s="183"/>
      <c r="T203" s="183"/>
      <c r="U203" s="55"/>
      <c r="V203" s="55"/>
    </row>
    <row r="204" spans="1:22" x14ac:dyDescent="0.3">
      <c r="A204" s="203" t="s">
        <v>329</v>
      </c>
      <c r="B204" s="420"/>
      <c r="C204" s="420"/>
      <c r="D204" s="420"/>
      <c r="E204" s="420"/>
      <c r="F204" s="420"/>
      <c r="G204" s="420"/>
      <c r="H204" s="420"/>
      <c r="I204" s="420"/>
      <c r="J204" s="420"/>
      <c r="K204" s="420"/>
      <c r="L204" s="420"/>
      <c r="M204" s="420"/>
      <c r="N204" s="420"/>
      <c r="O204" s="420"/>
      <c r="P204" s="183"/>
      <c r="Q204" s="183"/>
      <c r="R204" s="183"/>
      <c r="S204" s="183"/>
      <c r="T204" s="183"/>
      <c r="U204" s="55"/>
      <c r="V204" s="55"/>
    </row>
    <row r="205" spans="1:22" x14ac:dyDescent="0.3">
      <c r="A205" s="183"/>
      <c r="B205" s="420"/>
      <c r="C205" s="210"/>
      <c r="D205" s="420"/>
      <c r="E205" s="183"/>
      <c r="F205" s="183"/>
      <c r="G205" s="420"/>
      <c r="H205" s="420"/>
      <c r="I205" s="420"/>
      <c r="J205" s="420"/>
      <c r="K205" s="210"/>
      <c r="L205" s="210"/>
      <c r="M205" s="210"/>
      <c r="N205" s="420"/>
      <c r="O205" s="420"/>
      <c r="P205" s="183"/>
      <c r="Q205" s="183"/>
      <c r="R205" s="183"/>
      <c r="S205" s="183"/>
      <c r="T205" s="183"/>
      <c r="U205" s="55"/>
      <c r="V205" s="55"/>
    </row>
    <row r="206" spans="1:22" x14ac:dyDescent="0.3">
      <c r="A206" s="55"/>
      <c r="B206" s="55"/>
      <c r="C206" s="423" t="str">
        <f>$F$16</f>
        <v>Mr Kedju Robert Nembo</v>
      </c>
      <c r="D206" s="423"/>
      <c r="E206" s="183"/>
      <c r="F206" s="183"/>
      <c r="G206" s="183"/>
      <c r="H206" s="183"/>
      <c r="I206" s="183"/>
      <c r="J206" s="183"/>
      <c r="K206" s="475" t="s">
        <v>1936</v>
      </c>
      <c r="L206" s="475"/>
      <c r="M206" s="475"/>
      <c r="N206" s="423"/>
      <c r="O206" s="183"/>
      <c r="P206" s="183"/>
      <c r="Q206" s="183"/>
      <c r="R206" s="183"/>
      <c r="S206" s="183"/>
      <c r="T206" s="183"/>
      <c r="U206" s="183"/>
      <c r="V206" s="55"/>
    </row>
    <row r="207" spans="1:22" x14ac:dyDescent="0.3">
      <c r="A207" s="55"/>
      <c r="B207" s="55"/>
      <c r="C207" s="423"/>
      <c r="D207" s="423"/>
      <c r="E207" s="55"/>
      <c r="F207" s="55"/>
      <c r="G207" s="183"/>
      <c r="H207" s="183"/>
      <c r="I207" s="183"/>
      <c r="J207" s="183"/>
      <c r="K207" s="213"/>
      <c r="L207" s="423"/>
      <c r="M207" s="423"/>
      <c r="N207" s="423"/>
      <c r="O207" s="183"/>
      <c r="P207" s="183"/>
      <c r="Q207" s="183"/>
      <c r="R207" s="183"/>
      <c r="S207" s="183"/>
      <c r="T207" s="183"/>
      <c r="U207" s="183"/>
      <c r="V207" s="55"/>
    </row>
    <row r="208" spans="1:22" x14ac:dyDescent="0.3">
      <c r="A208" s="55"/>
      <c r="B208" s="55"/>
      <c r="C208" s="423"/>
      <c r="D208" s="423"/>
      <c r="E208" s="55"/>
      <c r="F208" s="55"/>
      <c r="G208" s="183"/>
      <c r="H208" s="183"/>
      <c r="I208" s="183"/>
      <c r="J208" s="183"/>
      <c r="K208" s="213"/>
      <c r="L208" s="423"/>
      <c r="M208" s="423"/>
      <c r="N208" s="423"/>
      <c r="O208" s="183"/>
      <c r="P208" s="183"/>
      <c r="Q208" s="183"/>
      <c r="R208" s="183"/>
      <c r="S208" s="183"/>
      <c r="T208" s="183"/>
      <c r="U208" s="183"/>
      <c r="V208" s="55"/>
    </row>
    <row r="209" spans="1:22" x14ac:dyDescent="0.3">
      <c r="A209" s="423"/>
      <c r="B209" s="423"/>
      <c r="C209" s="423"/>
      <c r="D209" s="423"/>
      <c r="E209" s="210"/>
      <c r="F209" s="210"/>
      <c r="G209" s="183"/>
      <c r="H209" s="183"/>
      <c r="I209" s="183"/>
      <c r="J209" s="183"/>
      <c r="K209" s="423"/>
      <c r="L209" s="423"/>
      <c r="M209" s="423"/>
      <c r="N209" s="423"/>
      <c r="O209" s="183"/>
      <c r="P209" s="183"/>
      <c r="Q209" s="183"/>
      <c r="R209" s="183"/>
      <c r="S209" s="183"/>
      <c r="T209" s="183"/>
      <c r="U209" s="183"/>
      <c r="V209" s="55"/>
    </row>
    <row r="210" spans="1:22" x14ac:dyDescent="0.3">
      <c r="A210" s="423"/>
      <c r="B210" s="423"/>
      <c r="C210" s="422" t="s">
        <v>352</v>
      </c>
      <c r="D210" s="423"/>
      <c r="E210" s="55" t="s">
        <v>330</v>
      </c>
      <c r="F210" s="55" t="s">
        <v>345</v>
      </c>
      <c r="G210" s="183"/>
      <c r="H210" s="183"/>
      <c r="I210" s="183"/>
      <c r="J210" s="183"/>
      <c r="K210" s="423"/>
      <c r="L210" s="423"/>
      <c r="M210" s="423"/>
      <c r="N210" s="423"/>
      <c r="O210" s="183"/>
      <c r="P210" s="183"/>
      <c r="Q210" s="183"/>
      <c r="R210" s="183"/>
      <c r="S210" s="183"/>
      <c r="T210" s="183"/>
      <c r="U210" s="183"/>
      <c r="V210" s="55"/>
    </row>
    <row r="211" spans="1:22" x14ac:dyDescent="0.3">
      <c r="A211" s="183"/>
      <c r="B211" s="183"/>
      <c r="C211" s="423" t="s">
        <v>353</v>
      </c>
      <c r="D211" s="423"/>
      <c r="E211" s="182"/>
      <c r="F211" s="182" t="s">
        <v>332</v>
      </c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3"/>
      <c r="V211" s="55"/>
    </row>
  </sheetData>
  <mergeCells count="149">
    <mergeCell ref="I203:M203"/>
    <mergeCell ref="B201:C201"/>
    <mergeCell ref="D201:E201"/>
    <mergeCell ref="N201:O201"/>
    <mergeCell ref="B202:C202"/>
    <mergeCell ref="D202:E202"/>
    <mergeCell ref="I202:L202"/>
    <mergeCell ref="N202:O202"/>
    <mergeCell ref="L190:L191"/>
    <mergeCell ref="M190:M191"/>
    <mergeCell ref="N190:U190"/>
    <mergeCell ref="C197:F197"/>
    <mergeCell ref="B198:U198"/>
    <mergeCell ref="D200:E200"/>
    <mergeCell ref="I200:M200"/>
    <mergeCell ref="N200:O200"/>
    <mergeCell ref="L187:P187"/>
    <mergeCell ref="C189:P189"/>
    <mergeCell ref="A190:A191"/>
    <mergeCell ref="B190:B191"/>
    <mergeCell ref="C190:C191"/>
    <mergeCell ref="D190:D191"/>
    <mergeCell ref="E190:E191"/>
    <mergeCell ref="F190:F191"/>
    <mergeCell ref="G190:G191"/>
    <mergeCell ref="H190:K190"/>
    <mergeCell ref="B163:C163"/>
    <mergeCell ref="D163:E163"/>
    <mergeCell ref="N163:O163"/>
    <mergeCell ref="I164:M164"/>
    <mergeCell ref="C167:D167"/>
    <mergeCell ref="C183:P183"/>
    <mergeCell ref="H151:K151"/>
    <mergeCell ref="N151:U151"/>
    <mergeCell ref="C160:F160"/>
    <mergeCell ref="B161:T161"/>
    <mergeCell ref="D162:E162"/>
    <mergeCell ref="I162:M162"/>
    <mergeCell ref="N162:O162"/>
    <mergeCell ref="C144:Q144"/>
    <mergeCell ref="L148:P148"/>
    <mergeCell ref="C150:P150"/>
    <mergeCell ref="A151:A152"/>
    <mergeCell ref="B151:B152"/>
    <mergeCell ref="C151:C152"/>
    <mergeCell ref="D151:D152"/>
    <mergeCell ref="E151:E152"/>
    <mergeCell ref="F151:F152"/>
    <mergeCell ref="G151:G152"/>
    <mergeCell ref="B134:C134"/>
    <mergeCell ref="D134:E134"/>
    <mergeCell ref="I137:L137"/>
    <mergeCell ref="O137:S137"/>
    <mergeCell ref="C129:F129"/>
    <mergeCell ref="B130:U130"/>
    <mergeCell ref="D132:E132"/>
    <mergeCell ref="I132:M132"/>
    <mergeCell ref="N132:O132"/>
    <mergeCell ref="B133:C133"/>
    <mergeCell ref="D133:E133"/>
    <mergeCell ref="N133:O133"/>
    <mergeCell ref="M134:O134"/>
    <mergeCell ref="A121:A122"/>
    <mergeCell ref="B121:B122"/>
    <mergeCell ref="C121:C122"/>
    <mergeCell ref="D121:D122"/>
    <mergeCell ref="E121:E122"/>
    <mergeCell ref="C96:F96"/>
    <mergeCell ref="B97:T97"/>
    <mergeCell ref="D99:E99"/>
    <mergeCell ref="I99:M99"/>
    <mergeCell ref="N99:O99"/>
    <mergeCell ref="B100:C100"/>
    <mergeCell ref="D100:E100"/>
    <mergeCell ref="N100:O100"/>
    <mergeCell ref="F121:F122"/>
    <mergeCell ref="G121:G122"/>
    <mergeCell ref="H121:K121"/>
    <mergeCell ref="L121:L122"/>
    <mergeCell ref="M121:M122"/>
    <mergeCell ref="N121:U121"/>
    <mergeCell ref="I101:L101"/>
    <mergeCell ref="C103:D103"/>
    <mergeCell ref="C116:P116"/>
    <mergeCell ref="L119:P119"/>
    <mergeCell ref="C120:P120"/>
    <mergeCell ref="C87:P87"/>
    <mergeCell ref="A88:A89"/>
    <mergeCell ref="B88:B89"/>
    <mergeCell ref="C88:C89"/>
    <mergeCell ref="D88:D89"/>
    <mergeCell ref="E88:E89"/>
    <mergeCell ref="F88:F89"/>
    <mergeCell ref="G88:G89"/>
    <mergeCell ref="H88:K88"/>
    <mergeCell ref="N88:U88"/>
    <mergeCell ref="B70:C70"/>
    <mergeCell ref="D70:E70"/>
    <mergeCell ref="N70:O70"/>
    <mergeCell ref="I71:L71"/>
    <mergeCell ref="C83:Q83"/>
    <mergeCell ref="L86:P86"/>
    <mergeCell ref="L56:L57"/>
    <mergeCell ref="M56:M57"/>
    <mergeCell ref="N56:U56"/>
    <mergeCell ref="C66:F66"/>
    <mergeCell ref="B67:U67"/>
    <mergeCell ref="D69:E69"/>
    <mergeCell ref="I69:M69"/>
    <mergeCell ref="N69:O69"/>
    <mergeCell ref="N8:U8"/>
    <mergeCell ref="C22:F22"/>
    <mergeCell ref="B23:U23"/>
    <mergeCell ref="C1:P1"/>
    <mergeCell ref="L5:P5"/>
    <mergeCell ref="C7:P7"/>
    <mergeCell ref="B27:C27"/>
    <mergeCell ref="D27:E27"/>
    <mergeCell ref="N27:O27"/>
    <mergeCell ref="D25:E25"/>
    <mergeCell ref="I25:M25"/>
    <mergeCell ref="N25:O25"/>
    <mergeCell ref="B26:C26"/>
    <mergeCell ref="D26:E26"/>
    <mergeCell ref="N26:O26"/>
    <mergeCell ref="A8:A9"/>
    <mergeCell ref="B8:B9"/>
    <mergeCell ref="C8:C9"/>
    <mergeCell ref="D8:D9"/>
    <mergeCell ref="E8:E9"/>
    <mergeCell ref="F8:F9"/>
    <mergeCell ref="G8:G9"/>
    <mergeCell ref="K206:M206"/>
    <mergeCell ref="H8:K8"/>
    <mergeCell ref="L8:L9"/>
    <mergeCell ref="M8:M9"/>
    <mergeCell ref="I28:L28"/>
    <mergeCell ref="I29:M29"/>
    <mergeCell ref="C49:P49"/>
    <mergeCell ref="L53:P53"/>
    <mergeCell ref="C55:P55"/>
    <mergeCell ref="A56:A57"/>
    <mergeCell ref="B56:B57"/>
    <mergeCell ref="C56:C57"/>
    <mergeCell ref="D56:D57"/>
    <mergeCell ref="E56:E57"/>
    <mergeCell ref="F56:F57"/>
    <mergeCell ref="G56:G57"/>
    <mergeCell ref="H56:K56"/>
  </mergeCells>
  <pageMargins left="0.25" right="0.25" top="0.75" bottom="0.75" header="0.3" footer="0.3"/>
  <pageSetup scale="1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38"/>
  <sheetViews>
    <sheetView topLeftCell="A438" zoomScale="106" zoomScaleNormal="106" workbookViewId="0">
      <selection activeCell="C448" sqref="C448"/>
    </sheetView>
  </sheetViews>
  <sheetFormatPr defaultRowHeight="14.4" x14ac:dyDescent="0.3"/>
  <cols>
    <col min="2" max="2" width="11.33203125" customWidth="1"/>
    <col min="3" max="3" width="29.5546875" style="77" customWidth="1"/>
    <col min="4" max="4" width="15.6640625" bestFit="1" customWidth="1"/>
    <col min="5" max="5" width="4" customWidth="1"/>
    <col min="6" max="6" width="5.109375" customWidth="1"/>
    <col min="7" max="7" width="5.5546875" customWidth="1"/>
    <col min="8" max="8" width="5.33203125" hidden="1" customWidth="1"/>
    <col min="9" max="9" width="5.109375" hidden="1" customWidth="1"/>
    <col min="10" max="10" width="5.109375" customWidth="1"/>
    <col min="11" max="11" width="5.88671875" customWidth="1"/>
    <col min="12" max="12" width="6.33203125" customWidth="1"/>
    <col min="13" max="13" width="8" customWidth="1"/>
    <col min="14" max="14" width="15.44140625" customWidth="1"/>
    <col min="15" max="15" width="8.6640625" customWidth="1"/>
  </cols>
  <sheetData>
    <row r="1" spans="1:16" ht="15.6" x14ac:dyDescent="0.3">
      <c r="A1" s="17" t="s">
        <v>0</v>
      </c>
      <c r="B1" s="18"/>
      <c r="C1" s="71"/>
      <c r="D1" s="18"/>
      <c r="E1" s="18"/>
      <c r="F1" s="18"/>
      <c r="G1" s="18"/>
      <c r="H1" s="67"/>
      <c r="I1" s="67"/>
      <c r="J1" s="18"/>
      <c r="K1" s="18"/>
      <c r="L1" s="19"/>
      <c r="M1" s="10"/>
      <c r="N1" s="10"/>
      <c r="O1" s="9"/>
      <c r="P1" s="10"/>
    </row>
    <row r="2" spans="1:16" ht="15.6" x14ac:dyDescent="0.3">
      <c r="A2" s="503" t="s">
        <v>36</v>
      </c>
      <c r="B2" s="504"/>
      <c r="C2" s="504"/>
      <c r="D2" s="504"/>
      <c r="E2" s="504"/>
      <c r="F2" s="504"/>
      <c r="G2" s="505"/>
      <c r="H2" s="66"/>
      <c r="I2" s="66"/>
      <c r="J2" s="18"/>
      <c r="K2" s="18"/>
      <c r="L2" s="19"/>
      <c r="M2" s="10"/>
      <c r="N2" s="10"/>
      <c r="O2" s="9"/>
      <c r="P2" s="10"/>
    </row>
    <row r="3" spans="1:16" ht="15.6" x14ac:dyDescent="0.3">
      <c r="A3" s="503" t="s">
        <v>362</v>
      </c>
      <c r="B3" s="504"/>
      <c r="C3" s="504"/>
      <c r="D3" s="504"/>
      <c r="E3" s="504"/>
      <c r="F3" s="504"/>
      <c r="G3" s="504"/>
      <c r="H3" s="505"/>
      <c r="I3" s="67"/>
      <c r="J3" s="18"/>
      <c r="K3" s="18"/>
      <c r="L3" s="19"/>
      <c r="M3" s="10"/>
      <c r="N3" s="10"/>
      <c r="O3" s="9"/>
      <c r="P3" s="10"/>
    </row>
    <row r="4" spans="1:16" ht="15.6" x14ac:dyDescent="0.3">
      <c r="A4" s="20" t="s">
        <v>1</v>
      </c>
      <c r="B4" s="21"/>
      <c r="C4" s="84" t="s">
        <v>414</v>
      </c>
      <c r="D4" s="85"/>
      <c r="E4" s="85"/>
      <c r="F4" s="85"/>
      <c r="G4" s="85"/>
      <c r="H4" s="85"/>
      <c r="I4" s="85"/>
      <c r="J4" s="85"/>
      <c r="K4" s="18"/>
      <c r="L4" s="19"/>
      <c r="M4" s="10"/>
      <c r="N4" s="10"/>
      <c r="O4" s="9"/>
      <c r="P4" s="10"/>
    </row>
    <row r="5" spans="1:16" ht="15.6" x14ac:dyDescent="0.3">
      <c r="A5" s="20" t="s">
        <v>3</v>
      </c>
      <c r="B5" s="21"/>
      <c r="C5" s="90" t="s">
        <v>47</v>
      </c>
      <c r="D5" s="91"/>
      <c r="E5" s="91"/>
      <c r="F5" s="91"/>
      <c r="G5" s="91"/>
      <c r="H5" s="91"/>
      <c r="I5" s="91"/>
      <c r="J5" s="91"/>
      <c r="K5" s="18"/>
      <c r="L5" s="19"/>
      <c r="M5" s="10"/>
      <c r="N5" s="10"/>
      <c r="O5" s="9"/>
      <c r="P5" s="10"/>
    </row>
    <row r="6" spans="1:16" ht="15.6" x14ac:dyDescent="0.3">
      <c r="A6" s="20" t="s">
        <v>4</v>
      </c>
      <c r="B6" s="21"/>
      <c r="C6" s="86" t="s">
        <v>211</v>
      </c>
      <c r="D6" s="87"/>
      <c r="E6" s="87"/>
      <c r="F6" s="87"/>
      <c r="G6" s="87"/>
      <c r="H6" s="87"/>
      <c r="I6" s="87"/>
      <c r="J6" s="87"/>
      <c r="K6" s="18"/>
      <c r="L6" s="19"/>
      <c r="M6" s="10"/>
      <c r="N6" s="10"/>
      <c r="O6" s="9"/>
      <c r="P6" s="10"/>
    </row>
    <row r="7" spans="1:16" ht="15.6" x14ac:dyDescent="0.3">
      <c r="A7" s="20" t="s">
        <v>5</v>
      </c>
      <c r="B7" s="21"/>
      <c r="C7" s="86">
        <v>3</v>
      </c>
      <c r="D7" s="87"/>
      <c r="E7" s="87"/>
      <c r="F7" s="87"/>
      <c r="G7" s="87"/>
      <c r="H7" s="87"/>
      <c r="I7" s="87"/>
      <c r="J7" s="87"/>
      <c r="K7" s="18"/>
      <c r="L7" s="19"/>
      <c r="M7" s="10"/>
      <c r="N7" s="10"/>
      <c r="O7" s="9"/>
      <c r="P7" s="10"/>
    </row>
    <row r="8" spans="1:16" ht="15.6" x14ac:dyDescent="0.3">
      <c r="A8" s="508" t="s">
        <v>6</v>
      </c>
      <c r="B8" s="510"/>
      <c r="C8" s="84" t="s">
        <v>364</v>
      </c>
      <c r="D8" s="85"/>
      <c r="E8" s="85"/>
      <c r="F8" s="85"/>
      <c r="G8" s="85"/>
      <c r="H8" s="85"/>
      <c r="I8" s="85"/>
      <c r="J8" s="85"/>
      <c r="K8" s="18"/>
      <c r="L8" s="19"/>
      <c r="M8" s="10"/>
      <c r="N8" s="10"/>
      <c r="O8" s="9"/>
      <c r="P8" s="10"/>
    </row>
    <row r="9" spans="1:16" ht="16.2" x14ac:dyDescent="0.35">
      <c r="A9" s="508" t="s">
        <v>7</v>
      </c>
      <c r="B9" s="509"/>
      <c r="C9" s="72"/>
      <c r="D9" s="18"/>
      <c r="E9" s="22"/>
      <c r="F9" s="18"/>
      <c r="G9" s="18"/>
      <c r="H9" s="67"/>
      <c r="I9" s="67"/>
      <c r="J9" s="18"/>
      <c r="K9" s="18"/>
      <c r="L9" s="23"/>
      <c r="M9" s="10"/>
      <c r="N9" s="10"/>
      <c r="O9" s="9"/>
      <c r="P9" s="10"/>
    </row>
    <row r="10" spans="1:16" ht="68.400000000000006" x14ac:dyDescent="0.3">
      <c r="A10" s="24" t="s">
        <v>8</v>
      </c>
      <c r="B10" s="24" t="s">
        <v>9</v>
      </c>
      <c r="C10" s="73" t="s">
        <v>10</v>
      </c>
      <c r="D10" s="26" t="s">
        <v>11</v>
      </c>
      <c r="E10" s="27" t="s">
        <v>12</v>
      </c>
      <c r="F10" s="27" t="s">
        <v>13</v>
      </c>
      <c r="G10" s="27" t="s">
        <v>14</v>
      </c>
      <c r="H10" s="27" t="s">
        <v>208</v>
      </c>
      <c r="I10" s="27" t="s">
        <v>209</v>
      </c>
      <c r="J10" s="27" t="s">
        <v>15</v>
      </c>
      <c r="K10" s="27" t="s">
        <v>16</v>
      </c>
      <c r="L10" s="28" t="s">
        <v>17</v>
      </c>
      <c r="M10" s="28" t="s">
        <v>18</v>
      </c>
      <c r="N10" s="8"/>
      <c r="O10" s="9"/>
      <c r="P10" s="10"/>
    </row>
    <row r="11" spans="1:16" ht="15.6" x14ac:dyDescent="0.3">
      <c r="A11" s="24"/>
      <c r="B11" s="24"/>
      <c r="C11" s="74"/>
      <c r="D11" s="3"/>
      <c r="E11" s="3"/>
      <c r="F11" s="3"/>
      <c r="G11" s="3"/>
      <c r="H11" s="3"/>
      <c r="I11" s="3"/>
      <c r="J11" s="3"/>
      <c r="K11" s="3"/>
      <c r="L11" s="7"/>
      <c r="M11" s="7"/>
      <c r="N11" s="7"/>
      <c r="O11" s="9"/>
      <c r="P11" s="10"/>
    </row>
    <row r="12" spans="1:16" ht="15.6" x14ac:dyDescent="0.3">
      <c r="A12" s="3">
        <f>ROW(A1)</f>
        <v>1</v>
      </c>
      <c r="B12" s="306" t="s">
        <v>431</v>
      </c>
      <c r="C12" s="307" t="s">
        <v>365</v>
      </c>
      <c r="D12" s="5" t="s">
        <v>250</v>
      </c>
      <c r="E12" s="3">
        <v>9</v>
      </c>
      <c r="F12" s="3">
        <v>21</v>
      </c>
      <c r="G12" s="3">
        <f>SUM(E12:F12)</f>
        <v>30</v>
      </c>
      <c r="H12" s="3"/>
      <c r="I12" s="3"/>
      <c r="J12" s="3">
        <v>48</v>
      </c>
      <c r="K12" s="3">
        <f>SUM(G12:J12)</f>
        <v>78</v>
      </c>
      <c r="L12" s="7" t="str">
        <f t="shared" ref="L12:L63" si="0">IF(K12&gt;=80,"A",IF(K12&gt;=70,"B+",IF(K12&gt;=60,"B",IF(K12&gt;=55,"C+",IF(K12&gt;=50,"C",IF(K12&gt;=45,"D+",IF(K12&gt;=40,"D","F")))))))</f>
        <v>B+</v>
      </c>
      <c r="M12" s="7" t="str">
        <f>IF(K12&gt;=50,"Passed","Failed")</f>
        <v>Passed</v>
      </c>
      <c r="N12" s="8" t="s">
        <v>19</v>
      </c>
      <c r="O12" s="9"/>
      <c r="P12" s="10"/>
    </row>
    <row r="13" spans="1:16" ht="31.2" x14ac:dyDescent="0.3">
      <c r="A13" s="3">
        <f t="shared" ref="A13:A65" si="1">ROW(A2)</f>
        <v>2</v>
      </c>
      <c r="B13" s="306" t="s">
        <v>586</v>
      </c>
      <c r="C13" s="308" t="s">
        <v>366</v>
      </c>
      <c r="D13" s="5" t="s">
        <v>256</v>
      </c>
      <c r="E13" s="3">
        <v>10</v>
      </c>
      <c r="F13" s="3">
        <v>21</v>
      </c>
      <c r="G13" s="3">
        <f t="shared" ref="G13:G65" si="2">SUM(E13:F13)</f>
        <v>31</v>
      </c>
      <c r="H13" s="3"/>
      <c r="I13" s="3"/>
      <c r="J13" s="3">
        <v>43</v>
      </c>
      <c r="K13" s="3">
        <f t="shared" ref="K13:K65" si="3">SUM(G13:J13)</f>
        <v>74</v>
      </c>
      <c r="L13" s="7" t="str">
        <f t="shared" si="0"/>
        <v>B+</v>
      </c>
      <c r="M13" s="7" t="str">
        <f t="shared" ref="M13:M63" si="4">IF(K13&gt;=50,"Passed","Failed")</f>
        <v>Passed</v>
      </c>
      <c r="N13" s="7" t="s">
        <v>20</v>
      </c>
      <c r="O13" s="9">
        <f>COUNT(G12:G65)</f>
        <v>54</v>
      </c>
      <c r="P13" s="10"/>
    </row>
    <row r="14" spans="1:16" ht="15.6" x14ac:dyDescent="0.3">
      <c r="A14" s="3">
        <f t="shared" si="1"/>
        <v>3</v>
      </c>
      <c r="B14" s="306" t="s">
        <v>432</v>
      </c>
      <c r="C14" s="309" t="s">
        <v>367</v>
      </c>
      <c r="D14" s="5" t="s">
        <v>259</v>
      </c>
      <c r="E14" s="3">
        <v>10</v>
      </c>
      <c r="F14" s="3">
        <v>22</v>
      </c>
      <c r="G14" s="3">
        <f t="shared" si="2"/>
        <v>32</v>
      </c>
      <c r="H14" s="3"/>
      <c r="I14" s="3"/>
      <c r="J14" s="3">
        <v>42</v>
      </c>
      <c r="K14" s="3">
        <f t="shared" si="3"/>
        <v>74</v>
      </c>
      <c r="L14" s="7" t="str">
        <f t="shared" si="0"/>
        <v>B+</v>
      </c>
      <c r="M14" s="7" t="str">
        <f t="shared" si="4"/>
        <v>Passed</v>
      </c>
      <c r="N14" s="7" t="s">
        <v>21</v>
      </c>
      <c r="O14" s="9">
        <f>COUNT(J12:J65)</f>
        <v>54</v>
      </c>
      <c r="P14" s="10"/>
    </row>
    <row r="15" spans="1:16" ht="15.6" x14ac:dyDescent="0.3">
      <c r="A15" s="3">
        <f t="shared" si="1"/>
        <v>4</v>
      </c>
      <c r="B15" s="306" t="s">
        <v>433</v>
      </c>
      <c r="C15" s="310" t="s">
        <v>368</v>
      </c>
      <c r="D15" s="5" t="s">
        <v>224</v>
      </c>
      <c r="E15" s="3">
        <v>10</v>
      </c>
      <c r="F15" s="3">
        <v>22</v>
      </c>
      <c r="G15" s="3">
        <f t="shared" si="2"/>
        <v>32</v>
      </c>
      <c r="H15" s="3"/>
      <c r="I15" s="3"/>
      <c r="J15" s="3">
        <v>45</v>
      </c>
      <c r="K15" s="3">
        <f t="shared" si="3"/>
        <v>77</v>
      </c>
      <c r="L15" s="7" t="str">
        <f t="shared" si="0"/>
        <v>B+</v>
      </c>
      <c r="M15" s="7" t="str">
        <f t="shared" si="4"/>
        <v>Passed</v>
      </c>
      <c r="N15" s="7" t="s">
        <v>22</v>
      </c>
      <c r="O15" s="9">
        <f>O13-O14</f>
        <v>0</v>
      </c>
      <c r="P15" s="10"/>
    </row>
    <row r="16" spans="1:16" ht="15.6" x14ac:dyDescent="0.3">
      <c r="A16" s="3">
        <f t="shared" si="1"/>
        <v>5</v>
      </c>
      <c r="B16" s="306" t="s">
        <v>434</v>
      </c>
      <c r="C16" s="310" t="s">
        <v>606</v>
      </c>
      <c r="D16" s="5" t="s">
        <v>613</v>
      </c>
      <c r="E16" s="3">
        <v>10</v>
      </c>
      <c r="F16" s="3">
        <v>20</v>
      </c>
      <c r="G16" s="3">
        <f t="shared" si="2"/>
        <v>30</v>
      </c>
      <c r="H16" s="3"/>
      <c r="I16" s="3"/>
      <c r="J16" s="3">
        <v>57</v>
      </c>
      <c r="K16" s="3">
        <f t="shared" si="3"/>
        <v>87</v>
      </c>
      <c r="L16" s="7" t="str">
        <f t="shared" si="0"/>
        <v>A</v>
      </c>
      <c r="M16" s="7" t="str">
        <f t="shared" si="4"/>
        <v>Passed</v>
      </c>
      <c r="N16" s="7" t="s">
        <v>23</v>
      </c>
      <c r="O16" s="9">
        <f>COUNTIF(M12:M65,"Passed")</f>
        <v>47</v>
      </c>
      <c r="P16" s="10"/>
    </row>
    <row r="17" spans="1:25" ht="15.6" x14ac:dyDescent="0.3">
      <c r="A17" s="3">
        <f t="shared" si="1"/>
        <v>6</v>
      </c>
      <c r="B17" s="306" t="s">
        <v>544</v>
      </c>
      <c r="C17" s="309" t="s">
        <v>369</v>
      </c>
      <c r="D17" s="5" t="s">
        <v>240</v>
      </c>
      <c r="E17" s="3">
        <v>10</v>
      </c>
      <c r="F17" s="3">
        <v>23</v>
      </c>
      <c r="G17" s="3">
        <f t="shared" si="2"/>
        <v>33</v>
      </c>
      <c r="H17" s="3"/>
      <c r="I17" s="3"/>
      <c r="J17" s="5">
        <v>50</v>
      </c>
      <c r="K17" s="3">
        <f t="shared" si="3"/>
        <v>83</v>
      </c>
      <c r="L17" s="7" t="str">
        <f t="shared" si="0"/>
        <v>A</v>
      </c>
      <c r="M17" s="7" t="str">
        <f t="shared" si="4"/>
        <v>Passed</v>
      </c>
      <c r="N17" s="7" t="s">
        <v>24</v>
      </c>
      <c r="O17" s="29">
        <f>O16/O14%</f>
        <v>87.037037037037038</v>
      </c>
      <c r="P17" s="10"/>
    </row>
    <row r="18" spans="1:25" ht="15.6" x14ac:dyDescent="0.3">
      <c r="A18" s="3">
        <f t="shared" si="1"/>
        <v>7</v>
      </c>
      <c r="B18" s="306" t="s">
        <v>562</v>
      </c>
      <c r="C18" s="309" t="s">
        <v>370</v>
      </c>
      <c r="D18" s="5" t="s">
        <v>239</v>
      </c>
      <c r="E18" s="5">
        <v>10</v>
      </c>
      <c r="F18" s="5">
        <v>12</v>
      </c>
      <c r="G18" s="3">
        <f t="shared" si="2"/>
        <v>22</v>
      </c>
      <c r="H18" s="3"/>
      <c r="I18" s="3"/>
      <c r="J18" s="5">
        <v>17</v>
      </c>
      <c r="K18" s="3">
        <f t="shared" si="3"/>
        <v>39</v>
      </c>
      <c r="L18" s="7" t="str">
        <f t="shared" si="0"/>
        <v>F</v>
      </c>
      <c r="M18" s="7" t="str">
        <f t="shared" si="4"/>
        <v>Failed</v>
      </c>
      <c r="N18" s="10" t="s">
        <v>25</v>
      </c>
      <c r="O18" s="9">
        <f>COUNTIF(M12:M65,"failed")</f>
        <v>7</v>
      </c>
      <c r="P18" s="10"/>
    </row>
    <row r="19" spans="1:25" ht="15.6" x14ac:dyDescent="0.3">
      <c r="A19" s="3">
        <f t="shared" si="1"/>
        <v>8</v>
      </c>
      <c r="B19" s="306" t="s">
        <v>435</v>
      </c>
      <c r="C19" s="310" t="s">
        <v>595</v>
      </c>
      <c r="D19" s="5" t="s">
        <v>235</v>
      </c>
      <c r="E19" s="5">
        <v>9</v>
      </c>
      <c r="F19" s="5">
        <v>23</v>
      </c>
      <c r="G19" s="3">
        <f t="shared" si="2"/>
        <v>32</v>
      </c>
      <c r="H19" s="3"/>
      <c r="I19" s="3"/>
      <c r="J19" s="5">
        <v>54</v>
      </c>
      <c r="K19" s="3">
        <f t="shared" si="3"/>
        <v>86</v>
      </c>
      <c r="L19" s="7" t="str">
        <f t="shared" si="0"/>
        <v>A</v>
      </c>
      <c r="M19" s="7" t="str">
        <f t="shared" si="4"/>
        <v>Passed</v>
      </c>
      <c r="N19" s="10" t="s">
        <v>26</v>
      </c>
      <c r="O19" s="29">
        <f>O18/O14%</f>
        <v>12.962962962962962</v>
      </c>
      <c r="P19" s="10"/>
    </row>
    <row r="20" spans="1:25" ht="15.6" x14ac:dyDescent="0.3">
      <c r="A20" s="3">
        <f t="shared" si="1"/>
        <v>9</v>
      </c>
      <c r="B20" s="306" t="s">
        <v>436</v>
      </c>
      <c r="C20" s="309" t="s">
        <v>371</v>
      </c>
      <c r="D20" s="5" t="s">
        <v>244</v>
      </c>
      <c r="E20" s="5">
        <v>9</v>
      </c>
      <c r="F20" s="5">
        <v>23</v>
      </c>
      <c r="G20" s="3">
        <f t="shared" si="2"/>
        <v>32</v>
      </c>
      <c r="H20" s="3"/>
      <c r="I20" s="3"/>
      <c r="J20" s="5">
        <v>57</v>
      </c>
      <c r="K20" s="3">
        <f t="shared" si="3"/>
        <v>89</v>
      </c>
      <c r="L20" s="7" t="str">
        <f t="shared" si="0"/>
        <v>A</v>
      </c>
      <c r="M20" s="7" t="str">
        <f t="shared" si="4"/>
        <v>Passed</v>
      </c>
      <c r="N20" s="10" t="s">
        <v>27</v>
      </c>
      <c r="O20" s="29">
        <f>AVERAGE(K12:K65)</f>
        <v>66.833333333333329</v>
      </c>
      <c r="P20" s="10"/>
    </row>
    <row r="21" spans="1:25" ht="15.6" x14ac:dyDescent="0.3">
      <c r="A21" s="3">
        <f t="shared" si="1"/>
        <v>10</v>
      </c>
      <c r="B21" s="306" t="s">
        <v>437</v>
      </c>
      <c r="C21" s="310" t="s">
        <v>372</v>
      </c>
      <c r="D21" s="5" t="s">
        <v>232</v>
      </c>
      <c r="E21" s="5">
        <v>9</v>
      </c>
      <c r="F21" s="5">
        <v>20</v>
      </c>
      <c r="G21" s="3">
        <f t="shared" si="2"/>
        <v>29</v>
      </c>
      <c r="H21" s="3"/>
      <c r="I21" s="3"/>
      <c r="J21" s="5">
        <v>17</v>
      </c>
      <c r="K21" s="3">
        <f t="shared" si="3"/>
        <v>46</v>
      </c>
      <c r="L21" s="7" t="str">
        <f t="shared" si="0"/>
        <v>D+</v>
      </c>
      <c r="M21" s="7" t="str">
        <f t="shared" si="4"/>
        <v>Failed</v>
      </c>
      <c r="N21" s="10"/>
      <c r="O21" s="9"/>
      <c r="P21" s="10"/>
    </row>
    <row r="22" spans="1:25" ht="15.6" x14ac:dyDescent="0.3">
      <c r="A22" s="3">
        <f t="shared" si="1"/>
        <v>11</v>
      </c>
      <c r="B22" s="306" t="s">
        <v>438</v>
      </c>
      <c r="C22" s="307" t="s">
        <v>373</v>
      </c>
      <c r="D22" s="5" t="s">
        <v>229</v>
      </c>
      <c r="E22" s="5">
        <v>10</v>
      </c>
      <c r="F22" s="5">
        <v>24</v>
      </c>
      <c r="G22" s="3">
        <f t="shared" si="2"/>
        <v>34</v>
      </c>
      <c r="H22" s="3"/>
      <c r="I22" s="3"/>
      <c r="J22" s="5">
        <v>42</v>
      </c>
      <c r="K22" s="3">
        <f t="shared" si="3"/>
        <v>76</v>
      </c>
      <c r="L22" s="7" t="str">
        <f t="shared" si="0"/>
        <v>B+</v>
      </c>
      <c r="M22" s="7" t="str">
        <f t="shared" si="4"/>
        <v>Passed</v>
      </c>
      <c r="N22" s="10"/>
      <c r="O22" s="11"/>
      <c r="P22" s="10"/>
      <c r="Q22" s="10"/>
      <c r="R22" s="10"/>
      <c r="S22" s="10"/>
      <c r="T22" s="10"/>
      <c r="U22" s="10"/>
      <c r="V22" s="10"/>
      <c r="W22" s="10"/>
    </row>
    <row r="23" spans="1:25" ht="15.6" x14ac:dyDescent="0.3">
      <c r="A23" s="3">
        <f t="shared" si="1"/>
        <v>12</v>
      </c>
      <c r="B23" s="306" t="s">
        <v>439</v>
      </c>
      <c r="C23" s="307" t="s">
        <v>565</v>
      </c>
      <c r="D23" s="5" t="s">
        <v>263</v>
      </c>
      <c r="E23" s="5">
        <v>9</v>
      </c>
      <c r="F23" s="339">
        <v>13</v>
      </c>
      <c r="G23" s="3">
        <f t="shared" si="2"/>
        <v>22</v>
      </c>
      <c r="H23" s="3"/>
      <c r="I23" s="3"/>
      <c r="J23" s="5">
        <v>28</v>
      </c>
      <c r="K23" s="3">
        <f t="shared" si="3"/>
        <v>50</v>
      </c>
      <c r="L23" s="7" t="str">
        <f t="shared" si="0"/>
        <v>C</v>
      </c>
      <c r="M23" s="7" t="str">
        <f t="shared" si="4"/>
        <v>Passed</v>
      </c>
      <c r="N23" s="10"/>
      <c r="O23" s="9"/>
      <c r="P23" s="9"/>
      <c r="Q23" s="9"/>
      <c r="R23" s="9"/>
      <c r="S23" s="9"/>
      <c r="T23" s="9"/>
      <c r="U23" s="9"/>
      <c r="V23" s="9"/>
      <c r="W23" s="9"/>
    </row>
    <row r="24" spans="1:25" ht="15.6" x14ac:dyDescent="0.3">
      <c r="A24" s="3">
        <f t="shared" si="1"/>
        <v>13</v>
      </c>
      <c r="B24" s="306" t="s">
        <v>440</v>
      </c>
      <c r="C24" s="310" t="s">
        <v>374</v>
      </c>
      <c r="D24" s="5" t="s">
        <v>614</v>
      </c>
      <c r="E24" s="5">
        <v>10</v>
      </c>
      <c r="F24" s="5">
        <v>17</v>
      </c>
      <c r="G24" s="3">
        <f t="shared" si="2"/>
        <v>27</v>
      </c>
      <c r="H24" s="3"/>
      <c r="I24" s="3"/>
      <c r="J24" s="5">
        <v>60</v>
      </c>
      <c r="K24" s="3">
        <f t="shared" si="3"/>
        <v>87</v>
      </c>
      <c r="L24" s="7" t="str">
        <f t="shared" si="0"/>
        <v>A</v>
      </c>
      <c r="M24" s="7" t="str">
        <f t="shared" si="4"/>
        <v>Passed</v>
      </c>
      <c r="N24" s="10"/>
      <c r="O24" s="11"/>
      <c r="P24" s="9"/>
      <c r="Q24" s="9"/>
      <c r="R24" s="10" t="s">
        <v>28</v>
      </c>
      <c r="S24" s="10" t="s">
        <v>29</v>
      </c>
      <c r="T24" s="10" t="s">
        <v>30</v>
      </c>
      <c r="U24" s="10" t="s">
        <v>31</v>
      </c>
      <c r="V24" s="10" t="s">
        <v>32</v>
      </c>
      <c r="W24" s="10" t="s">
        <v>33</v>
      </c>
      <c r="X24" s="10" t="s">
        <v>34</v>
      </c>
      <c r="Y24" s="10" t="s">
        <v>35</v>
      </c>
    </row>
    <row r="25" spans="1:25" ht="15.6" x14ac:dyDescent="0.3">
      <c r="A25" s="3">
        <f t="shared" si="1"/>
        <v>14</v>
      </c>
      <c r="B25" s="306" t="s">
        <v>441</v>
      </c>
      <c r="C25" s="310" t="s">
        <v>375</v>
      </c>
      <c r="D25" s="5" t="s">
        <v>620</v>
      </c>
      <c r="E25" s="5">
        <v>10</v>
      </c>
      <c r="F25" s="5">
        <v>23</v>
      </c>
      <c r="G25" s="3">
        <f t="shared" si="2"/>
        <v>33</v>
      </c>
      <c r="H25" s="3"/>
      <c r="I25" s="3"/>
      <c r="J25" s="5">
        <v>34</v>
      </c>
      <c r="K25" s="3">
        <f t="shared" si="3"/>
        <v>67</v>
      </c>
      <c r="L25" s="7" t="str">
        <f t="shared" si="0"/>
        <v>B</v>
      </c>
      <c r="M25" s="7" t="str">
        <f t="shared" si="4"/>
        <v>Passed</v>
      </c>
      <c r="N25" s="11"/>
      <c r="O25" s="10"/>
      <c r="P25" s="9"/>
      <c r="R25">
        <f>COUNTIF(L12:L65,"A")</f>
        <v>12</v>
      </c>
      <c r="S25">
        <f>COUNTIF(L12:L65,"B+")</f>
        <v>17</v>
      </c>
      <c r="T25">
        <f>COUNTIF(L12:L65,"B")</f>
        <v>9</v>
      </c>
      <c r="U25">
        <f>COUNTIF(L12:L65,"C+")</f>
        <v>4</v>
      </c>
      <c r="V25">
        <f>COUNTIF(L12:L65,"C")</f>
        <v>5</v>
      </c>
      <c r="W25">
        <f>COUNTIF(L12:L65,"D+")</f>
        <v>1</v>
      </c>
      <c r="X25">
        <f>COUNTIF(L12:L65,"D")</f>
        <v>2</v>
      </c>
      <c r="Y25">
        <f>COUNTIF(L12:L65,"F")</f>
        <v>4</v>
      </c>
    </row>
    <row r="26" spans="1:25" ht="15.6" x14ac:dyDescent="0.3">
      <c r="A26" s="3">
        <f t="shared" si="1"/>
        <v>15</v>
      </c>
      <c r="B26" s="306" t="s">
        <v>442</v>
      </c>
      <c r="C26" s="310" t="s">
        <v>376</v>
      </c>
      <c r="D26" s="5" t="s">
        <v>252</v>
      </c>
      <c r="E26" s="5">
        <v>10</v>
      </c>
      <c r="F26" s="5">
        <v>15</v>
      </c>
      <c r="G26" s="3">
        <f t="shared" si="2"/>
        <v>25</v>
      </c>
      <c r="H26" s="3"/>
      <c r="I26" s="3"/>
      <c r="J26" s="5">
        <v>46</v>
      </c>
      <c r="K26" s="3">
        <f t="shared" si="3"/>
        <v>71</v>
      </c>
      <c r="L26" s="7" t="str">
        <f t="shared" si="0"/>
        <v>B+</v>
      </c>
      <c r="M26" s="7" t="str">
        <f t="shared" si="4"/>
        <v>Passed</v>
      </c>
      <c r="N26" s="10"/>
      <c r="O26" s="10"/>
      <c r="P26" s="9"/>
    </row>
    <row r="27" spans="1:25" ht="15.6" x14ac:dyDescent="0.3">
      <c r="A27" s="3">
        <f t="shared" si="1"/>
        <v>16</v>
      </c>
      <c r="B27" s="306" t="s">
        <v>443</v>
      </c>
      <c r="C27" s="307" t="s">
        <v>377</v>
      </c>
      <c r="D27" s="5" t="s">
        <v>253</v>
      </c>
      <c r="E27" s="5">
        <v>8</v>
      </c>
      <c r="F27" s="5">
        <v>25</v>
      </c>
      <c r="G27" s="3">
        <f t="shared" si="2"/>
        <v>33</v>
      </c>
      <c r="H27" s="3"/>
      <c r="I27" s="3"/>
      <c r="J27" s="5">
        <v>48</v>
      </c>
      <c r="K27" s="3">
        <f t="shared" si="3"/>
        <v>81</v>
      </c>
      <c r="L27" s="7" t="str">
        <f t="shared" si="0"/>
        <v>A</v>
      </c>
      <c r="M27" s="7" t="str">
        <f t="shared" si="4"/>
        <v>Passed</v>
      </c>
      <c r="N27" s="11"/>
      <c r="O27" s="10"/>
      <c r="P27" s="9"/>
    </row>
    <row r="28" spans="1:25" ht="15.6" x14ac:dyDescent="0.3">
      <c r="A28" s="3">
        <f t="shared" si="1"/>
        <v>17</v>
      </c>
      <c r="B28" s="306" t="s">
        <v>444</v>
      </c>
      <c r="C28" s="310" t="s">
        <v>378</v>
      </c>
      <c r="D28" s="5" t="s">
        <v>237</v>
      </c>
      <c r="E28" s="5">
        <v>9</v>
      </c>
      <c r="F28" s="5">
        <v>21</v>
      </c>
      <c r="G28" s="3">
        <f t="shared" si="2"/>
        <v>30</v>
      </c>
      <c r="H28" s="3"/>
      <c r="I28" s="3"/>
      <c r="J28" s="5">
        <v>38</v>
      </c>
      <c r="K28" s="3">
        <f t="shared" si="3"/>
        <v>68</v>
      </c>
      <c r="L28" s="7" t="str">
        <f t="shared" si="0"/>
        <v>B</v>
      </c>
      <c r="M28" s="7" t="str">
        <f t="shared" si="4"/>
        <v>Passed</v>
      </c>
      <c r="N28" s="10"/>
      <c r="O28" s="10"/>
      <c r="P28" s="9"/>
    </row>
    <row r="29" spans="1:25" ht="15.6" x14ac:dyDescent="0.3">
      <c r="A29" s="3">
        <f t="shared" si="1"/>
        <v>18</v>
      </c>
      <c r="B29" s="306" t="s">
        <v>445</v>
      </c>
      <c r="C29" s="308" t="s">
        <v>379</v>
      </c>
      <c r="D29" s="5" t="s">
        <v>227</v>
      </c>
      <c r="E29" s="5">
        <v>10</v>
      </c>
      <c r="F29" s="5">
        <v>16</v>
      </c>
      <c r="G29" s="3">
        <f t="shared" si="2"/>
        <v>26</v>
      </c>
      <c r="H29" s="3"/>
      <c r="I29" s="3"/>
      <c r="J29" s="5">
        <v>36</v>
      </c>
      <c r="K29" s="3">
        <f t="shared" si="3"/>
        <v>62</v>
      </c>
      <c r="L29" s="7" t="str">
        <f t="shared" si="0"/>
        <v>B</v>
      </c>
      <c r="M29" s="7" t="str">
        <f t="shared" si="4"/>
        <v>Passed</v>
      </c>
      <c r="N29" s="10"/>
      <c r="O29" s="10"/>
      <c r="P29" s="9"/>
    </row>
    <row r="30" spans="1:25" ht="15.6" x14ac:dyDescent="0.3">
      <c r="A30" s="3">
        <f t="shared" si="1"/>
        <v>19</v>
      </c>
      <c r="B30" s="306" t="s">
        <v>446</v>
      </c>
      <c r="C30" s="310" t="s">
        <v>602</v>
      </c>
      <c r="D30" s="5" t="s">
        <v>265</v>
      </c>
      <c r="E30" s="5">
        <v>10</v>
      </c>
      <c r="F30" s="5">
        <v>18</v>
      </c>
      <c r="G30" s="3">
        <f t="shared" si="2"/>
        <v>28</v>
      </c>
      <c r="H30" s="3"/>
      <c r="I30" s="3"/>
      <c r="J30" s="5">
        <v>54</v>
      </c>
      <c r="K30" s="3">
        <f t="shared" si="3"/>
        <v>82</v>
      </c>
      <c r="L30" s="7" t="str">
        <f t="shared" si="0"/>
        <v>A</v>
      </c>
      <c r="M30" s="7" t="str">
        <f t="shared" si="4"/>
        <v>Passed</v>
      </c>
      <c r="N30" s="10"/>
      <c r="O30" s="10"/>
      <c r="P30" s="9"/>
    </row>
    <row r="31" spans="1:25" ht="15.6" x14ac:dyDescent="0.3">
      <c r="A31" s="3">
        <f t="shared" si="1"/>
        <v>20</v>
      </c>
      <c r="B31" s="306" t="s">
        <v>448</v>
      </c>
      <c r="C31" s="308" t="s">
        <v>380</v>
      </c>
      <c r="D31" s="5" t="s">
        <v>612</v>
      </c>
      <c r="E31" s="5">
        <v>9</v>
      </c>
      <c r="F31" s="5">
        <v>14</v>
      </c>
      <c r="G31" s="3">
        <f t="shared" si="2"/>
        <v>23</v>
      </c>
      <c r="H31" s="3"/>
      <c r="I31" s="3"/>
      <c r="J31" s="5">
        <v>28</v>
      </c>
      <c r="K31" s="3">
        <f t="shared" si="3"/>
        <v>51</v>
      </c>
      <c r="L31" s="7" t="str">
        <f t="shared" si="0"/>
        <v>C</v>
      </c>
      <c r="M31" s="7" t="str">
        <f t="shared" si="4"/>
        <v>Passed</v>
      </c>
      <c r="N31" s="10"/>
      <c r="O31" s="10"/>
      <c r="P31" s="9"/>
    </row>
    <row r="32" spans="1:25" ht="15.6" x14ac:dyDescent="0.3">
      <c r="A32" s="3">
        <f t="shared" si="1"/>
        <v>21</v>
      </c>
      <c r="B32" s="306" t="s">
        <v>447</v>
      </c>
      <c r="C32" s="310" t="s">
        <v>381</v>
      </c>
      <c r="D32" s="5" t="s">
        <v>231</v>
      </c>
      <c r="E32" s="5">
        <v>9</v>
      </c>
      <c r="F32" s="5">
        <v>15</v>
      </c>
      <c r="G32" s="3">
        <f t="shared" si="2"/>
        <v>24</v>
      </c>
      <c r="H32" s="3"/>
      <c r="I32" s="3"/>
      <c r="J32" s="5">
        <v>48</v>
      </c>
      <c r="K32" s="3">
        <f t="shared" si="3"/>
        <v>72</v>
      </c>
      <c r="L32" s="7" t="str">
        <f t="shared" si="0"/>
        <v>B+</v>
      </c>
      <c r="M32" s="7" t="str">
        <f t="shared" si="4"/>
        <v>Passed</v>
      </c>
      <c r="N32" s="10"/>
      <c r="O32" s="10"/>
      <c r="P32" s="9"/>
    </row>
    <row r="33" spans="1:16" ht="15.6" x14ac:dyDescent="0.3">
      <c r="A33" s="3">
        <f t="shared" si="1"/>
        <v>22</v>
      </c>
      <c r="B33" s="313" t="s">
        <v>570</v>
      </c>
      <c r="C33" s="309" t="s">
        <v>382</v>
      </c>
      <c r="D33" s="5" t="s">
        <v>254</v>
      </c>
      <c r="E33" s="5">
        <v>8</v>
      </c>
      <c r="F33" s="5">
        <v>19</v>
      </c>
      <c r="G33" s="3">
        <f t="shared" si="2"/>
        <v>27</v>
      </c>
      <c r="H33" s="3"/>
      <c r="I33" s="3"/>
      <c r="J33" s="5">
        <v>45</v>
      </c>
      <c r="K33" s="3">
        <f t="shared" si="3"/>
        <v>72</v>
      </c>
      <c r="L33" s="7" t="str">
        <f t="shared" si="0"/>
        <v>B+</v>
      </c>
      <c r="M33" s="7" t="str">
        <f t="shared" si="4"/>
        <v>Passed</v>
      </c>
      <c r="N33" s="10"/>
      <c r="O33" s="9"/>
      <c r="P33" s="10"/>
    </row>
    <row r="34" spans="1:16" ht="15.6" x14ac:dyDescent="0.3">
      <c r="A34" s="3">
        <f t="shared" si="1"/>
        <v>23</v>
      </c>
      <c r="B34" s="306" t="s">
        <v>449</v>
      </c>
      <c r="C34" s="309" t="s">
        <v>383</v>
      </c>
      <c r="D34" s="5" t="s">
        <v>251</v>
      </c>
      <c r="E34" s="5">
        <v>8</v>
      </c>
      <c r="F34" s="5">
        <v>25</v>
      </c>
      <c r="G34" s="3">
        <f t="shared" si="2"/>
        <v>33</v>
      </c>
      <c r="H34" s="3"/>
      <c r="I34" s="3"/>
      <c r="J34" s="5">
        <v>43</v>
      </c>
      <c r="K34" s="3">
        <f t="shared" si="3"/>
        <v>76</v>
      </c>
      <c r="L34" s="7" t="str">
        <f t="shared" si="0"/>
        <v>B+</v>
      </c>
      <c r="M34" s="7" t="str">
        <f t="shared" si="4"/>
        <v>Passed</v>
      </c>
      <c r="N34" s="10"/>
      <c r="O34" s="9"/>
      <c r="P34" s="10"/>
    </row>
    <row r="35" spans="1:16" ht="15.6" x14ac:dyDescent="0.3">
      <c r="A35" s="3">
        <f t="shared" si="1"/>
        <v>24</v>
      </c>
      <c r="B35" s="306" t="s">
        <v>450</v>
      </c>
      <c r="C35" s="309" t="s">
        <v>384</v>
      </c>
      <c r="D35" s="5" t="s">
        <v>257</v>
      </c>
      <c r="E35" s="5">
        <v>9</v>
      </c>
      <c r="F35" s="5">
        <v>19</v>
      </c>
      <c r="G35" s="3">
        <f t="shared" si="2"/>
        <v>28</v>
      </c>
      <c r="H35" s="3"/>
      <c r="I35" s="3"/>
      <c r="J35" s="5">
        <v>48</v>
      </c>
      <c r="K35" s="3">
        <f t="shared" si="3"/>
        <v>76</v>
      </c>
      <c r="L35" s="7" t="str">
        <f t="shared" si="0"/>
        <v>B+</v>
      </c>
      <c r="M35" s="7" t="str">
        <f t="shared" si="4"/>
        <v>Passed</v>
      </c>
      <c r="N35" s="10"/>
      <c r="O35" s="9"/>
      <c r="P35" s="10"/>
    </row>
    <row r="36" spans="1:16" ht="15.6" x14ac:dyDescent="0.3">
      <c r="A36" s="3">
        <f t="shared" si="1"/>
        <v>25</v>
      </c>
      <c r="B36" s="306" t="s">
        <v>451</v>
      </c>
      <c r="C36" s="310" t="s">
        <v>385</v>
      </c>
      <c r="D36" s="5" t="s">
        <v>223</v>
      </c>
      <c r="E36" s="5">
        <v>10</v>
      </c>
      <c r="F36" s="5">
        <v>25</v>
      </c>
      <c r="G36" s="3">
        <f t="shared" si="2"/>
        <v>35</v>
      </c>
      <c r="H36" s="3"/>
      <c r="I36" s="3"/>
      <c r="J36" s="5">
        <v>17</v>
      </c>
      <c r="K36" s="3">
        <f t="shared" si="3"/>
        <v>52</v>
      </c>
      <c r="L36" s="7" t="str">
        <f t="shared" si="0"/>
        <v>C</v>
      </c>
      <c r="M36" s="7" t="str">
        <f t="shared" si="4"/>
        <v>Passed</v>
      </c>
      <c r="N36" s="10"/>
      <c r="O36" s="9"/>
      <c r="P36" s="10"/>
    </row>
    <row r="37" spans="1:16" ht="15.6" x14ac:dyDescent="0.3">
      <c r="A37" s="3">
        <f t="shared" si="1"/>
        <v>26</v>
      </c>
      <c r="B37" s="306" t="s">
        <v>452</v>
      </c>
      <c r="C37" s="310" t="s">
        <v>386</v>
      </c>
      <c r="D37" s="5" t="s">
        <v>248</v>
      </c>
      <c r="E37" s="59">
        <v>9</v>
      </c>
      <c r="F37" s="59">
        <v>18</v>
      </c>
      <c r="G37" s="3">
        <f t="shared" si="2"/>
        <v>27</v>
      </c>
      <c r="H37" s="58"/>
      <c r="I37" s="58"/>
      <c r="J37" s="59">
        <v>34</v>
      </c>
      <c r="K37" s="3">
        <f t="shared" si="3"/>
        <v>61</v>
      </c>
      <c r="L37" s="7" t="str">
        <f t="shared" si="0"/>
        <v>B</v>
      </c>
      <c r="M37" s="7" t="str">
        <f t="shared" si="4"/>
        <v>Passed</v>
      </c>
      <c r="N37" s="10"/>
      <c r="O37" s="9"/>
      <c r="P37" s="10"/>
    </row>
    <row r="38" spans="1:16" ht="15.6" x14ac:dyDescent="0.3">
      <c r="A38" s="3">
        <f t="shared" si="1"/>
        <v>27</v>
      </c>
      <c r="B38" s="306" t="s">
        <v>453</v>
      </c>
      <c r="C38" s="309" t="s">
        <v>387</v>
      </c>
      <c r="D38" s="5" t="s">
        <v>230</v>
      </c>
      <c r="E38" s="5">
        <v>10</v>
      </c>
      <c r="F38" s="5">
        <v>19</v>
      </c>
      <c r="G38" s="3">
        <f t="shared" si="2"/>
        <v>29</v>
      </c>
      <c r="H38" s="3"/>
      <c r="I38" s="3"/>
      <c r="J38" s="5">
        <v>42</v>
      </c>
      <c r="K38" s="3">
        <f t="shared" si="3"/>
        <v>71</v>
      </c>
      <c r="L38" s="7" t="str">
        <f t="shared" si="0"/>
        <v>B+</v>
      </c>
      <c r="M38" s="7" t="str">
        <f t="shared" si="4"/>
        <v>Passed</v>
      </c>
      <c r="N38" s="10"/>
      <c r="O38" s="9"/>
      <c r="P38" s="10"/>
    </row>
    <row r="39" spans="1:16" ht="15.6" x14ac:dyDescent="0.3">
      <c r="A39" s="3">
        <f t="shared" si="1"/>
        <v>28</v>
      </c>
      <c r="B39" s="388">
        <v>400123</v>
      </c>
      <c r="C39" s="310" t="s">
        <v>388</v>
      </c>
      <c r="D39" s="5" t="s">
        <v>233</v>
      </c>
      <c r="E39" s="5">
        <v>10</v>
      </c>
      <c r="F39" s="5">
        <v>7</v>
      </c>
      <c r="G39" s="3">
        <f t="shared" si="2"/>
        <v>17</v>
      </c>
      <c r="H39" s="3"/>
      <c r="I39" s="3"/>
      <c r="J39" s="5">
        <v>42</v>
      </c>
      <c r="K39" s="3">
        <f t="shared" si="3"/>
        <v>59</v>
      </c>
      <c r="L39" s="7" t="str">
        <f t="shared" si="0"/>
        <v>C+</v>
      </c>
      <c r="M39" s="7" t="str">
        <f t="shared" si="4"/>
        <v>Passed</v>
      </c>
      <c r="N39" s="10"/>
      <c r="O39" s="9"/>
      <c r="P39" s="10"/>
    </row>
    <row r="40" spans="1:16" ht="15.6" x14ac:dyDescent="0.3">
      <c r="A40" s="3">
        <f t="shared" si="1"/>
        <v>29</v>
      </c>
      <c r="B40" s="306" t="s">
        <v>454</v>
      </c>
      <c r="C40" s="309" t="s">
        <v>771</v>
      </c>
      <c r="D40" s="5" t="s">
        <v>617</v>
      </c>
      <c r="E40" s="5">
        <v>10</v>
      </c>
      <c r="F40" s="5">
        <v>9</v>
      </c>
      <c r="G40" s="3">
        <f t="shared" si="2"/>
        <v>19</v>
      </c>
      <c r="H40" s="3"/>
      <c r="I40" s="3"/>
      <c r="J40" s="5">
        <v>44</v>
      </c>
      <c r="K40" s="3">
        <f t="shared" si="3"/>
        <v>63</v>
      </c>
      <c r="L40" s="7" t="str">
        <f t="shared" si="0"/>
        <v>B</v>
      </c>
      <c r="M40" s="7" t="str">
        <f t="shared" si="4"/>
        <v>Passed</v>
      </c>
      <c r="N40" s="10"/>
      <c r="O40" s="9"/>
      <c r="P40" s="10"/>
    </row>
    <row r="41" spans="1:16" ht="15.6" x14ac:dyDescent="0.3">
      <c r="A41" s="3">
        <f t="shared" si="1"/>
        <v>30</v>
      </c>
      <c r="B41" s="306" t="s">
        <v>455</v>
      </c>
      <c r="C41" s="307" t="s">
        <v>389</v>
      </c>
      <c r="D41" s="5" t="s">
        <v>619</v>
      </c>
      <c r="E41" s="5">
        <v>10</v>
      </c>
      <c r="F41" s="5">
        <v>21</v>
      </c>
      <c r="G41" s="3">
        <f t="shared" si="2"/>
        <v>31</v>
      </c>
      <c r="H41" s="3"/>
      <c r="I41" s="3"/>
      <c r="J41" s="5">
        <v>56</v>
      </c>
      <c r="K41" s="3">
        <f t="shared" si="3"/>
        <v>87</v>
      </c>
      <c r="L41" s="7" t="str">
        <f t="shared" si="0"/>
        <v>A</v>
      </c>
      <c r="M41" s="7" t="str">
        <f t="shared" si="4"/>
        <v>Passed</v>
      </c>
      <c r="N41" s="10"/>
      <c r="O41" s="9"/>
      <c r="P41" s="10"/>
    </row>
    <row r="42" spans="1:16" ht="15.6" x14ac:dyDescent="0.3">
      <c r="A42" s="3">
        <f t="shared" si="1"/>
        <v>31</v>
      </c>
      <c r="B42" s="306" t="s">
        <v>456</v>
      </c>
      <c r="C42" s="310" t="s">
        <v>535</v>
      </c>
      <c r="D42" s="5" t="s">
        <v>246</v>
      </c>
      <c r="E42" s="5">
        <v>9</v>
      </c>
      <c r="F42" s="5">
        <v>24</v>
      </c>
      <c r="G42" s="3">
        <f t="shared" si="2"/>
        <v>33</v>
      </c>
      <c r="H42" s="3"/>
      <c r="I42" s="3"/>
      <c r="J42" s="5">
        <v>37</v>
      </c>
      <c r="K42" s="3">
        <f t="shared" si="3"/>
        <v>70</v>
      </c>
      <c r="L42" s="7" t="str">
        <f t="shared" si="0"/>
        <v>B+</v>
      </c>
      <c r="M42" s="7" t="str">
        <f t="shared" si="4"/>
        <v>Passed</v>
      </c>
      <c r="N42" s="10"/>
      <c r="O42" s="9"/>
      <c r="P42" s="10"/>
    </row>
    <row r="43" spans="1:16" ht="15.6" x14ac:dyDescent="0.3">
      <c r="A43" s="3">
        <f t="shared" si="1"/>
        <v>32</v>
      </c>
      <c r="B43" s="306" t="s">
        <v>457</v>
      </c>
      <c r="C43" s="307" t="s">
        <v>390</v>
      </c>
      <c r="D43" s="5" t="s">
        <v>255</v>
      </c>
      <c r="E43" s="5">
        <v>10</v>
      </c>
      <c r="F43" s="5">
        <v>14</v>
      </c>
      <c r="G43" s="3">
        <f t="shared" si="2"/>
        <v>24</v>
      </c>
      <c r="H43" s="3"/>
      <c r="I43" s="3"/>
      <c r="J43" s="5">
        <v>43</v>
      </c>
      <c r="K43" s="3">
        <f t="shared" si="3"/>
        <v>67</v>
      </c>
      <c r="L43" s="7" t="str">
        <f t="shared" si="0"/>
        <v>B</v>
      </c>
      <c r="M43" s="7" t="str">
        <f t="shared" si="4"/>
        <v>Passed</v>
      </c>
      <c r="N43" s="10"/>
      <c r="O43" s="9"/>
      <c r="P43" s="10"/>
    </row>
    <row r="44" spans="1:16" ht="15.6" x14ac:dyDescent="0.3">
      <c r="A44" s="3">
        <f t="shared" si="1"/>
        <v>33</v>
      </c>
      <c r="B44" s="306" t="s">
        <v>458</v>
      </c>
      <c r="C44" s="307" t="s">
        <v>391</v>
      </c>
      <c r="D44" s="5" t="s">
        <v>243</v>
      </c>
      <c r="E44" s="5">
        <v>9</v>
      </c>
      <c r="F44" s="5">
        <v>16</v>
      </c>
      <c r="G44" s="3">
        <f t="shared" si="2"/>
        <v>25</v>
      </c>
      <c r="H44" s="3"/>
      <c r="I44" s="3"/>
      <c r="J44" s="5">
        <v>28</v>
      </c>
      <c r="K44" s="3">
        <f t="shared" si="3"/>
        <v>53</v>
      </c>
      <c r="L44" s="7" t="str">
        <f t="shared" si="0"/>
        <v>C</v>
      </c>
      <c r="M44" s="7" t="str">
        <f t="shared" si="4"/>
        <v>Passed</v>
      </c>
      <c r="N44" s="10"/>
      <c r="O44" s="9"/>
      <c r="P44" s="10"/>
    </row>
    <row r="45" spans="1:16" ht="15.6" x14ac:dyDescent="0.3">
      <c r="A45" s="3">
        <f t="shared" si="1"/>
        <v>34</v>
      </c>
      <c r="B45" s="306" t="s">
        <v>459</v>
      </c>
      <c r="C45" s="309" t="s">
        <v>557</v>
      </c>
      <c r="D45" s="5" t="s">
        <v>621</v>
      </c>
      <c r="E45" s="5">
        <v>8</v>
      </c>
      <c r="F45" s="5">
        <v>9</v>
      </c>
      <c r="G45" s="3">
        <f t="shared" si="2"/>
        <v>17</v>
      </c>
      <c r="H45" s="3"/>
      <c r="I45" s="3"/>
      <c r="J45" s="5">
        <v>15</v>
      </c>
      <c r="K45" s="3">
        <f t="shared" si="3"/>
        <v>32</v>
      </c>
      <c r="L45" s="7" t="str">
        <f t="shared" si="0"/>
        <v>F</v>
      </c>
      <c r="M45" s="7" t="str">
        <f t="shared" si="4"/>
        <v>Failed</v>
      </c>
      <c r="N45" s="10"/>
      <c r="O45" s="9"/>
      <c r="P45" s="10"/>
    </row>
    <row r="46" spans="1:16" ht="15.6" x14ac:dyDescent="0.3">
      <c r="A46" s="3">
        <f t="shared" si="1"/>
        <v>35</v>
      </c>
      <c r="B46" s="306" t="s">
        <v>460</v>
      </c>
      <c r="C46" s="309" t="s">
        <v>392</v>
      </c>
      <c r="D46" s="5" t="s">
        <v>261</v>
      </c>
      <c r="E46" s="5">
        <v>10</v>
      </c>
      <c r="F46" s="5">
        <v>25</v>
      </c>
      <c r="G46" s="3">
        <f t="shared" si="2"/>
        <v>35</v>
      </c>
      <c r="H46" s="3"/>
      <c r="I46" s="3"/>
      <c r="J46" s="5">
        <v>48</v>
      </c>
      <c r="K46" s="3">
        <f t="shared" si="3"/>
        <v>83</v>
      </c>
      <c r="L46" s="7" t="str">
        <f t="shared" si="0"/>
        <v>A</v>
      </c>
      <c r="M46" s="7" t="str">
        <f t="shared" si="4"/>
        <v>Passed</v>
      </c>
      <c r="N46" s="10"/>
      <c r="O46" s="9"/>
      <c r="P46" s="10"/>
    </row>
    <row r="47" spans="1:16" ht="15.6" x14ac:dyDescent="0.3">
      <c r="A47" s="3">
        <f t="shared" si="1"/>
        <v>36</v>
      </c>
      <c r="B47" s="306" t="s">
        <v>461</v>
      </c>
      <c r="C47" s="309" t="s">
        <v>393</v>
      </c>
      <c r="D47" s="5" t="s">
        <v>238</v>
      </c>
      <c r="E47" s="5">
        <v>10</v>
      </c>
      <c r="F47" s="5">
        <v>27</v>
      </c>
      <c r="G47" s="3">
        <f t="shared" si="2"/>
        <v>37</v>
      </c>
      <c r="H47" s="3"/>
      <c r="I47" s="3"/>
      <c r="J47" s="5">
        <v>30</v>
      </c>
      <c r="K47" s="3">
        <f t="shared" si="3"/>
        <v>67</v>
      </c>
      <c r="L47" s="7" t="str">
        <f t="shared" si="0"/>
        <v>B</v>
      </c>
      <c r="M47" s="7" t="str">
        <f t="shared" si="4"/>
        <v>Passed</v>
      </c>
      <c r="N47" s="10"/>
      <c r="O47" s="9"/>
      <c r="P47" s="10"/>
    </row>
    <row r="48" spans="1:16" ht="15.6" x14ac:dyDescent="0.3">
      <c r="A48" s="3">
        <f t="shared" si="1"/>
        <v>37</v>
      </c>
      <c r="B48" s="306" t="s">
        <v>462</v>
      </c>
      <c r="C48" s="309" t="s">
        <v>394</v>
      </c>
      <c r="D48" s="5" t="s">
        <v>249</v>
      </c>
      <c r="E48" s="5">
        <v>10</v>
      </c>
      <c r="F48" s="5">
        <v>24</v>
      </c>
      <c r="G48" s="3">
        <f t="shared" si="2"/>
        <v>34</v>
      </c>
      <c r="H48" s="3"/>
      <c r="I48" s="3"/>
      <c r="J48" s="5">
        <v>41</v>
      </c>
      <c r="K48" s="3">
        <f t="shared" si="3"/>
        <v>75</v>
      </c>
      <c r="L48" s="7" t="str">
        <f t="shared" si="0"/>
        <v>B+</v>
      </c>
      <c r="M48" s="7" t="str">
        <f t="shared" si="4"/>
        <v>Passed</v>
      </c>
      <c r="N48" s="10"/>
      <c r="O48" s="9"/>
      <c r="P48" s="10"/>
    </row>
    <row r="49" spans="1:16" ht="15.6" x14ac:dyDescent="0.3">
      <c r="A49" s="3">
        <f t="shared" si="1"/>
        <v>38</v>
      </c>
      <c r="B49" s="306" t="s">
        <v>463</v>
      </c>
      <c r="C49" s="309" t="s">
        <v>395</v>
      </c>
      <c r="D49" s="5" t="s">
        <v>266</v>
      </c>
      <c r="E49" s="5">
        <v>8</v>
      </c>
      <c r="F49" s="5">
        <v>14</v>
      </c>
      <c r="G49" s="3">
        <f t="shared" si="2"/>
        <v>22</v>
      </c>
      <c r="H49" s="3"/>
      <c r="I49" s="3"/>
      <c r="J49" s="5">
        <v>21</v>
      </c>
      <c r="K49" s="3">
        <f t="shared" si="3"/>
        <v>43</v>
      </c>
      <c r="L49" s="7" t="str">
        <f t="shared" si="0"/>
        <v>D</v>
      </c>
      <c r="M49" s="7" t="str">
        <f t="shared" si="4"/>
        <v>Failed</v>
      </c>
      <c r="N49" s="10"/>
      <c r="O49" s="9"/>
      <c r="P49" s="10"/>
    </row>
    <row r="50" spans="1:16" ht="15.6" x14ac:dyDescent="0.3">
      <c r="A50" s="3">
        <f t="shared" si="1"/>
        <v>39</v>
      </c>
      <c r="B50" s="306" t="s">
        <v>464</v>
      </c>
      <c r="C50" s="309" t="s">
        <v>396</v>
      </c>
      <c r="D50" s="5" t="s">
        <v>615</v>
      </c>
      <c r="E50" s="5">
        <v>10</v>
      </c>
      <c r="F50" s="5">
        <v>18</v>
      </c>
      <c r="G50" s="3">
        <f t="shared" si="2"/>
        <v>28</v>
      </c>
      <c r="H50" s="3"/>
      <c r="I50" s="3"/>
      <c r="J50" s="5">
        <v>27</v>
      </c>
      <c r="K50" s="3">
        <f t="shared" si="3"/>
        <v>55</v>
      </c>
      <c r="L50" s="7" t="str">
        <f t="shared" si="0"/>
        <v>C+</v>
      </c>
      <c r="M50" s="7" t="str">
        <f t="shared" si="4"/>
        <v>Passed</v>
      </c>
      <c r="N50" s="10"/>
      <c r="O50" s="9"/>
      <c r="P50" s="10"/>
    </row>
    <row r="51" spans="1:16" ht="15.6" x14ac:dyDescent="0.3">
      <c r="A51" s="3">
        <f t="shared" si="1"/>
        <v>40</v>
      </c>
      <c r="B51" s="306" t="s">
        <v>465</v>
      </c>
      <c r="C51" s="309" t="s">
        <v>397</v>
      </c>
      <c r="D51" s="5" t="s">
        <v>262</v>
      </c>
      <c r="E51" s="5">
        <v>9</v>
      </c>
      <c r="F51" s="5">
        <v>8</v>
      </c>
      <c r="G51" s="3">
        <f t="shared" si="2"/>
        <v>17</v>
      </c>
      <c r="H51" s="3"/>
      <c r="I51" s="3"/>
      <c r="J51" s="5">
        <v>16</v>
      </c>
      <c r="K51" s="3">
        <f t="shared" si="3"/>
        <v>33</v>
      </c>
      <c r="L51" s="7" t="str">
        <f t="shared" si="0"/>
        <v>F</v>
      </c>
      <c r="M51" s="7" t="str">
        <f t="shared" si="4"/>
        <v>Failed</v>
      </c>
      <c r="N51" s="10"/>
      <c r="O51" s="9"/>
      <c r="P51" s="10"/>
    </row>
    <row r="52" spans="1:16" ht="15.6" x14ac:dyDescent="0.3">
      <c r="A52" s="3">
        <f t="shared" si="1"/>
        <v>41</v>
      </c>
      <c r="B52" s="306" t="s">
        <v>466</v>
      </c>
      <c r="C52" s="307" t="s">
        <v>398</v>
      </c>
      <c r="D52" s="5" t="s">
        <v>228</v>
      </c>
      <c r="E52" s="5">
        <v>9</v>
      </c>
      <c r="F52" s="5">
        <v>16</v>
      </c>
      <c r="G52" s="3">
        <f t="shared" si="2"/>
        <v>25</v>
      </c>
      <c r="H52" s="3"/>
      <c r="I52" s="3"/>
      <c r="J52" s="5">
        <v>30</v>
      </c>
      <c r="K52" s="3">
        <f t="shared" si="3"/>
        <v>55</v>
      </c>
      <c r="L52" s="7" t="str">
        <f t="shared" si="0"/>
        <v>C+</v>
      </c>
      <c r="M52" s="7" t="str">
        <f t="shared" si="4"/>
        <v>Passed</v>
      </c>
      <c r="N52" s="10"/>
      <c r="O52" s="9"/>
      <c r="P52" s="10"/>
    </row>
    <row r="53" spans="1:16" ht="15.6" x14ac:dyDescent="0.3">
      <c r="A53" s="3">
        <f t="shared" si="1"/>
        <v>42</v>
      </c>
      <c r="B53" s="306" t="s">
        <v>467</v>
      </c>
      <c r="C53" s="307" t="s">
        <v>399</v>
      </c>
      <c r="D53" s="5" t="s">
        <v>264</v>
      </c>
      <c r="E53" s="5">
        <v>10</v>
      </c>
      <c r="F53" s="5">
        <v>15</v>
      </c>
      <c r="G53" s="3">
        <f t="shared" si="2"/>
        <v>25</v>
      </c>
      <c r="H53" s="3"/>
      <c r="I53" s="3"/>
      <c r="J53" s="5">
        <v>60</v>
      </c>
      <c r="K53" s="3">
        <f t="shared" si="3"/>
        <v>85</v>
      </c>
      <c r="L53" s="7" t="str">
        <f t="shared" si="0"/>
        <v>A</v>
      </c>
      <c r="M53" s="7" t="str">
        <f t="shared" si="4"/>
        <v>Passed</v>
      </c>
      <c r="N53" s="10"/>
      <c r="O53" s="9"/>
      <c r="P53" s="10"/>
    </row>
    <row r="54" spans="1:16" ht="15.6" x14ac:dyDescent="0.3">
      <c r="A54" s="3">
        <f t="shared" si="1"/>
        <v>43</v>
      </c>
      <c r="B54" s="306" t="s">
        <v>468</v>
      </c>
      <c r="C54" s="383" t="s">
        <v>552</v>
      </c>
      <c r="D54" s="5" t="s">
        <v>241</v>
      </c>
      <c r="E54" s="5">
        <v>8</v>
      </c>
      <c r="F54" s="5">
        <v>15</v>
      </c>
      <c r="G54" s="3">
        <f t="shared" si="2"/>
        <v>23</v>
      </c>
      <c r="H54" s="3"/>
      <c r="I54" s="3"/>
      <c r="J54" s="5">
        <v>2</v>
      </c>
      <c r="K54" s="3">
        <f t="shared" si="3"/>
        <v>25</v>
      </c>
      <c r="L54" s="7" t="str">
        <f t="shared" si="0"/>
        <v>F</v>
      </c>
      <c r="M54" s="7" t="str">
        <f t="shared" si="4"/>
        <v>Failed</v>
      </c>
      <c r="N54" s="10"/>
      <c r="O54" s="9"/>
      <c r="P54" s="10"/>
    </row>
    <row r="55" spans="1:16" ht="15.6" x14ac:dyDescent="0.3">
      <c r="A55" s="3">
        <f t="shared" si="1"/>
        <v>44</v>
      </c>
      <c r="B55" s="306" t="s">
        <v>469</v>
      </c>
      <c r="C55" s="308" t="s">
        <v>400</v>
      </c>
      <c r="D55" s="5" t="s">
        <v>225</v>
      </c>
      <c r="E55" s="5">
        <v>9</v>
      </c>
      <c r="F55" s="339">
        <v>23</v>
      </c>
      <c r="G55" s="3">
        <f t="shared" si="2"/>
        <v>32</v>
      </c>
      <c r="H55" s="3"/>
      <c r="I55" s="3"/>
      <c r="J55" s="5">
        <v>18</v>
      </c>
      <c r="K55" s="3">
        <f t="shared" si="3"/>
        <v>50</v>
      </c>
      <c r="L55" s="7" t="str">
        <f t="shared" si="0"/>
        <v>C</v>
      </c>
      <c r="M55" s="7" t="str">
        <f t="shared" si="4"/>
        <v>Passed</v>
      </c>
      <c r="N55" s="10"/>
      <c r="O55" s="9"/>
      <c r="P55" s="10"/>
    </row>
    <row r="56" spans="1:16" ht="15.6" x14ac:dyDescent="0.3">
      <c r="A56" s="3">
        <f t="shared" si="1"/>
        <v>45</v>
      </c>
      <c r="B56" s="306" t="s">
        <v>470</v>
      </c>
      <c r="C56" s="307" t="s">
        <v>401</v>
      </c>
      <c r="D56" s="5" t="s">
        <v>236</v>
      </c>
      <c r="E56" s="5">
        <v>10</v>
      </c>
      <c r="F56" s="5">
        <v>22</v>
      </c>
      <c r="G56" s="3">
        <f t="shared" si="2"/>
        <v>32</v>
      </c>
      <c r="H56" s="3"/>
      <c r="I56" s="3"/>
      <c r="J56" s="5">
        <v>48</v>
      </c>
      <c r="K56" s="3">
        <f t="shared" si="3"/>
        <v>80</v>
      </c>
      <c r="L56" s="7" t="str">
        <f t="shared" si="0"/>
        <v>A</v>
      </c>
      <c r="M56" s="7" t="str">
        <f t="shared" si="4"/>
        <v>Passed</v>
      </c>
      <c r="N56" s="10"/>
      <c r="O56" s="9"/>
      <c r="P56" s="10"/>
    </row>
    <row r="57" spans="1:16" ht="15.6" x14ac:dyDescent="0.3">
      <c r="A57" s="3">
        <f t="shared" si="1"/>
        <v>46</v>
      </c>
      <c r="B57" s="306" t="s">
        <v>471</v>
      </c>
      <c r="C57" s="307" t="s">
        <v>402</v>
      </c>
      <c r="D57" s="5" t="s">
        <v>258</v>
      </c>
      <c r="E57" s="5">
        <v>10</v>
      </c>
      <c r="F57" s="5">
        <v>21</v>
      </c>
      <c r="G57" s="3">
        <f t="shared" si="2"/>
        <v>31</v>
      </c>
      <c r="H57" s="3"/>
      <c r="I57" s="3"/>
      <c r="J57" s="5">
        <v>41</v>
      </c>
      <c r="K57" s="3">
        <f t="shared" si="3"/>
        <v>72</v>
      </c>
      <c r="L57" s="7" t="str">
        <f t="shared" si="0"/>
        <v>B+</v>
      </c>
      <c r="M57" s="7" t="str">
        <f t="shared" si="4"/>
        <v>Passed</v>
      </c>
      <c r="N57" s="10"/>
      <c r="O57" s="9"/>
      <c r="P57" s="10"/>
    </row>
    <row r="58" spans="1:16" ht="15.6" x14ac:dyDescent="0.3">
      <c r="A58" s="3">
        <f t="shared" si="1"/>
        <v>47</v>
      </c>
      <c r="B58" s="306" t="s">
        <v>472</v>
      </c>
      <c r="C58" s="12" t="s">
        <v>403</v>
      </c>
      <c r="D58" s="5" t="s">
        <v>245</v>
      </c>
      <c r="E58" s="5">
        <v>9</v>
      </c>
      <c r="F58" s="5">
        <v>19</v>
      </c>
      <c r="G58" s="3">
        <f t="shared" si="2"/>
        <v>28</v>
      </c>
      <c r="H58" s="3"/>
      <c r="I58" s="3"/>
      <c r="J58" s="5">
        <v>30</v>
      </c>
      <c r="K58" s="3">
        <f t="shared" si="3"/>
        <v>58</v>
      </c>
      <c r="L58" s="7" t="str">
        <f t="shared" si="0"/>
        <v>C+</v>
      </c>
      <c r="M58" s="7" t="str">
        <f t="shared" si="4"/>
        <v>Passed</v>
      </c>
      <c r="N58" s="10"/>
      <c r="O58" s="9"/>
      <c r="P58" s="10"/>
    </row>
    <row r="59" spans="1:16" ht="15.6" x14ac:dyDescent="0.3">
      <c r="A59" s="3">
        <f t="shared" si="1"/>
        <v>48</v>
      </c>
      <c r="B59" s="12" t="s">
        <v>473</v>
      </c>
      <c r="C59" s="307" t="s">
        <v>404</v>
      </c>
      <c r="D59" s="5" t="s">
        <v>234</v>
      </c>
      <c r="E59" s="5">
        <v>10</v>
      </c>
      <c r="F59" s="5">
        <v>24</v>
      </c>
      <c r="G59" s="3">
        <f t="shared" si="2"/>
        <v>34</v>
      </c>
      <c r="H59" s="3"/>
      <c r="I59" s="3"/>
      <c r="J59" s="5">
        <v>58</v>
      </c>
      <c r="K59" s="3">
        <f t="shared" si="3"/>
        <v>92</v>
      </c>
      <c r="L59" s="7" t="str">
        <f t="shared" si="0"/>
        <v>A</v>
      </c>
      <c r="M59" s="7" t="str">
        <f t="shared" si="4"/>
        <v>Passed</v>
      </c>
      <c r="N59" s="10"/>
      <c r="O59" s="9"/>
      <c r="P59" s="10"/>
    </row>
    <row r="60" spans="1:16" ht="15.6" x14ac:dyDescent="0.3">
      <c r="A60" s="3">
        <f t="shared" si="1"/>
        <v>49</v>
      </c>
      <c r="B60" s="12" t="s">
        <v>474</v>
      </c>
      <c r="C60" s="307" t="s">
        <v>405</v>
      </c>
      <c r="D60" s="5" t="s">
        <v>616</v>
      </c>
      <c r="E60" s="5">
        <v>9</v>
      </c>
      <c r="F60" s="5">
        <v>21</v>
      </c>
      <c r="G60" s="3">
        <f t="shared" si="2"/>
        <v>30</v>
      </c>
      <c r="H60" s="3"/>
      <c r="I60" s="3"/>
      <c r="J60" s="5">
        <v>38</v>
      </c>
      <c r="K60" s="3">
        <f t="shared" si="3"/>
        <v>68</v>
      </c>
      <c r="L60" s="7" t="str">
        <f t="shared" si="0"/>
        <v>B</v>
      </c>
      <c r="M60" s="7" t="str">
        <f t="shared" si="4"/>
        <v>Passed</v>
      </c>
      <c r="N60" s="10"/>
      <c r="O60" s="9"/>
      <c r="P60" s="10"/>
    </row>
    <row r="61" spans="1:16" ht="15.6" x14ac:dyDescent="0.3">
      <c r="A61" s="3">
        <f t="shared" si="1"/>
        <v>50</v>
      </c>
      <c r="B61" s="12" t="s">
        <v>475</v>
      </c>
      <c r="C61" s="307" t="s">
        <v>406</v>
      </c>
      <c r="D61" s="5" t="s">
        <v>242</v>
      </c>
      <c r="E61" s="5">
        <v>10</v>
      </c>
      <c r="F61" s="5">
        <v>23</v>
      </c>
      <c r="G61" s="3">
        <f t="shared" si="2"/>
        <v>33</v>
      </c>
      <c r="H61" s="3"/>
      <c r="I61" s="3"/>
      <c r="J61" s="5">
        <v>40</v>
      </c>
      <c r="K61" s="3">
        <f t="shared" si="3"/>
        <v>73</v>
      </c>
      <c r="L61" s="7" t="str">
        <f t="shared" si="0"/>
        <v>B+</v>
      </c>
      <c r="M61" s="7" t="str">
        <f t="shared" si="4"/>
        <v>Passed</v>
      </c>
      <c r="N61" s="10"/>
      <c r="O61" s="9"/>
      <c r="P61" s="10"/>
    </row>
    <row r="62" spans="1:16" ht="15.6" x14ac:dyDescent="0.3">
      <c r="A62" s="3">
        <f t="shared" si="1"/>
        <v>51</v>
      </c>
      <c r="B62" s="12" t="s">
        <v>476</v>
      </c>
      <c r="C62" s="307" t="s">
        <v>407</v>
      </c>
      <c r="D62" s="5" t="s">
        <v>226</v>
      </c>
      <c r="E62" s="5">
        <v>10</v>
      </c>
      <c r="F62" s="5">
        <v>20</v>
      </c>
      <c r="G62" s="3">
        <f t="shared" si="2"/>
        <v>30</v>
      </c>
      <c r="H62" s="3"/>
      <c r="I62" s="3"/>
      <c r="J62" s="5">
        <v>12</v>
      </c>
      <c r="K62" s="3">
        <f t="shared" si="3"/>
        <v>42</v>
      </c>
      <c r="L62" s="7" t="str">
        <f t="shared" si="0"/>
        <v>D</v>
      </c>
      <c r="M62" s="7" t="str">
        <f t="shared" si="4"/>
        <v>Failed</v>
      </c>
      <c r="N62" s="10"/>
      <c r="O62" s="9"/>
      <c r="P62" s="10"/>
    </row>
    <row r="63" spans="1:16" ht="15.6" x14ac:dyDescent="0.3">
      <c r="A63" s="3">
        <f t="shared" si="1"/>
        <v>52</v>
      </c>
      <c r="B63" s="12" t="s">
        <v>477</v>
      </c>
      <c r="C63" s="307" t="s">
        <v>408</v>
      </c>
      <c r="D63" s="5" t="s">
        <v>260</v>
      </c>
      <c r="E63" s="5">
        <v>9</v>
      </c>
      <c r="F63" s="5">
        <v>21</v>
      </c>
      <c r="G63" s="3">
        <f t="shared" si="2"/>
        <v>30</v>
      </c>
      <c r="H63" s="3"/>
      <c r="I63" s="3"/>
      <c r="J63" s="5">
        <v>45</v>
      </c>
      <c r="K63" s="3">
        <f t="shared" si="3"/>
        <v>75</v>
      </c>
      <c r="L63" s="7" t="str">
        <f t="shared" si="0"/>
        <v>B+</v>
      </c>
      <c r="M63" s="7" t="str">
        <f t="shared" si="4"/>
        <v>Passed</v>
      </c>
      <c r="N63" s="10"/>
      <c r="O63" s="9"/>
      <c r="P63" s="10"/>
    </row>
    <row r="64" spans="1:16" ht="15.6" x14ac:dyDescent="0.3">
      <c r="A64" s="3">
        <f t="shared" si="1"/>
        <v>53</v>
      </c>
      <c r="B64" s="12" t="s">
        <v>478</v>
      </c>
      <c r="C64" s="307" t="s">
        <v>409</v>
      </c>
      <c r="D64" s="5" t="s">
        <v>247</v>
      </c>
      <c r="E64" s="5">
        <v>9</v>
      </c>
      <c r="F64" s="5">
        <v>15</v>
      </c>
      <c r="G64" s="3">
        <f t="shared" si="2"/>
        <v>24</v>
      </c>
      <c r="H64" s="5"/>
      <c r="I64" s="5"/>
      <c r="J64" s="5">
        <v>42</v>
      </c>
      <c r="K64" s="3">
        <f t="shared" si="3"/>
        <v>66</v>
      </c>
      <c r="L64" s="7" t="str">
        <f t="shared" ref="L64:L65" si="5">IF(K64&gt;=80,"A",IF(K64&gt;=70,"B+",IF(K64&gt;=60,"B",IF(K64&gt;=55,"C+",IF(K64&gt;=50,"C",IF(K64&gt;=45,"D+",IF(K64&gt;=40,"D","F")))))))</f>
        <v>B</v>
      </c>
      <c r="M64" s="7" t="str">
        <f t="shared" ref="M64:M65" si="6">IF(K64&gt;=50,"Passed","Failed")</f>
        <v>Passed</v>
      </c>
      <c r="N64" s="10"/>
      <c r="O64" s="9"/>
      <c r="P64" s="10"/>
    </row>
    <row r="65" spans="1:16" ht="15.6" x14ac:dyDescent="0.3">
      <c r="A65" s="3">
        <f t="shared" si="1"/>
        <v>54</v>
      </c>
      <c r="B65" s="12" t="s">
        <v>479</v>
      </c>
      <c r="C65" s="12" t="s">
        <v>410</v>
      </c>
      <c r="D65" s="5" t="s">
        <v>618</v>
      </c>
      <c r="E65" s="5">
        <v>9</v>
      </c>
      <c r="F65" s="5">
        <v>22</v>
      </c>
      <c r="G65" s="3">
        <f t="shared" si="2"/>
        <v>31</v>
      </c>
      <c r="H65" s="5"/>
      <c r="I65" s="5"/>
      <c r="J65" s="5">
        <v>42</v>
      </c>
      <c r="K65" s="3">
        <f t="shared" si="3"/>
        <v>73</v>
      </c>
      <c r="L65" s="7" t="str">
        <f t="shared" si="5"/>
        <v>B+</v>
      </c>
      <c r="M65" s="7" t="str">
        <f t="shared" si="6"/>
        <v>Passed</v>
      </c>
      <c r="N65" s="10"/>
      <c r="O65" s="9"/>
      <c r="P65" s="10"/>
    </row>
    <row r="66" spans="1:16" ht="15.6" x14ac:dyDescent="0.3">
      <c r="A66" s="10"/>
      <c r="B66" s="10"/>
      <c r="C66" s="75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9"/>
      <c r="P66" s="10"/>
    </row>
    <row r="67" spans="1:16" ht="15.6" x14ac:dyDescent="0.3">
      <c r="A67" s="10"/>
      <c r="B67" s="10"/>
      <c r="C67" s="75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9"/>
      <c r="P67" s="10"/>
    </row>
    <row r="68" spans="1:16" ht="15.6" x14ac:dyDescent="0.3">
      <c r="A68" s="10"/>
      <c r="B68" s="10"/>
      <c r="C68" s="75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9"/>
      <c r="P68" s="10"/>
    </row>
    <row r="69" spans="1:16" ht="15.6" x14ac:dyDescent="0.3">
      <c r="A69" s="10"/>
      <c r="B69" s="10"/>
      <c r="C69" s="75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9"/>
      <c r="P69" s="10"/>
    </row>
    <row r="70" spans="1:16" ht="15.6" x14ac:dyDescent="0.3">
      <c r="A70" s="17" t="s">
        <v>0</v>
      </c>
      <c r="B70" s="18"/>
      <c r="C70" s="71"/>
      <c r="D70" s="18"/>
      <c r="E70" s="18"/>
      <c r="F70" s="18"/>
      <c r="G70" s="18"/>
      <c r="H70" s="67"/>
      <c r="I70" s="67"/>
      <c r="J70" s="18"/>
      <c r="K70" s="18"/>
      <c r="L70" s="10"/>
      <c r="M70" s="10"/>
      <c r="N70" s="10"/>
      <c r="O70" s="9"/>
      <c r="P70" s="10"/>
    </row>
    <row r="71" spans="1:16" ht="15.6" x14ac:dyDescent="0.3">
      <c r="A71" s="503" t="s">
        <v>36</v>
      </c>
      <c r="B71" s="504"/>
      <c r="C71" s="504"/>
      <c r="D71" s="504"/>
      <c r="E71" s="504"/>
      <c r="F71" s="504"/>
      <c r="G71" s="504"/>
      <c r="H71" s="504"/>
      <c r="I71" s="67"/>
      <c r="J71" s="18"/>
      <c r="K71" s="18"/>
      <c r="L71" s="10"/>
      <c r="M71" s="10"/>
      <c r="N71" s="10"/>
      <c r="O71" s="9"/>
      <c r="P71" s="10"/>
    </row>
    <row r="72" spans="1:16" ht="15.6" x14ac:dyDescent="0.3">
      <c r="A72" s="503" t="s">
        <v>362</v>
      </c>
      <c r="B72" s="504"/>
      <c r="C72" s="504"/>
      <c r="D72" s="504"/>
      <c r="E72" s="504"/>
      <c r="F72" s="504"/>
      <c r="G72" s="504"/>
      <c r="H72" s="67"/>
      <c r="I72" s="67"/>
      <c r="J72" s="18"/>
      <c r="K72" s="18"/>
      <c r="L72" s="19"/>
      <c r="M72" s="10"/>
      <c r="N72" s="10"/>
      <c r="O72" s="9"/>
      <c r="P72" s="10"/>
    </row>
    <row r="73" spans="1:16" ht="15.6" x14ac:dyDescent="0.3">
      <c r="A73" s="20" t="s">
        <v>1</v>
      </c>
      <c r="B73" s="21"/>
      <c r="C73" s="84" t="s">
        <v>414</v>
      </c>
      <c r="D73" s="85"/>
      <c r="E73" s="85"/>
      <c r="F73" s="85"/>
      <c r="G73" s="85"/>
      <c r="H73" s="85"/>
      <c r="I73" s="85"/>
      <c r="J73" s="85"/>
      <c r="K73" s="18"/>
      <c r="L73" s="19"/>
      <c r="M73" s="10"/>
      <c r="N73" s="10"/>
      <c r="O73" s="9"/>
      <c r="P73" s="10"/>
    </row>
    <row r="74" spans="1:16" ht="15.6" x14ac:dyDescent="0.3">
      <c r="A74" s="20" t="s">
        <v>3</v>
      </c>
      <c r="B74" s="21"/>
      <c r="C74" s="90" t="s">
        <v>49</v>
      </c>
      <c r="D74" s="91"/>
      <c r="E74" s="91"/>
      <c r="F74" s="91"/>
      <c r="G74" s="91"/>
      <c r="H74" s="91"/>
      <c r="I74" s="91"/>
      <c r="J74" s="91"/>
      <c r="K74" s="18"/>
      <c r="L74" s="19"/>
      <c r="M74" s="10"/>
      <c r="N74" s="10"/>
      <c r="O74" s="9"/>
      <c r="P74" s="10"/>
    </row>
    <row r="75" spans="1:16" ht="15.6" x14ac:dyDescent="0.3">
      <c r="A75" s="20" t="s">
        <v>4</v>
      </c>
      <c r="B75" s="21"/>
      <c r="C75" s="84" t="s">
        <v>50</v>
      </c>
      <c r="D75" s="85"/>
      <c r="E75" s="85"/>
      <c r="F75" s="85"/>
      <c r="G75" s="85"/>
      <c r="H75" s="85"/>
      <c r="I75" s="85"/>
      <c r="J75" s="85"/>
      <c r="K75" s="18"/>
      <c r="L75" s="19"/>
      <c r="M75" s="10"/>
      <c r="N75" s="10"/>
      <c r="O75" s="9"/>
      <c r="P75" s="10"/>
    </row>
    <row r="76" spans="1:16" ht="15.6" x14ac:dyDescent="0.3">
      <c r="A76" s="20" t="s">
        <v>5</v>
      </c>
      <c r="B76" s="21"/>
      <c r="C76" s="86">
        <v>3</v>
      </c>
      <c r="D76" s="87"/>
      <c r="E76" s="87"/>
      <c r="F76" s="87"/>
      <c r="G76" s="87"/>
      <c r="H76" s="87"/>
      <c r="I76" s="87"/>
      <c r="J76" s="87"/>
      <c r="K76" s="18"/>
      <c r="L76" s="19"/>
      <c r="M76" s="10"/>
      <c r="N76" s="10"/>
      <c r="O76" s="9"/>
      <c r="P76" s="10"/>
    </row>
    <row r="77" spans="1:16" ht="15.6" x14ac:dyDescent="0.3">
      <c r="A77" s="508" t="s">
        <v>6</v>
      </c>
      <c r="B77" s="509"/>
      <c r="C77" s="84" t="s">
        <v>364</v>
      </c>
      <c r="D77" s="85"/>
      <c r="E77" s="85"/>
      <c r="F77" s="85"/>
      <c r="G77" s="85"/>
      <c r="H77" s="85"/>
      <c r="I77" s="85"/>
      <c r="J77" s="85"/>
      <c r="K77" s="18"/>
      <c r="L77" s="19"/>
      <c r="M77" s="10"/>
      <c r="N77" s="10"/>
      <c r="O77" s="9"/>
      <c r="P77" s="10"/>
    </row>
    <row r="78" spans="1:16" ht="16.2" x14ac:dyDescent="0.35">
      <c r="A78" s="508" t="s">
        <v>7</v>
      </c>
      <c r="B78" s="509"/>
      <c r="C78" s="72"/>
      <c r="D78" s="18"/>
      <c r="E78" s="22"/>
      <c r="F78" s="18"/>
      <c r="G78" s="18"/>
      <c r="H78" s="67"/>
      <c r="I78" s="67"/>
      <c r="J78" s="18"/>
      <c r="K78" s="18"/>
      <c r="L78" s="19"/>
      <c r="M78" s="10"/>
      <c r="N78" s="10"/>
      <c r="O78" s="9"/>
      <c r="P78" s="10"/>
    </row>
    <row r="79" spans="1:16" ht="68.400000000000006" x14ac:dyDescent="0.3">
      <c r="A79" s="24" t="s">
        <v>8</v>
      </c>
      <c r="B79" s="24" t="s">
        <v>9</v>
      </c>
      <c r="C79" s="73" t="s">
        <v>10</v>
      </c>
      <c r="D79" s="26" t="s">
        <v>11</v>
      </c>
      <c r="E79" s="27" t="s">
        <v>12</v>
      </c>
      <c r="F79" s="27" t="s">
        <v>13</v>
      </c>
      <c r="G79" s="27" t="s">
        <v>14</v>
      </c>
      <c r="H79" s="27" t="s">
        <v>208</v>
      </c>
      <c r="I79" s="27" t="s">
        <v>209</v>
      </c>
      <c r="J79" s="27" t="s">
        <v>15</v>
      </c>
      <c r="K79" s="27" t="s">
        <v>16</v>
      </c>
      <c r="L79" s="19"/>
      <c r="M79" s="10"/>
      <c r="N79" s="10"/>
      <c r="O79" s="9"/>
      <c r="P79" s="10"/>
    </row>
    <row r="80" spans="1:16" ht="46.2" x14ac:dyDescent="0.3">
      <c r="A80" s="3"/>
      <c r="B80" s="10"/>
      <c r="C80" s="75"/>
      <c r="D80" s="5"/>
      <c r="E80" s="10"/>
      <c r="F80" s="10"/>
      <c r="G80" s="10"/>
      <c r="H80" s="10"/>
      <c r="I80" s="10"/>
      <c r="J80" s="10"/>
      <c r="K80" s="10"/>
      <c r="L80" s="30" t="s">
        <v>17</v>
      </c>
      <c r="M80" s="30" t="s">
        <v>18</v>
      </c>
      <c r="N80" s="8"/>
      <c r="O80" s="9"/>
      <c r="P80" s="10"/>
    </row>
    <row r="81" spans="1:22" ht="15.6" x14ac:dyDescent="0.3">
      <c r="A81" s="3">
        <f t="shared" ref="A81:A112" si="7">ROW(A1)</f>
        <v>1</v>
      </c>
      <c r="B81" s="306" t="s">
        <v>431</v>
      </c>
      <c r="C81" s="307" t="s">
        <v>365</v>
      </c>
      <c r="D81" s="5" t="s">
        <v>1762</v>
      </c>
      <c r="E81" s="3">
        <v>9</v>
      </c>
      <c r="F81" s="6">
        <v>26</v>
      </c>
      <c r="G81" s="6">
        <f>SUM(E81:F81)</f>
        <v>35</v>
      </c>
      <c r="H81" s="6"/>
      <c r="I81" s="6"/>
      <c r="J81" s="3">
        <v>34</v>
      </c>
      <c r="K81" s="6">
        <f>SUM(G81:J81)</f>
        <v>69</v>
      </c>
      <c r="L81" s="7" t="str">
        <f t="shared" ref="L81:L134" si="8">IF(K81&gt;=80,"A",IF(K81&gt;=70,"B+",IF(K81&gt;=60,"B",IF(K81&gt;=55,"C+",IF(K81&gt;=50,"C",IF(K81&gt;=45,"D+",IF(K81&gt;=40,"D","F")))))))</f>
        <v>B</v>
      </c>
      <c r="M81" s="7" t="str">
        <f t="shared" ref="M81:M134" si="9">IF(K81&gt;=50,"Passed","Failed")</f>
        <v>Passed</v>
      </c>
      <c r="N81" s="8"/>
      <c r="O81" s="9"/>
      <c r="P81" s="10"/>
    </row>
    <row r="82" spans="1:22" ht="31.2" x14ac:dyDescent="0.3">
      <c r="A82" s="3">
        <f t="shared" si="7"/>
        <v>2</v>
      </c>
      <c r="B82" s="306" t="s">
        <v>586</v>
      </c>
      <c r="C82" s="308" t="s">
        <v>366</v>
      </c>
      <c r="D82" s="5" t="s">
        <v>1764</v>
      </c>
      <c r="E82" s="3">
        <v>10</v>
      </c>
      <c r="F82" s="6">
        <v>25</v>
      </c>
      <c r="G82" s="6">
        <f t="shared" ref="G82:G144" si="10">SUM(E82:F82)</f>
        <v>35</v>
      </c>
      <c r="H82" s="6"/>
      <c r="I82" s="6"/>
      <c r="J82" s="3">
        <v>38</v>
      </c>
      <c r="K82" s="6">
        <f t="shared" ref="K82:K138" si="11">SUM(G82:J82)</f>
        <v>73</v>
      </c>
      <c r="L82" s="7" t="str">
        <f t="shared" si="8"/>
        <v>B+</v>
      </c>
      <c r="M82" s="7" t="str">
        <f t="shared" si="9"/>
        <v>Passed</v>
      </c>
      <c r="N82" s="8" t="s">
        <v>19</v>
      </c>
      <c r="O82" s="9"/>
      <c r="P82" s="10"/>
    </row>
    <row r="83" spans="1:22" ht="15.6" x14ac:dyDescent="0.3">
      <c r="A83" s="3">
        <f t="shared" si="7"/>
        <v>3</v>
      </c>
      <c r="B83" s="306" t="s">
        <v>432</v>
      </c>
      <c r="C83" s="309" t="s">
        <v>367</v>
      </c>
      <c r="D83" s="5" t="s">
        <v>1735</v>
      </c>
      <c r="E83" s="3">
        <v>10</v>
      </c>
      <c r="F83" s="64">
        <v>24.5</v>
      </c>
      <c r="G83" s="64">
        <f t="shared" si="10"/>
        <v>34.5</v>
      </c>
      <c r="H83" s="6"/>
      <c r="I83" s="6"/>
      <c r="J83" s="3">
        <v>22</v>
      </c>
      <c r="K83" s="6">
        <f t="shared" si="11"/>
        <v>56.5</v>
      </c>
      <c r="L83" s="7" t="str">
        <f t="shared" si="8"/>
        <v>C+</v>
      </c>
      <c r="M83" s="7" t="str">
        <f t="shared" si="9"/>
        <v>Passed</v>
      </c>
      <c r="N83" s="7" t="s">
        <v>20</v>
      </c>
      <c r="O83" s="9">
        <f>COUNT(G81:G144)</f>
        <v>64</v>
      </c>
      <c r="P83" s="10"/>
    </row>
    <row r="84" spans="1:22" ht="15.6" x14ac:dyDescent="0.3">
      <c r="A84" s="3">
        <f t="shared" si="7"/>
        <v>4</v>
      </c>
      <c r="B84" s="306" t="s">
        <v>433</v>
      </c>
      <c r="C84" s="310" t="s">
        <v>368</v>
      </c>
      <c r="D84" s="5" t="s">
        <v>1758</v>
      </c>
      <c r="E84" s="3">
        <v>10</v>
      </c>
      <c r="F84" s="64">
        <v>24.5</v>
      </c>
      <c r="G84" s="64">
        <f t="shared" si="10"/>
        <v>34.5</v>
      </c>
      <c r="H84" s="6"/>
      <c r="I84" s="6"/>
      <c r="J84" s="3">
        <v>28</v>
      </c>
      <c r="K84" s="64">
        <f t="shared" si="11"/>
        <v>62.5</v>
      </c>
      <c r="L84" s="7" t="str">
        <f t="shared" si="8"/>
        <v>B</v>
      </c>
      <c r="M84" s="7" t="str">
        <f t="shared" si="9"/>
        <v>Passed</v>
      </c>
      <c r="N84" s="7" t="s">
        <v>21</v>
      </c>
      <c r="O84" s="9">
        <f>COUNT(J81:J144)</f>
        <v>59</v>
      </c>
      <c r="P84" s="10"/>
    </row>
    <row r="85" spans="1:22" ht="15.6" x14ac:dyDescent="0.3">
      <c r="A85" s="3">
        <f t="shared" si="7"/>
        <v>5</v>
      </c>
      <c r="B85" s="306" t="s">
        <v>434</v>
      </c>
      <c r="C85" s="310" t="s">
        <v>606</v>
      </c>
      <c r="D85" s="5" t="s">
        <v>1761</v>
      </c>
      <c r="E85" s="3">
        <v>10</v>
      </c>
      <c r="F85" s="6">
        <v>17</v>
      </c>
      <c r="G85" s="6">
        <f t="shared" si="10"/>
        <v>27</v>
      </c>
      <c r="H85" s="6"/>
      <c r="I85" s="6"/>
      <c r="J85" s="3">
        <v>31</v>
      </c>
      <c r="K85" s="6">
        <f t="shared" si="11"/>
        <v>58</v>
      </c>
      <c r="L85" s="7" t="str">
        <f t="shared" si="8"/>
        <v>C+</v>
      </c>
      <c r="M85" s="7" t="str">
        <f t="shared" si="9"/>
        <v>Passed</v>
      </c>
      <c r="N85" s="7" t="s">
        <v>22</v>
      </c>
      <c r="O85" s="9">
        <f>O83-O84</f>
        <v>5</v>
      </c>
      <c r="P85" s="10"/>
    </row>
    <row r="86" spans="1:22" ht="15.6" x14ac:dyDescent="0.3">
      <c r="A86" s="3">
        <f t="shared" si="7"/>
        <v>6</v>
      </c>
      <c r="B86" s="306" t="s">
        <v>544</v>
      </c>
      <c r="C86" s="309" t="s">
        <v>369</v>
      </c>
      <c r="D86" s="5" t="s">
        <v>1754</v>
      </c>
      <c r="E86" s="3">
        <v>10</v>
      </c>
      <c r="F86" s="6">
        <v>27</v>
      </c>
      <c r="G86" s="6">
        <f t="shared" si="10"/>
        <v>37</v>
      </c>
      <c r="H86" s="6"/>
      <c r="I86" s="6"/>
      <c r="J86" s="5">
        <v>32</v>
      </c>
      <c r="K86" s="6">
        <f t="shared" si="11"/>
        <v>69</v>
      </c>
      <c r="L86" s="7" t="str">
        <f t="shared" si="8"/>
        <v>B</v>
      </c>
      <c r="M86" s="7" t="str">
        <f t="shared" si="9"/>
        <v>Passed</v>
      </c>
      <c r="N86" s="7" t="s">
        <v>23</v>
      </c>
      <c r="O86" s="9">
        <f>COUNTIF(M81:M144,"Passed")</f>
        <v>52</v>
      </c>
      <c r="P86" s="10"/>
    </row>
    <row r="87" spans="1:22" ht="15.6" x14ac:dyDescent="0.3">
      <c r="A87" s="3">
        <f t="shared" si="7"/>
        <v>7</v>
      </c>
      <c r="B87" s="306" t="s">
        <v>562</v>
      </c>
      <c r="C87" s="309" t="s">
        <v>370</v>
      </c>
      <c r="D87" s="5" t="s">
        <v>1719</v>
      </c>
      <c r="E87" s="5">
        <v>9</v>
      </c>
      <c r="F87" s="31">
        <v>28</v>
      </c>
      <c r="G87" s="6">
        <f t="shared" si="10"/>
        <v>37</v>
      </c>
      <c r="H87" s="6"/>
      <c r="I87" s="6"/>
      <c r="J87" s="5">
        <v>15</v>
      </c>
      <c r="K87" s="6">
        <f t="shared" si="11"/>
        <v>52</v>
      </c>
      <c r="L87" s="7" t="str">
        <f t="shared" si="8"/>
        <v>C</v>
      </c>
      <c r="M87" s="7" t="str">
        <f t="shared" si="9"/>
        <v>Passed</v>
      </c>
      <c r="N87" s="7" t="s">
        <v>24</v>
      </c>
      <c r="O87" s="29">
        <f>O86/O84%</f>
        <v>88.13559322033899</v>
      </c>
      <c r="P87" s="10"/>
    </row>
    <row r="88" spans="1:22" ht="15.6" x14ac:dyDescent="0.3">
      <c r="A88" s="3">
        <f t="shared" si="7"/>
        <v>8</v>
      </c>
      <c r="B88" s="306" t="s">
        <v>435</v>
      </c>
      <c r="C88" s="310" t="s">
        <v>595</v>
      </c>
      <c r="D88" s="5" t="s">
        <v>1757</v>
      </c>
      <c r="E88" s="5">
        <v>8</v>
      </c>
      <c r="F88" s="31">
        <v>24</v>
      </c>
      <c r="G88" s="6">
        <f t="shared" si="10"/>
        <v>32</v>
      </c>
      <c r="H88" s="6"/>
      <c r="I88" s="6"/>
      <c r="J88" s="5">
        <v>33</v>
      </c>
      <c r="K88" s="6">
        <f t="shared" si="11"/>
        <v>65</v>
      </c>
      <c r="L88" s="7" t="str">
        <f t="shared" si="8"/>
        <v>B</v>
      </c>
      <c r="M88" s="7" t="str">
        <f t="shared" si="9"/>
        <v>Passed</v>
      </c>
      <c r="N88" s="10" t="s">
        <v>25</v>
      </c>
      <c r="O88" s="9">
        <f>COUNTIF(M81:M144,"failed")</f>
        <v>7</v>
      </c>
      <c r="P88" s="10"/>
    </row>
    <row r="89" spans="1:22" ht="15.6" x14ac:dyDescent="0.3">
      <c r="A89" s="3">
        <f t="shared" si="7"/>
        <v>9</v>
      </c>
      <c r="B89" s="306" t="s">
        <v>436</v>
      </c>
      <c r="C89" s="309" t="s">
        <v>371</v>
      </c>
      <c r="D89" s="5" t="s">
        <v>1732</v>
      </c>
      <c r="E89" s="5">
        <v>10</v>
      </c>
      <c r="F89" s="31">
        <v>28</v>
      </c>
      <c r="G89" s="6">
        <f t="shared" si="10"/>
        <v>38</v>
      </c>
      <c r="H89" s="6"/>
      <c r="I89" s="6"/>
      <c r="J89" s="5">
        <v>46</v>
      </c>
      <c r="K89" s="6">
        <f t="shared" si="11"/>
        <v>84</v>
      </c>
      <c r="L89" s="7" t="str">
        <f t="shared" si="8"/>
        <v>A</v>
      </c>
      <c r="M89" s="7" t="str">
        <f t="shared" si="9"/>
        <v>Passed</v>
      </c>
      <c r="N89" s="10" t="s">
        <v>26</v>
      </c>
      <c r="O89" s="29">
        <f>O88/O84%</f>
        <v>11.864406779661017</v>
      </c>
      <c r="P89" s="10"/>
    </row>
    <row r="90" spans="1:22" ht="15.6" x14ac:dyDescent="0.3">
      <c r="A90" s="3">
        <f t="shared" si="7"/>
        <v>10</v>
      </c>
      <c r="B90" s="306" t="s">
        <v>437</v>
      </c>
      <c r="C90" s="310" t="s">
        <v>372</v>
      </c>
      <c r="D90" s="5" t="s">
        <v>1555</v>
      </c>
      <c r="E90" s="5">
        <v>9</v>
      </c>
      <c r="F90" s="31">
        <v>26</v>
      </c>
      <c r="G90" s="6">
        <f t="shared" si="10"/>
        <v>35</v>
      </c>
      <c r="H90" s="6"/>
      <c r="I90" s="6"/>
      <c r="J90" s="5">
        <v>12</v>
      </c>
      <c r="K90" s="6">
        <f t="shared" si="11"/>
        <v>47</v>
      </c>
      <c r="L90" s="7" t="str">
        <f t="shared" si="8"/>
        <v>D+</v>
      </c>
      <c r="M90" s="7" t="str">
        <f t="shared" si="9"/>
        <v>Failed</v>
      </c>
      <c r="N90" s="10" t="s">
        <v>27</v>
      </c>
      <c r="O90" s="29">
        <f>AVERAGE(K81:K144)</f>
        <v>60.237288135593218</v>
      </c>
      <c r="P90" s="10"/>
    </row>
    <row r="91" spans="1:22" ht="15.6" x14ac:dyDescent="0.3">
      <c r="A91" s="3">
        <f t="shared" si="7"/>
        <v>11</v>
      </c>
      <c r="B91" s="306" t="s">
        <v>438</v>
      </c>
      <c r="C91" s="307" t="s">
        <v>373</v>
      </c>
      <c r="D91" s="5" t="s">
        <v>1743</v>
      </c>
      <c r="E91" s="5">
        <v>10</v>
      </c>
      <c r="F91" s="31">
        <v>27</v>
      </c>
      <c r="G91" s="6">
        <f t="shared" si="10"/>
        <v>37</v>
      </c>
      <c r="H91" s="6"/>
      <c r="I91" s="6"/>
      <c r="J91" s="5">
        <v>50</v>
      </c>
      <c r="K91" s="6">
        <f t="shared" si="11"/>
        <v>87</v>
      </c>
      <c r="L91" s="7" t="str">
        <f t="shared" si="8"/>
        <v>A</v>
      </c>
      <c r="M91" s="7" t="str">
        <f t="shared" si="9"/>
        <v>Passed</v>
      </c>
      <c r="N91" s="10"/>
      <c r="O91" s="9"/>
      <c r="P91" s="10"/>
    </row>
    <row r="92" spans="1:22" ht="15.6" x14ac:dyDescent="0.3">
      <c r="A92" s="3">
        <f t="shared" si="7"/>
        <v>12</v>
      </c>
      <c r="B92" s="306" t="s">
        <v>439</v>
      </c>
      <c r="C92" s="307" t="s">
        <v>565</v>
      </c>
      <c r="D92" s="5" t="s">
        <v>1724</v>
      </c>
      <c r="E92" s="5">
        <v>10</v>
      </c>
      <c r="F92" s="31">
        <v>17</v>
      </c>
      <c r="G92" s="6">
        <f t="shared" si="10"/>
        <v>27</v>
      </c>
      <c r="H92" s="6"/>
      <c r="I92" s="6"/>
      <c r="J92" s="5">
        <v>31</v>
      </c>
      <c r="K92" s="6">
        <f t="shared" si="11"/>
        <v>58</v>
      </c>
      <c r="L92" s="7" t="str">
        <f t="shared" si="8"/>
        <v>C+</v>
      </c>
      <c r="M92" s="7" t="str">
        <f t="shared" si="9"/>
        <v>Passed</v>
      </c>
      <c r="N92" s="10"/>
      <c r="O92" s="9"/>
      <c r="P92" s="10"/>
    </row>
    <row r="93" spans="1:22" ht="15.6" x14ac:dyDescent="0.3">
      <c r="A93" s="3">
        <f t="shared" si="7"/>
        <v>13</v>
      </c>
      <c r="B93" s="306" t="s">
        <v>440</v>
      </c>
      <c r="C93" s="310" t="s">
        <v>374</v>
      </c>
      <c r="D93" s="5" t="s">
        <v>1552</v>
      </c>
      <c r="E93" s="5">
        <v>10</v>
      </c>
      <c r="F93" s="31">
        <v>25</v>
      </c>
      <c r="G93" s="6">
        <f t="shared" si="10"/>
        <v>35</v>
      </c>
      <c r="H93" s="6"/>
      <c r="I93" s="6"/>
      <c r="J93" s="5">
        <v>38</v>
      </c>
      <c r="K93" s="6">
        <f t="shared" si="11"/>
        <v>73</v>
      </c>
      <c r="L93" s="7" t="str">
        <f t="shared" si="8"/>
        <v>B+</v>
      </c>
      <c r="M93" s="7" t="str">
        <f t="shared" si="9"/>
        <v>Passed</v>
      </c>
      <c r="N93" s="10"/>
      <c r="O93" s="9"/>
      <c r="P93" s="10"/>
    </row>
    <row r="94" spans="1:22" ht="15.6" x14ac:dyDescent="0.3">
      <c r="A94" s="3">
        <f t="shared" si="7"/>
        <v>14</v>
      </c>
      <c r="B94" s="306" t="s">
        <v>441</v>
      </c>
      <c r="C94" s="310" t="s">
        <v>375</v>
      </c>
      <c r="D94" s="5" t="s">
        <v>1749</v>
      </c>
      <c r="E94" s="5">
        <v>10</v>
      </c>
      <c r="F94" s="65">
        <v>27.5</v>
      </c>
      <c r="G94" s="64">
        <f t="shared" si="10"/>
        <v>37.5</v>
      </c>
      <c r="H94" s="6"/>
      <c r="I94" s="6"/>
      <c r="J94" s="5">
        <v>27</v>
      </c>
      <c r="K94" s="64">
        <f t="shared" si="11"/>
        <v>64.5</v>
      </c>
      <c r="L94" s="7" t="str">
        <f t="shared" si="8"/>
        <v>B</v>
      </c>
      <c r="M94" s="7" t="str">
        <f t="shared" si="9"/>
        <v>Passed</v>
      </c>
      <c r="N94" s="11"/>
      <c r="O94" s="9" t="s">
        <v>28</v>
      </c>
      <c r="P94" s="10" t="s">
        <v>29</v>
      </c>
      <c r="Q94" t="s">
        <v>30</v>
      </c>
      <c r="R94" t="s">
        <v>31</v>
      </c>
      <c r="S94" t="s">
        <v>32</v>
      </c>
      <c r="T94" t="s">
        <v>33</v>
      </c>
      <c r="U94" t="s">
        <v>34</v>
      </c>
      <c r="V94" t="s">
        <v>35</v>
      </c>
    </row>
    <row r="95" spans="1:22" ht="15.6" x14ac:dyDescent="0.3">
      <c r="A95" s="3">
        <f t="shared" si="7"/>
        <v>15</v>
      </c>
      <c r="B95" s="306" t="s">
        <v>442</v>
      </c>
      <c r="C95" s="310" t="s">
        <v>376</v>
      </c>
      <c r="D95" s="5" t="s">
        <v>1556</v>
      </c>
      <c r="E95" s="5">
        <v>10</v>
      </c>
      <c r="F95" s="348">
        <v>27</v>
      </c>
      <c r="G95" s="6">
        <f t="shared" si="10"/>
        <v>37</v>
      </c>
      <c r="H95" s="6"/>
      <c r="I95" s="6"/>
      <c r="J95" s="5">
        <v>13</v>
      </c>
      <c r="K95" s="6">
        <f t="shared" si="11"/>
        <v>50</v>
      </c>
      <c r="L95" s="7" t="str">
        <f t="shared" si="8"/>
        <v>C</v>
      </c>
      <c r="M95" s="7" t="str">
        <f t="shared" si="9"/>
        <v>Passed</v>
      </c>
      <c r="N95" s="10"/>
      <c r="O95" s="9">
        <f>COUNTIF(L81:L144,"A")</f>
        <v>2</v>
      </c>
      <c r="P95" s="10">
        <f>COUNTIF(L81:L144,"B+")</f>
        <v>9</v>
      </c>
      <c r="Q95">
        <f>COUNTIF(L81:L144,"B")</f>
        <v>19</v>
      </c>
      <c r="R95">
        <f>COUNTIF(L81:L144,"C+")</f>
        <v>11</v>
      </c>
      <c r="S95">
        <f>COUNTIF(L81:L144,"C")</f>
        <v>11</v>
      </c>
      <c r="T95">
        <f>COUNTIF(L81:L144,"D+")</f>
        <v>3</v>
      </c>
      <c r="U95">
        <f>COUNTIF(L81:L144,"D")</f>
        <v>3</v>
      </c>
      <c r="V95">
        <f>COUNTIF(L81:L144,"F")</f>
        <v>1</v>
      </c>
    </row>
    <row r="96" spans="1:22" ht="15.6" x14ac:dyDescent="0.3">
      <c r="A96" s="3">
        <f t="shared" si="7"/>
        <v>16</v>
      </c>
      <c r="B96" s="306" t="s">
        <v>443</v>
      </c>
      <c r="C96" s="307" t="s">
        <v>377</v>
      </c>
      <c r="D96" s="5" t="s">
        <v>1742</v>
      </c>
      <c r="E96" s="5">
        <v>8</v>
      </c>
      <c r="F96" s="65">
        <v>28.5</v>
      </c>
      <c r="G96" s="64">
        <f t="shared" si="10"/>
        <v>36.5</v>
      </c>
      <c r="H96" s="6"/>
      <c r="I96" s="6"/>
      <c r="J96" s="5">
        <v>43</v>
      </c>
      <c r="K96" s="64">
        <f t="shared" si="11"/>
        <v>79.5</v>
      </c>
      <c r="L96" s="7" t="str">
        <f t="shared" si="8"/>
        <v>B+</v>
      </c>
      <c r="M96" s="7" t="str">
        <f t="shared" si="9"/>
        <v>Passed</v>
      </c>
      <c r="N96" s="10"/>
      <c r="O96" s="9"/>
      <c r="P96" s="10"/>
    </row>
    <row r="97" spans="1:16" ht="15.6" x14ac:dyDescent="0.3">
      <c r="A97" s="3">
        <f t="shared" si="7"/>
        <v>17</v>
      </c>
      <c r="B97" s="306" t="s">
        <v>444</v>
      </c>
      <c r="C97" s="310" t="s">
        <v>378</v>
      </c>
      <c r="D97" s="5" t="s">
        <v>1759</v>
      </c>
      <c r="E97" s="5">
        <v>9</v>
      </c>
      <c r="F97" s="31">
        <v>21</v>
      </c>
      <c r="G97" s="6">
        <f t="shared" si="10"/>
        <v>30</v>
      </c>
      <c r="H97" s="6"/>
      <c r="I97" s="6"/>
      <c r="J97" s="5">
        <v>43</v>
      </c>
      <c r="K97" s="6">
        <f t="shared" si="11"/>
        <v>73</v>
      </c>
      <c r="L97" s="7" t="str">
        <f t="shared" si="8"/>
        <v>B+</v>
      </c>
      <c r="M97" s="7" t="str">
        <f t="shared" si="9"/>
        <v>Passed</v>
      </c>
      <c r="N97" s="10"/>
      <c r="O97" s="9"/>
      <c r="P97" s="10"/>
    </row>
    <row r="98" spans="1:16" ht="15.6" x14ac:dyDescent="0.3">
      <c r="A98" s="3">
        <f t="shared" si="7"/>
        <v>18</v>
      </c>
      <c r="B98" s="306" t="s">
        <v>445</v>
      </c>
      <c r="C98" s="308" t="s">
        <v>379</v>
      </c>
      <c r="D98" s="5" t="s">
        <v>1744</v>
      </c>
      <c r="E98" s="5">
        <v>10</v>
      </c>
      <c r="F98" s="31">
        <v>24</v>
      </c>
      <c r="G98" s="6">
        <f t="shared" si="10"/>
        <v>34</v>
      </c>
      <c r="H98" s="6"/>
      <c r="I98" s="6"/>
      <c r="J98" s="5">
        <v>39</v>
      </c>
      <c r="K98" s="6">
        <f t="shared" si="11"/>
        <v>73</v>
      </c>
      <c r="L98" s="7" t="str">
        <f t="shared" si="8"/>
        <v>B+</v>
      </c>
      <c r="M98" s="7" t="str">
        <f t="shared" si="9"/>
        <v>Passed</v>
      </c>
      <c r="N98" s="10"/>
      <c r="O98" s="9"/>
      <c r="P98" s="10"/>
    </row>
    <row r="99" spans="1:16" ht="15.6" x14ac:dyDescent="0.3">
      <c r="A99" s="3">
        <f t="shared" si="7"/>
        <v>19</v>
      </c>
      <c r="B99" s="306" t="s">
        <v>446</v>
      </c>
      <c r="C99" s="310" t="s">
        <v>602</v>
      </c>
      <c r="D99" s="5" t="s">
        <v>1722</v>
      </c>
      <c r="E99" s="5">
        <v>10</v>
      </c>
      <c r="F99" s="31">
        <v>28</v>
      </c>
      <c r="G99" s="6">
        <f t="shared" si="10"/>
        <v>38</v>
      </c>
      <c r="H99" s="6"/>
      <c r="I99" s="6"/>
      <c r="J99" s="5">
        <v>15</v>
      </c>
      <c r="K99" s="6">
        <f t="shared" si="11"/>
        <v>53</v>
      </c>
      <c r="L99" s="7" t="str">
        <f t="shared" si="8"/>
        <v>C</v>
      </c>
      <c r="M99" s="7" t="str">
        <f t="shared" si="9"/>
        <v>Passed</v>
      </c>
      <c r="N99" s="10"/>
      <c r="O99" s="9"/>
      <c r="P99" s="10"/>
    </row>
    <row r="100" spans="1:16" ht="15.6" x14ac:dyDescent="0.3">
      <c r="A100" s="3">
        <f t="shared" si="7"/>
        <v>20</v>
      </c>
      <c r="B100" s="306" t="s">
        <v>448</v>
      </c>
      <c r="C100" s="308" t="s">
        <v>380</v>
      </c>
      <c r="D100" s="5" t="s">
        <v>1720</v>
      </c>
      <c r="E100" s="5">
        <v>9</v>
      </c>
      <c r="F100" s="31">
        <v>25</v>
      </c>
      <c r="G100" s="6">
        <f t="shared" si="10"/>
        <v>34</v>
      </c>
      <c r="H100" s="6"/>
      <c r="I100" s="6"/>
      <c r="J100" s="5">
        <v>32</v>
      </c>
      <c r="K100" s="6">
        <f t="shared" si="11"/>
        <v>66</v>
      </c>
      <c r="L100" s="7" t="str">
        <f t="shared" si="8"/>
        <v>B</v>
      </c>
      <c r="M100" s="7" t="str">
        <f t="shared" si="9"/>
        <v>Passed</v>
      </c>
      <c r="N100" s="10"/>
      <c r="O100" s="9"/>
      <c r="P100" s="10"/>
    </row>
    <row r="101" spans="1:16" ht="15.6" x14ac:dyDescent="0.3">
      <c r="A101" s="3">
        <f t="shared" si="7"/>
        <v>21</v>
      </c>
      <c r="B101" s="306" t="s">
        <v>447</v>
      </c>
      <c r="C101" s="310" t="s">
        <v>381</v>
      </c>
      <c r="D101" s="5" t="s">
        <v>1765</v>
      </c>
      <c r="E101" s="5">
        <v>9</v>
      </c>
      <c r="F101" s="31">
        <v>26</v>
      </c>
      <c r="G101" s="6">
        <f t="shared" si="10"/>
        <v>35</v>
      </c>
      <c r="H101" s="6"/>
      <c r="I101" s="6"/>
      <c r="J101" s="5">
        <v>40</v>
      </c>
      <c r="K101" s="6">
        <f t="shared" si="11"/>
        <v>75</v>
      </c>
      <c r="L101" s="7" t="str">
        <f t="shared" si="8"/>
        <v>B+</v>
      </c>
      <c r="M101" s="7" t="str">
        <f t="shared" si="9"/>
        <v>Passed</v>
      </c>
      <c r="N101" s="10"/>
      <c r="O101" s="9"/>
      <c r="P101" s="10"/>
    </row>
    <row r="102" spans="1:16" ht="15.6" x14ac:dyDescent="0.3">
      <c r="A102" s="3">
        <f t="shared" si="7"/>
        <v>22</v>
      </c>
      <c r="B102" s="313" t="s">
        <v>570</v>
      </c>
      <c r="C102" s="309" t="s">
        <v>382</v>
      </c>
      <c r="D102" s="5" t="s">
        <v>1763</v>
      </c>
      <c r="E102" s="5">
        <v>8</v>
      </c>
      <c r="F102" s="348">
        <v>24</v>
      </c>
      <c r="G102" s="6">
        <f t="shared" si="10"/>
        <v>32</v>
      </c>
      <c r="H102" s="6"/>
      <c r="I102" s="6"/>
      <c r="J102" s="5">
        <v>18</v>
      </c>
      <c r="K102" s="6">
        <f t="shared" si="11"/>
        <v>50</v>
      </c>
      <c r="L102" s="7" t="str">
        <f t="shared" si="8"/>
        <v>C</v>
      </c>
      <c r="M102" s="7" t="str">
        <f t="shared" si="9"/>
        <v>Passed</v>
      </c>
      <c r="N102" s="10"/>
      <c r="O102" s="9"/>
      <c r="P102" s="10"/>
    </row>
    <row r="103" spans="1:16" ht="15.6" x14ac:dyDescent="0.3">
      <c r="A103" s="3">
        <f t="shared" si="7"/>
        <v>23</v>
      </c>
      <c r="B103" s="306" t="s">
        <v>449</v>
      </c>
      <c r="C103" s="309" t="s">
        <v>383</v>
      </c>
      <c r="D103" s="5" t="s">
        <v>1738</v>
      </c>
      <c r="E103" s="5">
        <v>8</v>
      </c>
      <c r="F103" s="31">
        <v>29</v>
      </c>
      <c r="G103" s="6">
        <f t="shared" si="10"/>
        <v>37</v>
      </c>
      <c r="H103" s="6"/>
      <c r="I103" s="6"/>
      <c r="J103" s="5">
        <v>30</v>
      </c>
      <c r="K103" s="6">
        <f t="shared" si="11"/>
        <v>67</v>
      </c>
      <c r="L103" s="7" t="str">
        <f t="shared" si="8"/>
        <v>B</v>
      </c>
      <c r="M103" s="7" t="str">
        <f t="shared" si="9"/>
        <v>Passed</v>
      </c>
      <c r="N103" s="10"/>
      <c r="O103" s="9"/>
      <c r="P103" s="10"/>
    </row>
    <row r="104" spans="1:16" ht="15.6" x14ac:dyDescent="0.3">
      <c r="A104" s="3">
        <f t="shared" si="7"/>
        <v>24</v>
      </c>
      <c r="B104" s="306" t="s">
        <v>450</v>
      </c>
      <c r="C104" s="309" t="s">
        <v>384</v>
      </c>
      <c r="D104" s="5" t="s">
        <v>1737</v>
      </c>
      <c r="E104" s="5">
        <v>9</v>
      </c>
      <c r="F104" s="348">
        <v>18</v>
      </c>
      <c r="G104" s="6">
        <f t="shared" si="10"/>
        <v>27</v>
      </c>
      <c r="H104" s="6"/>
      <c r="I104" s="6"/>
      <c r="J104" s="5">
        <v>23</v>
      </c>
      <c r="K104" s="6">
        <f t="shared" si="11"/>
        <v>50</v>
      </c>
      <c r="L104" s="7" t="str">
        <f t="shared" si="8"/>
        <v>C</v>
      </c>
      <c r="M104" s="7" t="str">
        <f t="shared" si="9"/>
        <v>Passed</v>
      </c>
      <c r="N104" s="10"/>
      <c r="O104" s="9"/>
      <c r="P104" s="10"/>
    </row>
    <row r="105" spans="1:16" ht="15.6" x14ac:dyDescent="0.3">
      <c r="A105" s="3">
        <f t="shared" si="7"/>
        <v>25</v>
      </c>
      <c r="B105" s="306" t="s">
        <v>451</v>
      </c>
      <c r="C105" s="310" t="s">
        <v>385</v>
      </c>
      <c r="D105" s="5" t="s">
        <v>1741</v>
      </c>
      <c r="E105" s="5">
        <v>10</v>
      </c>
      <c r="F105" s="31">
        <v>26</v>
      </c>
      <c r="G105" s="6">
        <f t="shared" si="10"/>
        <v>36</v>
      </c>
      <c r="H105" s="6"/>
      <c r="I105" s="6"/>
      <c r="J105" s="5">
        <v>22</v>
      </c>
      <c r="K105" s="6">
        <f t="shared" si="11"/>
        <v>58</v>
      </c>
      <c r="L105" s="7" t="str">
        <f t="shared" si="8"/>
        <v>C+</v>
      </c>
      <c r="M105" s="7" t="str">
        <f t="shared" si="9"/>
        <v>Passed</v>
      </c>
      <c r="N105" s="10"/>
      <c r="O105" s="9"/>
      <c r="P105" s="10"/>
    </row>
    <row r="106" spans="1:16" ht="15.6" x14ac:dyDescent="0.3">
      <c r="A106" s="3">
        <f t="shared" si="7"/>
        <v>26</v>
      </c>
      <c r="B106" s="306" t="s">
        <v>452</v>
      </c>
      <c r="C106" s="310" t="s">
        <v>386</v>
      </c>
      <c r="D106" s="5" t="s">
        <v>1718</v>
      </c>
      <c r="E106" s="5">
        <v>9</v>
      </c>
      <c r="F106" s="31">
        <v>21</v>
      </c>
      <c r="G106" s="6">
        <f t="shared" si="10"/>
        <v>30</v>
      </c>
      <c r="H106" s="6"/>
      <c r="I106" s="6"/>
      <c r="J106" s="5">
        <v>21</v>
      </c>
      <c r="K106" s="6">
        <f t="shared" si="11"/>
        <v>51</v>
      </c>
      <c r="L106" s="7" t="str">
        <f t="shared" si="8"/>
        <v>C</v>
      </c>
      <c r="M106" s="7" t="str">
        <f t="shared" si="9"/>
        <v>Passed</v>
      </c>
      <c r="N106" s="10"/>
      <c r="O106" s="9"/>
      <c r="P106" s="10"/>
    </row>
    <row r="107" spans="1:16" ht="15.6" x14ac:dyDescent="0.3">
      <c r="A107" s="3">
        <f t="shared" si="7"/>
        <v>27</v>
      </c>
      <c r="B107" s="306" t="s">
        <v>453</v>
      </c>
      <c r="C107" s="309" t="s">
        <v>387</v>
      </c>
      <c r="D107" s="5" t="s">
        <v>1751</v>
      </c>
      <c r="E107" s="5">
        <v>10</v>
      </c>
      <c r="F107" s="65">
        <v>26.5</v>
      </c>
      <c r="G107" s="64">
        <f t="shared" si="10"/>
        <v>36.5</v>
      </c>
      <c r="H107" s="6"/>
      <c r="I107" s="6"/>
      <c r="J107" s="5">
        <v>43</v>
      </c>
      <c r="K107" s="6">
        <f t="shared" si="11"/>
        <v>79.5</v>
      </c>
      <c r="L107" s="7" t="str">
        <f t="shared" si="8"/>
        <v>B+</v>
      </c>
      <c r="M107" s="7" t="str">
        <f t="shared" si="9"/>
        <v>Passed</v>
      </c>
      <c r="N107" s="10"/>
      <c r="O107" s="9"/>
      <c r="P107" s="10"/>
    </row>
    <row r="108" spans="1:16" ht="15.6" x14ac:dyDescent="0.3">
      <c r="A108" s="3">
        <f t="shared" si="7"/>
        <v>28</v>
      </c>
      <c r="B108" s="388">
        <v>400123</v>
      </c>
      <c r="C108" s="310" t="s">
        <v>388</v>
      </c>
      <c r="D108" s="5" t="s">
        <v>1768</v>
      </c>
      <c r="E108" s="5">
        <v>9</v>
      </c>
      <c r="F108" s="5">
        <v>13</v>
      </c>
      <c r="G108" s="6">
        <f t="shared" si="10"/>
        <v>22</v>
      </c>
      <c r="H108" s="6"/>
      <c r="I108" s="6"/>
      <c r="J108" s="5">
        <v>38</v>
      </c>
      <c r="K108" s="6">
        <f t="shared" si="11"/>
        <v>60</v>
      </c>
      <c r="L108" s="7" t="str">
        <f t="shared" si="8"/>
        <v>B</v>
      </c>
      <c r="M108" s="7" t="str">
        <f t="shared" si="9"/>
        <v>Passed</v>
      </c>
      <c r="N108" s="10"/>
      <c r="O108" s="9"/>
      <c r="P108" s="10"/>
    </row>
    <row r="109" spans="1:16" ht="15.6" x14ac:dyDescent="0.3">
      <c r="A109" s="3">
        <f t="shared" si="7"/>
        <v>29</v>
      </c>
      <c r="B109" s="306" t="s">
        <v>454</v>
      </c>
      <c r="C109" s="309" t="s">
        <v>771</v>
      </c>
      <c r="D109" s="5" t="s">
        <v>1760</v>
      </c>
      <c r="E109" s="5">
        <v>10</v>
      </c>
      <c r="F109" s="5">
        <v>22</v>
      </c>
      <c r="G109" s="6">
        <f t="shared" si="10"/>
        <v>32</v>
      </c>
      <c r="H109" s="6"/>
      <c r="I109" s="6"/>
      <c r="J109" s="5">
        <v>2</v>
      </c>
      <c r="K109" s="6">
        <f t="shared" si="11"/>
        <v>34</v>
      </c>
      <c r="L109" s="7" t="str">
        <f t="shared" si="8"/>
        <v>F</v>
      </c>
      <c r="M109" s="7" t="str">
        <f t="shared" si="9"/>
        <v>Failed</v>
      </c>
      <c r="N109" s="10"/>
      <c r="O109" s="9"/>
      <c r="P109" s="10"/>
    </row>
    <row r="110" spans="1:16" ht="15.6" x14ac:dyDescent="0.3">
      <c r="A110" s="3">
        <f t="shared" si="7"/>
        <v>30</v>
      </c>
      <c r="B110" s="306" t="s">
        <v>455</v>
      </c>
      <c r="C110" s="307" t="s">
        <v>389</v>
      </c>
      <c r="D110" s="5" t="s">
        <v>1747</v>
      </c>
      <c r="E110" s="5">
        <v>10</v>
      </c>
      <c r="F110" s="65">
        <v>19.5</v>
      </c>
      <c r="G110" s="64">
        <f t="shared" si="10"/>
        <v>29.5</v>
      </c>
      <c r="H110" s="6"/>
      <c r="I110" s="6"/>
      <c r="J110" s="5">
        <v>33</v>
      </c>
      <c r="K110" s="6">
        <f t="shared" si="11"/>
        <v>62.5</v>
      </c>
      <c r="L110" s="7" t="str">
        <f t="shared" si="8"/>
        <v>B</v>
      </c>
      <c r="M110" s="7" t="str">
        <f t="shared" si="9"/>
        <v>Passed</v>
      </c>
      <c r="N110" s="10"/>
      <c r="O110" s="9"/>
      <c r="P110" s="10"/>
    </row>
    <row r="111" spans="1:16" ht="15.6" x14ac:dyDescent="0.3">
      <c r="A111" s="3">
        <f t="shared" si="7"/>
        <v>31</v>
      </c>
      <c r="B111" s="306" t="s">
        <v>456</v>
      </c>
      <c r="C111" s="310" t="s">
        <v>535</v>
      </c>
      <c r="D111" s="5" t="s">
        <v>1740</v>
      </c>
      <c r="E111" s="5">
        <v>9</v>
      </c>
      <c r="F111" s="65">
        <v>27.5</v>
      </c>
      <c r="G111" s="64">
        <f t="shared" si="10"/>
        <v>36.5</v>
      </c>
      <c r="H111" s="6"/>
      <c r="I111" s="6"/>
      <c r="J111" s="5">
        <v>33</v>
      </c>
      <c r="K111" s="64">
        <f t="shared" si="11"/>
        <v>69.5</v>
      </c>
      <c r="L111" s="7" t="str">
        <f t="shared" si="8"/>
        <v>B</v>
      </c>
      <c r="M111" s="7" t="str">
        <f t="shared" si="9"/>
        <v>Passed</v>
      </c>
      <c r="N111" s="10"/>
      <c r="O111" s="9"/>
      <c r="P111" s="10"/>
    </row>
    <row r="112" spans="1:16" ht="15.6" x14ac:dyDescent="0.3">
      <c r="A112" s="3">
        <f t="shared" si="7"/>
        <v>32</v>
      </c>
      <c r="B112" s="306" t="s">
        <v>457</v>
      </c>
      <c r="C112" s="307" t="s">
        <v>390</v>
      </c>
      <c r="D112" s="5" t="s">
        <v>1723</v>
      </c>
      <c r="E112" s="5">
        <v>10</v>
      </c>
      <c r="F112" s="5">
        <v>23</v>
      </c>
      <c r="G112" s="6">
        <f t="shared" si="10"/>
        <v>33</v>
      </c>
      <c r="H112" s="6"/>
      <c r="I112" s="6"/>
      <c r="J112" s="5">
        <v>32</v>
      </c>
      <c r="K112" s="6">
        <f t="shared" si="11"/>
        <v>65</v>
      </c>
      <c r="L112" s="7" t="str">
        <f t="shared" si="8"/>
        <v>B</v>
      </c>
      <c r="M112" s="7" t="str">
        <f t="shared" si="9"/>
        <v>Passed</v>
      </c>
      <c r="N112" s="10"/>
      <c r="O112" s="9"/>
      <c r="P112" s="10"/>
    </row>
    <row r="113" spans="1:16" ht="15.6" x14ac:dyDescent="0.3">
      <c r="A113" s="3">
        <f t="shared" ref="A113:A134" si="12">ROW(A33)</f>
        <v>33</v>
      </c>
      <c r="B113" s="306" t="s">
        <v>458</v>
      </c>
      <c r="C113" s="307" t="s">
        <v>391</v>
      </c>
      <c r="D113" s="5" t="s">
        <v>1745</v>
      </c>
      <c r="E113" s="5">
        <v>9</v>
      </c>
      <c r="F113" s="339">
        <v>30</v>
      </c>
      <c r="G113" s="6">
        <f t="shared" si="10"/>
        <v>39</v>
      </c>
      <c r="H113" s="6"/>
      <c r="I113" s="6"/>
      <c r="J113" s="5">
        <v>11</v>
      </c>
      <c r="K113" s="6">
        <f t="shared" si="11"/>
        <v>50</v>
      </c>
      <c r="L113" s="7" t="str">
        <f t="shared" si="8"/>
        <v>C</v>
      </c>
      <c r="M113" s="7" t="str">
        <f t="shared" si="9"/>
        <v>Passed</v>
      </c>
      <c r="N113" s="10"/>
      <c r="O113" s="9"/>
      <c r="P113" s="10"/>
    </row>
    <row r="114" spans="1:16" ht="15.6" x14ac:dyDescent="0.3">
      <c r="A114" s="3">
        <f t="shared" si="12"/>
        <v>34</v>
      </c>
      <c r="B114" s="306" t="s">
        <v>459</v>
      </c>
      <c r="C114" s="309" t="s">
        <v>557</v>
      </c>
      <c r="D114" s="5" t="s">
        <v>1717</v>
      </c>
      <c r="E114" s="5">
        <v>10</v>
      </c>
      <c r="F114" s="5">
        <v>26</v>
      </c>
      <c r="G114" s="6">
        <f t="shared" si="10"/>
        <v>36</v>
      </c>
      <c r="H114" s="6"/>
      <c r="I114" s="6"/>
      <c r="J114" s="5">
        <v>16</v>
      </c>
      <c r="K114" s="6">
        <f t="shared" si="11"/>
        <v>52</v>
      </c>
      <c r="L114" s="7" t="str">
        <f t="shared" si="8"/>
        <v>C</v>
      </c>
      <c r="M114" s="7" t="str">
        <f t="shared" si="9"/>
        <v>Passed</v>
      </c>
      <c r="N114" s="10"/>
      <c r="O114" s="9"/>
      <c r="P114" s="10"/>
    </row>
    <row r="115" spans="1:16" ht="15.6" x14ac:dyDescent="0.3">
      <c r="A115" s="3">
        <f t="shared" si="12"/>
        <v>35</v>
      </c>
      <c r="B115" s="306" t="s">
        <v>460</v>
      </c>
      <c r="C115" s="309" t="s">
        <v>392</v>
      </c>
      <c r="D115" s="5" t="s">
        <v>1728</v>
      </c>
      <c r="E115" s="5">
        <v>10</v>
      </c>
      <c r="F115" s="5">
        <v>20</v>
      </c>
      <c r="G115" s="6">
        <f t="shared" si="10"/>
        <v>30</v>
      </c>
      <c r="H115" s="6"/>
      <c r="I115" s="6"/>
      <c r="J115" s="5">
        <v>33</v>
      </c>
      <c r="K115" s="6">
        <f t="shared" si="11"/>
        <v>63</v>
      </c>
      <c r="L115" s="7" t="str">
        <f t="shared" si="8"/>
        <v>B</v>
      </c>
      <c r="M115" s="7" t="str">
        <f t="shared" si="9"/>
        <v>Passed</v>
      </c>
      <c r="N115" s="10"/>
      <c r="O115" s="9"/>
      <c r="P115" s="10"/>
    </row>
    <row r="116" spans="1:16" ht="15.6" x14ac:dyDescent="0.3">
      <c r="A116" s="3">
        <f t="shared" si="12"/>
        <v>36</v>
      </c>
      <c r="B116" s="306" t="s">
        <v>461</v>
      </c>
      <c r="C116" s="309" t="s">
        <v>393</v>
      </c>
      <c r="D116" s="5" t="s">
        <v>1716</v>
      </c>
      <c r="E116" s="5">
        <v>10</v>
      </c>
      <c r="F116" s="5">
        <v>26</v>
      </c>
      <c r="G116" s="6">
        <f t="shared" si="10"/>
        <v>36</v>
      </c>
      <c r="H116" s="6"/>
      <c r="I116" s="6"/>
      <c r="J116" s="5">
        <v>18</v>
      </c>
      <c r="K116" s="6">
        <f t="shared" si="11"/>
        <v>54</v>
      </c>
      <c r="L116" s="7" t="str">
        <f t="shared" si="8"/>
        <v>C</v>
      </c>
      <c r="M116" s="7" t="str">
        <f t="shared" si="9"/>
        <v>Passed</v>
      </c>
      <c r="N116" s="10"/>
      <c r="O116" s="9"/>
      <c r="P116" s="10"/>
    </row>
    <row r="117" spans="1:16" ht="15.6" x14ac:dyDescent="0.3">
      <c r="A117" s="3">
        <f t="shared" si="12"/>
        <v>37</v>
      </c>
      <c r="B117" s="306" t="s">
        <v>462</v>
      </c>
      <c r="C117" s="309" t="s">
        <v>394</v>
      </c>
      <c r="D117" s="5" t="s">
        <v>1750</v>
      </c>
      <c r="E117" s="5">
        <v>10</v>
      </c>
      <c r="F117" s="5">
        <v>26</v>
      </c>
      <c r="G117" s="6">
        <f t="shared" si="10"/>
        <v>36</v>
      </c>
      <c r="H117" s="6"/>
      <c r="I117" s="6"/>
      <c r="J117" s="5">
        <v>24</v>
      </c>
      <c r="K117" s="6">
        <f t="shared" si="11"/>
        <v>60</v>
      </c>
      <c r="L117" s="7" t="str">
        <f t="shared" si="8"/>
        <v>B</v>
      </c>
      <c r="M117" s="7" t="str">
        <f t="shared" si="9"/>
        <v>Passed</v>
      </c>
      <c r="N117" s="10"/>
      <c r="O117" s="9"/>
      <c r="P117" s="10"/>
    </row>
    <row r="118" spans="1:16" ht="15.6" x14ac:dyDescent="0.3">
      <c r="A118" s="3">
        <f t="shared" si="12"/>
        <v>38</v>
      </c>
      <c r="B118" s="306" t="s">
        <v>463</v>
      </c>
      <c r="C118" s="309" t="s">
        <v>395</v>
      </c>
      <c r="D118" s="5" t="s">
        <v>1769</v>
      </c>
      <c r="E118" s="5">
        <v>9</v>
      </c>
      <c r="F118" s="5">
        <v>21</v>
      </c>
      <c r="G118" s="6">
        <f t="shared" si="10"/>
        <v>30</v>
      </c>
      <c r="H118" s="6"/>
      <c r="I118" s="6"/>
      <c r="J118" s="5">
        <v>10</v>
      </c>
      <c r="K118" s="6">
        <f t="shared" si="11"/>
        <v>40</v>
      </c>
      <c r="L118" s="7" t="str">
        <f t="shared" si="8"/>
        <v>D</v>
      </c>
      <c r="M118" s="7" t="str">
        <f t="shared" si="9"/>
        <v>Failed</v>
      </c>
      <c r="N118" s="10"/>
      <c r="O118" s="9"/>
      <c r="P118" s="10"/>
    </row>
    <row r="119" spans="1:16" ht="15.6" x14ac:dyDescent="0.3">
      <c r="A119" s="3">
        <f t="shared" si="12"/>
        <v>39</v>
      </c>
      <c r="B119" s="306" t="s">
        <v>464</v>
      </c>
      <c r="C119" s="309" t="s">
        <v>396</v>
      </c>
      <c r="D119" s="5" t="s">
        <v>1725</v>
      </c>
      <c r="E119" s="5">
        <v>9</v>
      </c>
      <c r="F119" s="5">
        <v>28</v>
      </c>
      <c r="G119" s="6">
        <f t="shared" si="10"/>
        <v>37</v>
      </c>
      <c r="H119" s="6"/>
      <c r="I119" s="6"/>
      <c r="J119" s="5">
        <v>24</v>
      </c>
      <c r="K119" s="6">
        <f t="shared" si="11"/>
        <v>61</v>
      </c>
      <c r="L119" s="7" t="str">
        <f t="shared" si="8"/>
        <v>B</v>
      </c>
      <c r="M119" s="7" t="str">
        <f t="shared" si="9"/>
        <v>Passed</v>
      </c>
      <c r="N119" s="10"/>
      <c r="O119" s="9"/>
      <c r="P119" s="10"/>
    </row>
    <row r="120" spans="1:16" ht="15.6" x14ac:dyDescent="0.3">
      <c r="A120" s="3">
        <f t="shared" si="12"/>
        <v>40</v>
      </c>
      <c r="B120" s="306" t="s">
        <v>465</v>
      </c>
      <c r="C120" s="309" t="s">
        <v>397</v>
      </c>
      <c r="D120" s="5" t="s">
        <v>1721</v>
      </c>
      <c r="E120" s="5">
        <v>9</v>
      </c>
      <c r="F120" s="5">
        <v>27</v>
      </c>
      <c r="G120" s="6">
        <f t="shared" si="10"/>
        <v>36</v>
      </c>
      <c r="H120" s="6"/>
      <c r="I120" s="6"/>
      <c r="J120" s="5">
        <v>20</v>
      </c>
      <c r="K120" s="6">
        <f t="shared" si="11"/>
        <v>56</v>
      </c>
      <c r="L120" s="7" t="str">
        <f t="shared" si="8"/>
        <v>C+</v>
      </c>
      <c r="M120" s="7" t="str">
        <f t="shared" si="9"/>
        <v>Passed</v>
      </c>
      <c r="N120" s="10"/>
      <c r="O120" s="9"/>
      <c r="P120" s="10"/>
    </row>
    <row r="121" spans="1:16" ht="15.6" x14ac:dyDescent="0.3">
      <c r="A121" s="3">
        <f t="shared" si="12"/>
        <v>41</v>
      </c>
      <c r="B121" s="306" t="s">
        <v>466</v>
      </c>
      <c r="C121" s="307" t="s">
        <v>398</v>
      </c>
      <c r="D121" s="5" t="s">
        <v>1746</v>
      </c>
      <c r="E121" s="5">
        <v>9</v>
      </c>
      <c r="F121" s="5">
        <v>26</v>
      </c>
      <c r="G121" s="6">
        <f t="shared" si="10"/>
        <v>35</v>
      </c>
      <c r="H121" s="6"/>
      <c r="I121" s="6"/>
      <c r="J121" s="5">
        <v>26</v>
      </c>
      <c r="K121" s="6">
        <f t="shared" si="11"/>
        <v>61</v>
      </c>
      <c r="L121" s="7" t="str">
        <f t="shared" si="8"/>
        <v>B</v>
      </c>
      <c r="M121" s="7" t="str">
        <f t="shared" si="9"/>
        <v>Passed</v>
      </c>
      <c r="N121" s="10"/>
      <c r="O121" s="9"/>
      <c r="P121" s="10"/>
    </row>
    <row r="122" spans="1:16" ht="15.6" x14ac:dyDescent="0.3">
      <c r="A122" s="3">
        <f t="shared" si="12"/>
        <v>42</v>
      </c>
      <c r="B122" s="306" t="s">
        <v>467</v>
      </c>
      <c r="C122" s="307" t="s">
        <v>399</v>
      </c>
      <c r="D122" s="5" t="s">
        <v>1748</v>
      </c>
      <c r="E122" s="5">
        <v>10</v>
      </c>
      <c r="F122" s="5">
        <v>22</v>
      </c>
      <c r="G122" s="6">
        <f t="shared" si="10"/>
        <v>32</v>
      </c>
      <c r="H122" s="6"/>
      <c r="I122" s="6"/>
      <c r="J122" s="5">
        <v>37</v>
      </c>
      <c r="K122" s="6">
        <f t="shared" si="11"/>
        <v>69</v>
      </c>
      <c r="L122" s="7" t="str">
        <f t="shared" si="8"/>
        <v>B</v>
      </c>
      <c r="M122" s="7" t="str">
        <f t="shared" si="9"/>
        <v>Passed</v>
      </c>
      <c r="N122" s="10"/>
      <c r="O122" s="9"/>
      <c r="P122" s="10"/>
    </row>
    <row r="123" spans="1:16" ht="15.6" x14ac:dyDescent="0.3">
      <c r="A123" s="3">
        <f t="shared" si="12"/>
        <v>43</v>
      </c>
      <c r="B123" s="306" t="s">
        <v>468</v>
      </c>
      <c r="C123" s="383" t="s">
        <v>552</v>
      </c>
      <c r="D123" s="5" t="s">
        <v>1767</v>
      </c>
      <c r="E123" s="5">
        <v>8</v>
      </c>
      <c r="F123" s="5">
        <v>24</v>
      </c>
      <c r="G123" s="6">
        <f t="shared" si="10"/>
        <v>32</v>
      </c>
      <c r="H123" s="6"/>
      <c r="I123" s="6"/>
      <c r="J123" s="5">
        <v>25</v>
      </c>
      <c r="K123" s="6">
        <f t="shared" si="11"/>
        <v>57</v>
      </c>
      <c r="L123" s="7" t="str">
        <f t="shared" si="8"/>
        <v>C+</v>
      </c>
      <c r="M123" s="7" t="str">
        <f t="shared" si="9"/>
        <v>Passed</v>
      </c>
      <c r="N123" s="10"/>
      <c r="O123" s="9"/>
      <c r="P123" s="10"/>
    </row>
    <row r="124" spans="1:16" ht="15.6" x14ac:dyDescent="0.3">
      <c r="A124" s="3">
        <f t="shared" si="12"/>
        <v>44</v>
      </c>
      <c r="B124" s="306" t="s">
        <v>469</v>
      </c>
      <c r="C124" s="308" t="s">
        <v>400</v>
      </c>
      <c r="D124" s="5" t="s">
        <v>1755</v>
      </c>
      <c r="E124" s="5">
        <v>9</v>
      </c>
      <c r="F124" s="5">
        <v>25</v>
      </c>
      <c r="G124" s="6">
        <f t="shared" si="10"/>
        <v>34</v>
      </c>
      <c r="H124" s="6"/>
      <c r="I124" s="6"/>
      <c r="J124" s="5">
        <v>18</v>
      </c>
      <c r="K124" s="6">
        <f t="shared" si="11"/>
        <v>52</v>
      </c>
      <c r="L124" s="7" t="str">
        <f t="shared" si="8"/>
        <v>C</v>
      </c>
      <c r="M124" s="7" t="str">
        <f t="shared" si="9"/>
        <v>Passed</v>
      </c>
      <c r="N124" s="10"/>
      <c r="O124" s="9"/>
      <c r="P124" s="10"/>
    </row>
    <row r="125" spans="1:16" ht="15.6" x14ac:dyDescent="0.3">
      <c r="A125" s="3">
        <f t="shared" si="12"/>
        <v>45</v>
      </c>
      <c r="B125" s="306" t="s">
        <v>470</v>
      </c>
      <c r="C125" s="307" t="s">
        <v>401</v>
      </c>
      <c r="D125" s="5" t="s">
        <v>1753</v>
      </c>
      <c r="E125" s="5">
        <v>10</v>
      </c>
      <c r="F125" s="5">
        <v>26</v>
      </c>
      <c r="G125" s="6">
        <f t="shared" si="10"/>
        <v>36</v>
      </c>
      <c r="H125" s="6"/>
      <c r="I125" s="6"/>
      <c r="J125" s="5">
        <v>21</v>
      </c>
      <c r="K125" s="6">
        <f t="shared" si="11"/>
        <v>57</v>
      </c>
      <c r="L125" s="7" t="str">
        <f t="shared" si="8"/>
        <v>C+</v>
      </c>
      <c r="M125" s="7" t="str">
        <f t="shared" si="9"/>
        <v>Passed</v>
      </c>
      <c r="N125" s="10"/>
      <c r="O125" s="9"/>
      <c r="P125" s="10"/>
    </row>
    <row r="126" spans="1:16" ht="15.6" x14ac:dyDescent="0.3">
      <c r="A126" s="3">
        <f t="shared" si="12"/>
        <v>46</v>
      </c>
      <c r="B126" s="306" t="s">
        <v>471</v>
      </c>
      <c r="C126" s="307" t="s">
        <v>402</v>
      </c>
      <c r="D126" s="5" t="s">
        <v>1766</v>
      </c>
      <c r="E126" s="5">
        <v>10</v>
      </c>
      <c r="F126" s="5">
        <v>23</v>
      </c>
      <c r="G126" s="6">
        <f t="shared" si="10"/>
        <v>33</v>
      </c>
      <c r="H126" s="6"/>
      <c r="I126" s="6"/>
      <c r="J126" s="5">
        <v>34</v>
      </c>
      <c r="K126" s="6">
        <f t="shared" si="11"/>
        <v>67</v>
      </c>
      <c r="L126" s="7" t="str">
        <f t="shared" si="8"/>
        <v>B</v>
      </c>
      <c r="M126" s="7" t="str">
        <f t="shared" si="9"/>
        <v>Passed</v>
      </c>
      <c r="N126" s="10"/>
      <c r="O126" s="9"/>
      <c r="P126" s="10"/>
    </row>
    <row r="127" spans="1:16" ht="15.6" x14ac:dyDescent="0.3">
      <c r="A127" s="3">
        <f t="shared" si="12"/>
        <v>47</v>
      </c>
      <c r="B127" s="306" t="s">
        <v>472</v>
      </c>
      <c r="C127" s="12" t="s">
        <v>403</v>
      </c>
      <c r="D127" s="5" t="s">
        <v>1736</v>
      </c>
      <c r="E127" s="5">
        <v>9</v>
      </c>
      <c r="F127" s="5">
        <v>21</v>
      </c>
      <c r="G127" s="6">
        <f t="shared" si="10"/>
        <v>30</v>
      </c>
      <c r="H127" s="6"/>
      <c r="I127" s="6"/>
      <c r="J127" s="5">
        <v>30</v>
      </c>
      <c r="K127" s="6">
        <f t="shared" si="11"/>
        <v>60</v>
      </c>
      <c r="L127" s="7" t="str">
        <f t="shared" si="8"/>
        <v>B</v>
      </c>
      <c r="M127" s="7" t="str">
        <f t="shared" si="9"/>
        <v>Passed</v>
      </c>
      <c r="N127" s="10"/>
      <c r="O127" s="9"/>
      <c r="P127" s="10"/>
    </row>
    <row r="128" spans="1:16" ht="15.6" x14ac:dyDescent="0.3">
      <c r="A128" s="3">
        <f t="shared" si="12"/>
        <v>48</v>
      </c>
      <c r="B128" s="12" t="s">
        <v>473</v>
      </c>
      <c r="C128" s="307" t="s">
        <v>404</v>
      </c>
      <c r="D128" s="5" t="s">
        <v>1756</v>
      </c>
      <c r="E128" s="5">
        <v>10</v>
      </c>
      <c r="F128" s="31">
        <v>28</v>
      </c>
      <c r="G128" s="6">
        <f t="shared" si="10"/>
        <v>38</v>
      </c>
      <c r="H128" s="6"/>
      <c r="I128" s="6"/>
      <c r="J128" s="5">
        <v>32</v>
      </c>
      <c r="K128" s="6">
        <f t="shared" si="11"/>
        <v>70</v>
      </c>
      <c r="L128" s="7" t="str">
        <f t="shared" si="8"/>
        <v>B+</v>
      </c>
      <c r="M128" s="7" t="str">
        <f t="shared" si="9"/>
        <v>Passed</v>
      </c>
      <c r="N128" s="10"/>
      <c r="O128" s="9"/>
      <c r="P128" s="10"/>
    </row>
    <row r="129" spans="1:16" ht="15.6" x14ac:dyDescent="0.3">
      <c r="A129" s="3">
        <f t="shared" si="12"/>
        <v>49</v>
      </c>
      <c r="B129" s="12" t="s">
        <v>474</v>
      </c>
      <c r="C129" s="307" t="s">
        <v>405</v>
      </c>
      <c r="D129" s="5" t="s">
        <v>1752</v>
      </c>
      <c r="E129" s="5">
        <v>8</v>
      </c>
      <c r="F129" s="5">
        <v>26</v>
      </c>
      <c r="G129" s="6">
        <f t="shared" si="10"/>
        <v>34</v>
      </c>
      <c r="H129" s="6"/>
      <c r="I129" s="6"/>
      <c r="J129" s="5">
        <v>8</v>
      </c>
      <c r="K129" s="6">
        <f t="shared" si="11"/>
        <v>42</v>
      </c>
      <c r="L129" s="7" t="str">
        <f t="shared" si="8"/>
        <v>D</v>
      </c>
      <c r="M129" s="7" t="str">
        <f t="shared" si="9"/>
        <v>Failed</v>
      </c>
      <c r="N129" s="10"/>
      <c r="O129" s="9"/>
      <c r="P129" s="10"/>
    </row>
    <row r="130" spans="1:16" ht="15.6" x14ac:dyDescent="0.3">
      <c r="A130" s="3">
        <f t="shared" si="12"/>
        <v>50</v>
      </c>
      <c r="B130" s="12" t="s">
        <v>475</v>
      </c>
      <c r="C130" s="307" t="s">
        <v>406</v>
      </c>
      <c r="D130" s="5" t="s">
        <v>1734</v>
      </c>
      <c r="E130" s="5">
        <v>10</v>
      </c>
      <c r="F130" s="5">
        <v>26</v>
      </c>
      <c r="G130" s="6">
        <f t="shared" si="10"/>
        <v>36</v>
      </c>
      <c r="H130" s="6"/>
      <c r="I130" s="6"/>
      <c r="J130" s="5">
        <v>36</v>
      </c>
      <c r="K130" s="6">
        <f t="shared" si="11"/>
        <v>72</v>
      </c>
      <c r="L130" s="7" t="str">
        <f t="shared" si="8"/>
        <v>B+</v>
      </c>
      <c r="M130" s="7" t="str">
        <f t="shared" si="9"/>
        <v>Passed</v>
      </c>
      <c r="N130" s="10"/>
      <c r="O130" s="9"/>
      <c r="P130" s="10"/>
    </row>
    <row r="131" spans="1:16" ht="15.6" x14ac:dyDescent="0.3">
      <c r="A131" s="3">
        <f t="shared" si="12"/>
        <v>51</v>
      </c>
      <c r="B131" s="12" t="s">
        <v>476</v>
      </c>
      <c r="C131" s="307" t="s">
        <v>407</v>
      </c>
      <c r="D131" s="5" t="s">
        <v>1726</v>
      </c>
      <c r="E131" s="5">
        <v>10</v>
      </c>
      <c r="F131" s="5">
        <v>23</v>
      </c>
      <c r="G131" s="6">
        <f t="shared" si="10"/>
        <v>33</v>
      </c>
      <c r="H131" s="6"/>
      <c r="I131" s="6"/>
      <c r="J131" s="5">
        <v>23</v>
      </c>
      <c r="K131" s="6">
        <f t="shared" si="11"/>
        <v>56</v>
      </c>
      <c r="L131" s="7" t="str">
        <f t="shared" si="8"/>
        <v>C+</v>
      </c>
      <c r="M131" s="7" t="str">
        <f t="shared" si="9"/>
        <v>Passed</v>
      </c>
      <c r="N131" s="10"/>
      <c r="O131" s="9"/>
      <c r="P131" s="10"/>
    </row>
    <row r="132" spans="1:16" ht="15.6" x14ac:dyDescent="0.3">
      <c r="A132" s="3">
        <f t="shared" si="12"/>
        <v>52</v>
      </c>
      <c r="B132" s="12" t="s">
        <v>477</v>
      </c>
      <c r="C132" s="307" t="s">
        <v>408</v>
      </c>
      <c r="D132" s="5" t="s">
        <v>1553</v>
      </c>
      <c r="E132" s="5">
        <v>9</v>
      </c>
      <c r="F132" s="5">
        <v>22</v>
      </c>
      <c r="G132" s="6">
        <f t="shared" si="10"/>
        <v>31</v>
      </c>
      <c r="H132" s="6"/>
      <c r="I132" s="6"/>
      <c r="J132" s="5">
        <v>21</v>
      </c>
      <c r="K132" s="6">
        <f t="shared" si="11"/>
        <v>52</v>
      </c>
      <c r="L132" s="7" t="str">
        <f t="shared" si="8"/>
        <v>C</v>
      </c>
      <c r="M132" s="7" t="str">
        <f t="shared" si="9"/>
        <v>Passed</v>
      </c>
      <c r="N132" s="10"/>
      <c r="O132" s="9"/>
      <c r="P132" s="10"/>
    </row>
    <row r="133" spans="1:16" ht="15.6" x14ac:dyDescent="0.3">
      <c r="A133" s="3">
        <f t="shared" si="12"/>
        <v>53</v>
      </c>
      <c r="B133" s="12" t="s">
        <v>478</v>
      </c>
      <c r="C133" s="307" t="s">
        <v>409</v>
      </c>
      <c r="D133" s="5" t="s">
        <v>1554</v>
      </c>
      <c r="E133" s="5">
        <v>9</v>
      </c>
      <c r="F133" s="5">
        <v>27</v>
      </c>
      <c r="G133" s="6">
        <f t="shared" si="10"/>
        <v>36</v>
      </c>
      <c r="H133" s="6"/>
      <c r="I133" s="6"/>
      <c r="J133" s="5">
        <v>10</v>
      </c>
      <c r="K133" s="6">
        <f t="shared" si="11"/>
        <v>46</v>
      </c>
      <c r="L133" s="7" t="str">
        <f t="shared" si="8"/>
        <v>D+</v>
      </c>
      <c r="M133" s="7" t="str">
        <f t="shared" si="9"/>
        <v>Failed</v>
      </c>
      <c r="N133" s="10"/>
      <c r="O133" s="9"/>
      <c r="P133" s="10"/>
    </row>
    <row r="134" spans="1:16" ht="15.6" x14ac:dyDescent="0.3">
      <c r="A134" s="3">
        <f t="shared" si="12"/>
        <v>54</v>
      </c>
      <c r="B134" s="12" t="s">
        <v>479</v>
      </c>
      <c r="C134" s="12" t="s">
        <v>410</v>
      </c>
      <c r="D134" s="5" t="s">
        <v>1727</v>
      </c>
      <c r="E134" s="5">
        <v>9</v>
      </c>
      <c r="F134" s="65">
        <v>22.5</v>
      </c>
      <c r="G134" s="64">
        <f t="shared" si="10"/>
        <v>31.5</v>
      </c>
      <c r="H134" s="5"/>
      <c r="I134" s="5"/>
      <c r="J134" s="5">
        <v>34</v>
      </c>
      <c r="K134" s="6">
        <f t="shared" si="11"/>
        <v>65.5</v>
      </c>
      <c r="L134" s="7" t="str">
        <f t="shared" si="8"/>
        <v>B</v>
      </c>
      <c r="M134" s="7" t="str">
        <f t="shared" si="9"/>
        <v>Passed</v>
      </c>
      <c r="N134" s="10"/>
      <c r="O134" s="9"/>
      <c r="P134" s="10"/>
    </row>
    <row r="135" spans="1:16" s="340" customFormat="1" ht="15.6" x14ac:dyDescent="0.3">
      <c r="A135" s="354">
        <v>55</v>
      </c>
      <c r="B135" s="12" t="s">
        <v>158</v>
      </c>
      <c r="C135" s="355" t="s">
        <v>107</v>
      </c>
      <c r="D135" s="354" t="s">
        <v>1715</v>
      </c>
      <c r="E135" s="354"/>
      <c r="F135" s="354">
        <v>9</v>
      </c>
      <c r="G135" s="356">
        <f t="shared" si="10"/>
        <v>9</v>
      </c>
      <c r="H135" s="354"/>
      <c r="I135" s="354"/>
      <c r="J135" s="354" t="s">
        <v>1938</v>
      </c>
      <c r="K135" s="356"/>
      <c r="L135" s="353"/>
      <c r="M135" s="349"/>
      <c r="N135" s="339"/>
      <c r="O135" s="350"/>
      <c r="P135" s="339"/>
    </row>
    <row r="136" spans="1:16" s="340" customFormat="1" ht="15.6" x14ac:dyDescent="0.3">
      <c r="A136" s="354">
        <v>56</v>
      </c>
      <c r="B136" s="354"/>
      <c r="C136" s="355" t="s">
        <v>501</v>
      </c>
      <c r="D136" s="354" t="s">
        <v>1715</v>
      </c>
      <c r="E136" s="354"/>
      <c r="F136" s="357">
        <v>24.5</v>
      </c>
      <c r="G136" s="357">
        <f t="shared" si="10"/>
        <v>24.5</v>
      </c>
      <c r="H136" s="354"/>
      <c r="I136" s="354"/>
      <c r="J136" s="354" t="s">
        <v>1938</v>
      </c>
      <c r="K136" s="354"/>
      <c r="L136" s="353"/>
      <c r="M136" s="349"/>
      <c r="N136" s="339"/>
      <c r="O136" s="350"/>
      <c r="P136" s="339"/>
    </row>
    <row r="137" spans="1:16" ht="15.6" x14ac:dyDescent="0.3">
      <c r="A137" s="354">
        <v>57</v>
      </c>
      <c r="B137" s="354" t="s">
        <v>176</v>
      </c>
      <c r="C137" s="355" t="s">
        <v>502</v>
      </c>
      <c r="D137" s="354" t="s">
        <v>1730</v>
      </c>
      <c r="E137" s="354"/>
      <c r="F137" s="354">
        <v>26</v>
      </c>
      <c r="G137" s="357">
        <f t="shared" si="10"/>
        <v>26</v>
      </c>
      <c r="H137" s="354"/>
      <c r="I137" s="354"/>
      <c r="J137" s="354">
        <v>15</v>
      </c>
      <c r="K137" s="354">
        <f t="shared" si="11"/>
        <v>41</v>
      </c>
      <c r="L137" s="353" t="str">
        <f t="shared" ref="L137:L138" si="13">IF(K137&gt;=80,"A",IF(K137&gt;=70,"B+",IF(K137&gt;=60,"B",IF(K137&gt;=55,"C+",IF(K137&gt;=50,"C",IF(K137&gt;=45,"D+",IF(K137&gt;=40,"D","F")))))))</f>
        <v>D</v>
      </c>
      <c r="M137" s="349" t="str">
        <f t="shared" ref="M137:M138" si="14">IF(K137&gt;=50,"Passed","Failed")</f>
        <v>Failed</v>
      </c>
      <c r="N137" s="10"/>
      <c r="O137" s="9"/>
      <c r="P137" s="10"/>
    </row>
    <row r="138" spans="1:16" ht="15.6" x14ac:dyDescent="0.3">
      <c r="A138" s="354">
        <v>58</v>
      </c>
      <c r="B138" s="354" t="s">
        <v>168</v>
      </c>
      <c r="C138" s="355" t="s">
        <v>503</v>
      </c>
      <c r="D138" s="354" t="s">
        <v>1731</v>
      </c>
      <c r="E138" s="354"/>
      <c r="F138" s="357">
        <v>25.5</v>
      </c>
      <c r="G138" s="357">
        <f t="shared" si="10"/>
        <v>25.5</v>
      </c>
      <c r="H138" s="354"/>
      <c r="I138" s="354"/>
      <c r="J138" s="354">
        <v>34</v>
      </c>
      <c r="K138" s="354">
        <f t="shared" si="11"/>
        <v>59.5</v>
      </c>
      <c r="L138" s="353" t="str">
        <f t="shared" si="13"/>
        <v>C+</v>
      </c>
      <c r="M138" s="349" t="str">
        <f t="shared" si="14"/>
        <v>Passed</v>
      </c>
      <c r="N138" s="10"/>
      <c r="O138" s="9"/>
      <c r="P138" s="10"/>
    </row>
    <row r="139" spans="1:16" ht="15.6" x14ac:dyDescent="0.3">
      <c r="A139" s="354">
        <v>59</v>
      </c>
      <c r="B139" s="354"/>
      <c r="C139" s="355" t="s">
        <v>506</v>
      </c>
      <c r="D139" s="354" t="s">
        <v>1715</v>
      </c>
      <c r="E139" s="354"/>
      <c r="F139" s="356">
        <v>28</v>
      </c>
      <c r="G139" s="356">
        <f t="shared" si="10"/>
        <v>28</v>
      </c>
      <c r="H139" s="354"/>
      <c r="I139" s="354"/>
      <c r="J139" s="354" t="s">
        <v>1938</v>
      </c>
      <c r="K139" s="354"/>
      <c r="L139" s="353"/>
      <c r="M139" s="349"/>
      <c r="N139" s="10"/>
      <c r="O139" s="9"/>
      <c r="P139" s="10"/>
    </row>
    <row r="140" spans="1:16" ht="15.6" x14ac:dyDescent="0.3">
      <c r="A140" s="354">
        <v>60</v>
      </c>
      <c r="B140" s="354" t="s">
        <v>152</v>
      </c>
      <c r="C140" s="355" t="s">
        <v>507</v>
      </c>
      <c r="D140" s="354" t="s">
        <v>1729</v>
      </c>
      <c r="E140" s="354"/>
      <c r="F140" s="356">
        <v>25</v>
      </c>
      <c r="G140" s="356">
        <f t="shared" si="10"/>
        <v>25</v>
      </c>
      <c r="H140" s="354"/>
      <c r="I140" s="354"/>
      <c r="J140" s="354">
        <v>30</v>
      </c>
      <c r="K140" s="354">
        <f t="shared" ref="K140:K144" si="15">SUM(G140:J140)</f>
        <v>55</v>
      </c>
      <c r="L140" s="353" t="str">
        <f t="shared" ref="L140:L144" si="16">IF(K140&gt;=80,"A",IF(K140&gt;=70,"B+",IF(K140&gt;=60,"B",IF(K140&gt;=55,"C+",IF(K140&gt;=50,"C",IF(K140&gt;=45,"D+",IF(K140&gt;=40,"D","F")))))))</f>
        <v>C+</v>
      </c>
      <c r="M140" s="349" t="str">
        <f t="shared" ref="M140:M144" si="17">IF(K140&gt;=50,"Passed","Failed")</f>
        <v>Passed</v>
      </c>
      <c r="N140" s="10"/>
      <c r="O140" s="9"/>
      <c r="P140" s="10"/>
    </row>
    <row r="141" spans="1:16" ht="15.6" x14ac:dyDescent="0.3">
      <c r="A141" s="354">
        <v>61</v>
      </c>
      <c r="B141" s="354"/>
      <c r="C141" s="355" t="s">
        <v>125</v>
      </c>
      <c r="D141" s="354" t="s">
        <v>1715</v>
      </c>
      <c r="E141" s="354"/>
      <c r="F141" s="356">
        <v>11</v>
      </c>
      <c r="G141" s="356">
        <f t="shared" si="10"/>
        <v>11</v>
      </c>
      <c r="H141" s="354"/>
      <c r="I141" s="354"/>
      <c r="J141" s="354" t="s">
        <v>1938</v>
      </c>
      <c r="K141" s="354"/>
      <c r="L141" s="353"/>
      <c r="M141" s="349"/>
      <c r="N141" s="10"/>
      <c r="O141" s="9"/>
      <c r="P141" s="10"/>
    </row>
    <row r="142" spans="1:16" ht="15.6" x14ac:dyDescent="0.3">
      <c r="A142" s="354">
        <v>62</v>
      </c>
      <c r="B142" s="354"/>
      <c r="C142" s="355" t="s">
        <v>135</v>
      </c>
      <c r="D142" s="354" t="s">
        <v>1715</v>
      </c>
      <c r="E142" s="354"/>
      <c r="F142" s="356">
        <v>22</v>
      </c>
      <c r="G142" s="356">
        <f t="shared" si="10"/>
        <v>22</v>
      </c>
      <c r="H142" s="354"/>
      <c r="I142" s="354"/>
      <c r="J142" s="354" t="s">
        <v>1938</v>
      </c>
      <c r="K142" s="354"/>
      <c r="L142" s="353"/>
      <c r="M142" s="349"/>
      <c r="N142" s="10"/>
      <c r="O142" s="9"/>
      <c r="P142" s="10"/>
    </row>
    <row r="143" spans="1:16" ht="15.6" x14ac:dyDescent="0.3">
      <c r="A143" s="354">
        <v>63</v>
      </c>
      <c r="B143" s="354" t="s">
        <v>206</v>
      </c>
      <c r="C143" s="355" t="s">
        <v>508</v>
      </c>
      <c r="D143" s="354" t="s">
        <v>1739</v>
      </c>
      <c r="E143" s="354"/>
      <c r="F143" s="357">
        <v>25.5</v>
      </c>
      <c r="G143" s="357">
        <f t="shared" si="10"/>
        <v>25.5</v>
      </c>
      <c r="H143" s="354"/>
      <c r="I143" s="354"/>
      <c r="J143" s="354">
        <v>30</v>
      </c>
      <c r="K143" s="354">
        <f t="shared" si="15"/>
        <v>55.5</v>
      </c>
      <c r="L143" s="353" t="str">
        <f t="shared" si="16"/>
        <v>C+</v>
      </c>
      <c r="M143" s="349" t="str">
        <f t="shared" si="17"/>
        <v>Passed</v>
      </c>
      <c r="N143" s="10"/>
      <c r="O143" s="9"/>
      <c r="P143" s="10"/>
    </row>
    <row r="144" spans="1:16" ht="15.6" x14ac:dyDescent="0.3">
      <c r="A144" s="354">
        <v>64</v>
      </c>
      <c r="B144" s="354" t="s">
        <v>154</v>
      </c>
      <c r="C144" s="355" t="s">
        <v>509</v>
      </c>
      <c r="D144" s="354" t="s">
        <v>1733</v>
      </c>
      <c r="E144" s="354"/>
      <c r="F144" s="356">
        <v>29</v>
      </c>
      <c r="G144" s="356">
        <f t="shared" si="10"/>
        <v>29</v>
      </c>
      <c r="H144" s="354"/>
      <c r="I144" s="354"/>
      <c r="J144" s="354">
        <v>17</v>
      </c>
      <c r="K144" s="354">
        <f t="shared" si="15"/>
        <v>46</v>
      </c>
      <c r="L144" s="353" t="str">
        <f t="shared" si="16"/>
        <v>D+</v>
      </c>
      <c r="M144" s="349" t="str">
        <f t="shared" si="17"/>
        <v>Failed</v>
      </c>
      <c r="N144" s="10"/>
      <c r="O144" s="9"/>
      <c r="P144" s="10"/>
    </row>
    <row r="145" spans="1:16" ht="15.6" x14ac:dyDescent="0.3">
      <c r="A145" s="358"/>
      <c r="B145" s="57"/>
      <c r="C145" s="359"/>
      <c r="D145" s="57"/>
      <c r="E145" s="57"/>
      <c r="F145" s="360"/>
      <c r="G145" s="361"/>
      <c r="H145" s="57"/>
      <c r="I145" s="57"/>
      <c r="J145" s="57"/>
      <c r="K145" s="358"/>
      <c r="L145" s="362"/>
      <c r="M145" s="349"/>
      <c r="N145" s="10"/>
      <c r="O145" s="9"/>
      <c r="P145" s="10"/>
    </row>
    <row r="146" spans="1:16" ht="15.6" x14ac:dyDescent="0.3">
      <c r="A146" s="358"/>
      <c r="B146" s="57"/>
      <c r="C146" s="359"/>
      <c r="D146" s="57"/>
      <c r="E146" s="57"/>
      <c r="F146" s="360"/>
      <c r="G146" s="361"/>
      <c r="H146" s="57"/>
      <c r="I146" s="57"/>
      <c r="J146" s="57"/>
      <c r="K146" s="358"/>
      <c r="L146" s="362"/>
      <c r="M146" s="349"/>
      <c r="N146" s="10"/>
      <c r="O146" s="9"/>
      <c r="P146" s="10"/>
    </row>
    <row r="147" spans="1:16" ht="15.6" x14ac:dyDescent="0.3">
      <c r="A147" s="358"/>
      <c r="B147" s="57"/>
      <c r="C147" s="359"/>
      <c r="D147" s="57"/>
      <c r="E147" s="57"/>
      <c r="F147" s="360"/>
      <c r="G147" s="361"/>
      <c r="H147" s="57"/>
      <c r="I147" s="57"/>
      <c r="J147" s="57"/>
      <c r="K147" s="358"/>
      <c r="L147" s="362"/>
      <c r="M147" s="349"/>
      <c r="N147" s="10"/>
      <c r="O147" s="9"/>
      <c r="P147" s="10"/>
    </row>
    <row r="148" spans="1:16" ht="15.6" x14ac:dyDescent="0.3">
      <c r="A148" s="10"/>
      <c r="B148" s="10"/>
      <c r="C148" s="75"/>
      <c r="D148" s="10"/>
      <c r="E148" s="10"/>
      <c r="F148" s="10"/>
      <c r="G148" s="10"/>
      <c r="H148" s="10"/>
      <c r="I148" s="10"/>
      <c r="J148" s="10"/>
      <c r="K148" s="10"/>
      <c r="L148" s="10"/>
      <c r="M148" s="9"/>
      <c r="N148" s="10"/>
      <c r="O148" s="9"/>
      <c r="P148" s="10"/>
    </row>
    <row r="149" spans="1:16" ht="15.6" x14ac:dyDescent="0.3">
      <c r="A149" s="17" t="s">
        <v>0</v>
      </c>
      <c r="B149" s="18"/>
      <c r="C149" s="71"/>
      <c r="D149" s="18"/>
      <c r="E149" s="18"/>
      <c r="F149" s="18"/>
      <c r="G149" s="18"/>
      <c r="H149" s="67"/>
      <c r="I149" s="67"/>
      <c r="J149" s="18"/>
      <c r="K149" s="18"/>
      <c r="L149" s="10"/>
      <c r="M149" s="9"/>
      <c r="N149" s="10"/>
      <c r="O149" s="9"/>
      <c r="P149" s="10"/>
    </row>
    <row r="150" spans="1:16" ht="15.6" x14ac:dyDescent="0.3">
      <c r="A150" s="503" t="s">
        <v>36</v>
      </c>
      <c r="B150" s="504"/>
      <c r="C150" s="504"/>
      <c r="D150" s="504"/>
      <c r="E150" s="504"/>
      <c r="F150" s="504"/>
      <c r="G150" s="504"/>
      <c r="H150" s="504"/>
      <c r="I150" s="67"/>
      <c r="J150" s="18"/>
      <c r="K150" s="18"/>
      <c r="L150" s="10"/>
      <c r="M150" s="9"/>
      <c r="N150" s="10"/>
      <c r="O150" s="9"/>
      <c r="P150" s="10"/>
    </row>
    <row r="151" spans="1:16" ht="15.6" x14ac:dyDescent="0.3">
      <c r="A151" s="503" t="s">
        <v>411</v>
      </c>
      <c r="B151" s="504"/>
      <c r="C151" s="504"/>
      <c r="D151" s="504"/>
      <c r="E151" s="504"/>
      <c r="F151" s="504"/>
      <c r="G151" s="504"/>
      <c r="H151" s="67"/>
      <c r="I151" s="67"/>
      <c r="J151" s="18"/>
      <c r="K151" s="18"/>
      <c r="L151" s="19"/>
      <c r="M151" s="10"/>
      <c r="N151" s="10"/>
      <c r="O151" s="9"/>
      <c r="P151" s="10"/>
    </row>
    <row r="152" spans="1:16" ht="15.6" x14ac:dyDescent="0.3">
      <c r="A152" s="20" t="s">
        <v>1</v>
      </c>
      <c r="B152" s="21"/>
      <c r="C152" s="506" t="s">
        <v>415</v>
      </c>
      <c r="D152" s="507"/>
      <c r="E152" s="507"/>
      <c r="F152" s="507"/>
      <c r="G152" s="507"/>
      <c r="H152" s="67"/>
      <c r="I152" s="67"/>
      <c r="J152" s="18"/>
      <c r="K152" s="18"/>
      <c r="L152" s="19"/>
      <c r="M152" s="10"/>
      <c r="N152" s="10"/>
      <c r="O152" s="9"/>
      <c r="P152" s="10"/>
    </row>
    <row r="153" spans="1:16" ht="15.6" x14ac:dyDescent="0.3">
      <c r="A153" s="20" t="s">
        <v>3</v>
      </c>
      <c r="B153" s="21"/>
      <c r="C153" s="90" t="s">
        <v>51</v>
      </c>
      <c r="D153" s="91"/>
      <c r="E153" s="91"/>
      <c r="F153" s="91"/>
      <c r="G153" s="91"/>
      <c r="H153" s="91"/>
      <c r="I153" s="91"/>
      <c r="J153" s="91"/>
      <c r="K153" s="18"/>
      <c r="L153" s="19"/>
      <c r="M153" s="10"/>
      <c r="N153" s="10"/>
      <c r="O153" s="9"/>
      <c r="P153" s="10"/>
    </row>
    <row r="154" spans="1:16" ht="15.6" x14ac:dyDescent="0.3">
      <c r="A154" s="20" t="s">
        <v>4</v>
      </c>
      <c r="B154" s="21"/>
      <c r="C154" s="84" t="s">
        <v>212</v>
      </c>
      <c r="D154" s="85"/>
      <c r="E154" s="85"/>
      <c r="F154" s="85"/>
      <c r="G154" s="85"/>
      <c r="H154" s="85"/>
      <c r="I154" s="85"/>
      <c r="J154" s="85"/>
      <c r="K154" s="18"/>
      <c r="L154" s="19"/>
      <c r="M154" s="10"/>
      <c r="N154" s="10"/>
      <c r="O154" s="9"/>
      <c r="P154" s="10"/>
    </row>
    <row r="155" spans="1:16" ht="15.6" x14ac:dyDescent="0.3">
      <c r="A155" s="20" t="s">
        <v>5</v>
      </c>
      <c r="B155" s="21"/>
      <c r="C155" s="86">
        <v>3</v>
      </c>
      <c r="D155" s="87"/>
      <c r="E155" s="87"/>
      <c r="F155" s="87"/>
      <c r="G155" s="87"/>
      <c r="H155" s="87"/>
      <c r="I155" s="87"/>
      <c r="J155" s="87"/>
      <c r="K155" s="18"/>
      <c r="L155" s="19"/>
      <c r="M155" s="10"/>
      <c r="N155" s="10"/>
      <c r="O155" s="9"/>
      <c r="P155" s="10"/>
    </row>
    <row r="156" spans="1:16" ht="15.6" x14ac:dyDescent="0.3">
      <c r="A156" s="508" t="s">
        <v>6</v>
      </c>
      <c r="B156" s="509"/>
      <c r="C156" s="300" t="s">
        <v>364</v>
      </c>
      <c r="D156" s="85"/>
      <c r="E156" s="85"/>
      <c r="F156" s="85"/>
      <c r="G156" s="85"/>
      <c r="H156" s="85"/>
      <c r="I156" s="85"/>
      <c r="J156" s="85"/>
      <c r="K156" s="18"/>
      <c r="L156" s="19"/>
      <c r="M156" s="10"/>
      <c r="N156" s="10"/>
      <c r="O156" s="9"/>
      <c r="P156" s="10"/>
    </row>
    <row r="157" spans="1:16" ht="16.2" x14ac:dyDescent="0.35">
      <c r="A157" s="508" t="s">
        <v>7</v>
      </c>
      <c r="B157" s="509"/>
      <c r="C157" s="72"/>
      <c r="D157" s="18"/>
      <c r="E157" s="22"/>
      <c r="F157" s="18"/>
      <c r="G157" s="18"/>
      <c r="H157" s="67"/>
      <c r="I157" s="67"/>
      <c r="J157" s="18"/>
      <c r="K157" s="18"/>
      <c r="L157" s="19"/>
      <c r="M157" s="10"/>
      <c r="N157" s="10"/>
      <c r="O157" s="9"/>
      <c r="P157" s="10"/>
    </row>
    <row r="158" spans="1:16" ht="68.400000000000006" x14ac:dyDescent="0.3">
      <c r="A158" s="24" t="s">
        <v>8</v>
      </c>
      <c r="B158" s="24" t="s">
        <v>9</v>
      </c>
      <c r="C158" s="73" t="s">
        <v>10</v>
      </c>
      <c r="D158" s="26" t="s">
        <v>11</v>
      </c>
      <c r="E158" s="27" t="s">
        <v>12</v>
      </c>
      <c r="F158" s="27" t="s">
        <v>13</v>
      </c>
      <c r="G158" s="27" t="s">
        <v>14</v>
      </c>
      <c r="H158" s="27" t="s">
        <v>210</v>
      </c>
      <c r="I158" s="27" t="s">
        <v>209</v>
      </c>
      <c r="J158" s="27" t="s">
        <v>15</v>
      </c>
      <c r="K158" s="27" t="s">
        <v>16</v>
      </c>
      <c r="L158" s="19"/>
      <c r="M158" s="10"/>
      <c r="N158" s="10"/>
      <c r="O158" s="9"/>
      <c r="P158" s="10"/>
    </row>
    <row r="159" spans="1:16" ht="15.6" x14ac:dyDescent="0.3">
      <c r="A159" s="24"/>
      <c r="B159" s="24"/>
      <c r="C159" s="74"/>
      <c r="D159" s="3"/>
      <c r="E159" s="3"/>
      <c r="F159" s="3"/>
      <c r="G159" s="3"/>
      <c r="H159" s="3"/>
      <c r="I159" s="3"/>
      <c r="J159" s="3"/>
      <c r="K159" s="3"/>
      <c r="L159" s="23"/>
      <c r="M159" s="10"/>
      <c r="N159" s="10"/>
      <c r="O159" s="9"/>
      <c r="P159" s="10"/>
    </row>
    <row r="160" spans="1:16" ht="46.2" x14ac:dyDescent="0.3">
      <c r="A160" s="3"/>
      <c r="B160" s="10"/>
      <c r="C160" s="75"/>
      <c r="D160" s="10"/>
      <c r="E160" s="10"/>
      <c r="F160" s="10"/>
      <c r="G160" s="10"/>
      <c r="H160" s="10"/>
      <c r="I160" s="10"/>
      <c r="J160" s="10"/>
      <c r="K160" s="10"/>
      <c r="L160" s="30" t="s">
        <v>17</v>
      </c>
      <c r="M160" s="30" t="s">
        <v>18</v>
      </c>
      <c r="N160" s="8"/>
      <c r="O160" s="9"/>
      <c r="P160" s="10"/>
    </row>
    <row r="161" spans="1:22" ht="15.6" x14ac:dyDescent="0.3">
      <c r="A161" s="3">
        <f t="shared" ref="A161:A192" si="18">ROW(A1)</f>
        <v>1</v>
      </c>
      <c r="B161" s="306" t="s">
        <v>431</v>
      </c>
      <c r="C161" s="307" t="s">
        <v>365</v>
      </c>
      <c r="D161" s="5" t="s">
        <v>1678</v>
      </c>
      <c r="E161" s="3">
        <v>10</v>
      </c>
      <c r="F161" s="64">
        <v>24.5</v>
      </c>
      <c r="G161" s="64">
        <f>SUM(E161:F161)</f>
        <v>34.5</v>
      </c>
      <c r="H161" s="6"/>
      <c r="I161" s="6"/>
      <c r="J161" s="3">
        <v>28</v>
      </c>
      <c r="K161" s="6">
        <f>SUM(G161:J161)</f>
        <v>62.5</v>
      </c>
      <c r="L161" s="7" t="str">
        <f t="shared" ref="L161:L214" si="19">IF(K161&gt;=80,"A",IF(K161&gt;=70,"B+",IF(K161&gt;=60,"B",IF(K161&gt;=55,"C+",IF(K161&gt;=50,"C",IF(K161&gt;=45,"D+",IF(K161&gt;=40,"D","F")))))))</f>
        <v>B</v>
      </c>
      <c r="M161" s="7" t="str">
        <f t="shared" ref="M161:M214" si="20">IF(K161&gt;=50,"Passed","Failed")</f>
        <v>Passed</v>
      </c>
      <c r="N161" s="8"/>
      <c r="O161" s="9"/>
      <c r="P161" s="10"/>
    </row>
    <row r="162" spans="1:22" ht="31.2" x14ac:dyDescent="0.3">
      <c r="A162" s="3">
        <f t="shared" si="18"/>
        <v>2</v>
      </c>
      <c r="B162" s="306" t="s">
        <v>586</v>
      </c>
      <c r="C162" s="308" t="s">
        <v>366</v>
      </c>
      <c r="D162" s="5" t="s">
        <v>1691</v>
      </c>
      <c r="E162" s="3">
        <v>10</v>
      </c>
      <c r="F162" s="64">
        <v>19.5</v>
      </c>
      <c r="G162" s="64">
        <f>SUM(E162:F162)</f>
        <v>29.5</v>
      </c>
      <c r="H162" s="6"/>
      <c r="I162" s="6"/>
      <c r="J162" s="3">
        <v>25</v>
      </c>
      <c r="K162" s="6">
        <f>SUM(G162:J162)</f>
        <v>54.5</v>
      </c>
      <c r="L162" s="7" t="str">
        <f t="shared" si="19"/>
        <v>C</v>
      </c>
      <c r="M162" s="7" t="str">
        <f t="shared" si="20"/>
        <v>Passed</v>
      </c>
      <c r="N162" s="8" t="s">
        <v>19</v>
      </c>
      <c r="O162" s="9"/>
      <c r="P162" s="10"/>
    </row>
    <row r="163" spans="1:22" ht="15.6" x14ac:dyDescent="0.3">
      <c r="A163" s="3">
        <f t="shared" si="18"/>
        <v>3</v>
      </c>
      <c r="B163" s="306" t="s">
        <v>432</v>
      </c>
      <c r="C163" s="309" t="s">
        <v>367</v>
      </c>
      <c r="D163" s="5" t="s">
        <v>1685</v>
      </c>
      <c r="E163" s="3">
        <v>9</v>
      </c>
      <c r="F163" s="6">
        <v>19</v>
      </c>
      <c r="G163" s="6">
        <f t="shared" ref="G163:G214" si="21">SUM(E163:F163)</f>
        <v>28</v>
      </c>
      <c r="H163" s="6"/>
      <c r="I163" s="6"/>
      <c r="J163" s="3">
        <v>22</v>
      </c>
      <c r="K163" s="6">
        <f t="shared" ref="K163:K214" si="22">SUM(G163:J163)</f>
        <v>50</v>
      </c>
      <c r="L163" s="7" t="str">
        <f t="shared" si="19"/>
        <v>C</v>
      </c>
      <c r="M163" s="7" t="str">
        <f t="shared" si="20"/>
        <v>Passed</v>
      </c>
      <c r="N163" s="7" t="s">
        <v>20</v>
      </c>
      <c r="O163" s="9">
        <f>COUNT(G161:G214)</f>
        <v>54</v>
      </c>
      <c r="P163" s="10"/>
    </row>
    <row r="164" spans="1:22" ht="15.6" x14ac:dyDescent="0.3">
      <c r="A164" s="3">
        <f t="shared" si="18"/>
        <v>4</v>
      </c>
      <c r="B164" s="306" t="s">
        <v>433</v>
      </c>
      <c r="C164" s="310" t="s">
        <v>368</v>
      </c>
      <c r="D164" s="5" t="s">
        <v>1707</v>
      </c>
      <c r="E164" s="3">
        <v>9</v>
      </c>
      <c r="F164" s="6">
        <v>21</v>
      </c>
      <c r="G164" s="6">
        <f t="shared" si="21"/>
        <v>30</v>
      </c>
      <c r="H164" s="6"/>
      <c r="I164" s="6"/>
      <c r="J164" s="3">
        <v>25</v>
      </c>
      <c r="K164" s="6">
        <f t="shared" si="22"/>
        <v>55</v>
      </c>
      <c r="L164" s="7" t="str">
        <f t="shared" si="19"/>
        <v>C+</v>
      </c>
      <c r="M164" s="7" t="str">
        <f t="shared" si="20"/>
        <v>Passed</v>
      </c>
      <c r="N164" s="7" t="s">
        <v>21</v>
      </c>
      <c r="O164" s="9">
        <f>COUNT(J161:J214)</f>
        <v>54</v>
      </c>
      <c r="P164" s="10"/>
    </row>
    <row r="165" spans="1:22" ht="15.6" x14ac:dyDescent="0.3">
      <c r="A165" s="3">
        <f t="shared" si="18"/>
        <v>5</v>
      </c>
      <c r="B165" s="306" t="s">
        <v>434</v>
      </c>
      <c r="C165" s="310" t="s">
        <v>606</v>
      </c>
      <c r="D165" s="5" t="s">
        <v>1672</v>
      </c>
      <c r="E165" s="3">
        <v>10</v>
      </c>
      <c r="F165" s="6">
        <v>26</v>
      </c>
      <c r="G165" s="6">
        <f t="shared" si="21"/>
        <v>36</v>
      </c>
      <c r="H165" s="6"/>
      <c r="I165" s="6"/>
      <c r="J165" s="3">
        <v>48</v>
      </c>
      <c r="K165" s="6">
        <f t="shared" si="22"/>
        <v>84</v>
      </c>
      <c r="L165" s="7" t="str">
        <f t="shared" si="19"/>
        <v>A</v>
      </c>
      <c r="M165" s="7" t="str">
        <f t="shared" si="20"/>
        <v>Passed</v>
      </c>
      <c r="N165" s="7" t="s">
        <v>22</v>
      </c>
      <c r="O165" s="9">
        <f>O163-O164</f>
        <v>0</v>
      </c>
      <c r="P165" s="10"/>
    </row>
    <row r="166" spans="1:22" ht="15.6" x14ac:dyDescent="0.3">
      <c r="A166" s="3">
        <f t="shared" si="18"/>
        <v>6</v>
      </c>
      <c r="B166" s="306" t="s">
        <v>544</v>
      </c>
      <c r="C166" s="309" t="s">
        <v>369</v>
      </c>
      <c r="D166" s="5" t="s">
        <v>1696</v>
      </c>
      <c r="E166" s="3">
        <v>9</v>
      </c>
      <c r="F166" s="64">
        <v>20.5</v>
      </c>
      <c r="G166" s="64">
        <f t="shared" si="21"/>
        <v>29.5</v>
      </c>
      <c r="H166" s="6"/>
      <c r="I166" s="6"/>
      <c r="J166" s="5">
        <v>38</v>
      </c>
      <c r="K166" s="6">
        <f t="shared" si="22"/>
        <v>67.5</v>
      </c>
      <c r="L166" s="7" t="str">
        <f t="shared" si="19"/>
        <v>B</v>
      </c>
      <c r="M166" s="7" t="str">
        <f t="shared" si="20"/>
        <v>Passed</v>
      </c>
      <c r="N166" s="7" t="s">
        <v>23</v>
      </c>
      <c r="O166" s="9">
        <f>COUNTIF(M161:M214,"Passed")</f>
        <v>40</v>
      </c>
      <c r="P166" s="10"/>
    </row>
    <row r="167" spans="1:22" ht="15.6" x14ac:dyDescent="0.3">
      <c r="A167" s="3">
        <f t="shared" si="18"/>
        <v>7</v>
      </c>
      <c r="B167" s="306" t="s">
        <v>562</v>
      </c>
      <c r="C167" s="309" t="s">
        <v>370</v>
      </c>
      <c r="D167" s="5" t="s">
        <v>1677</v>
      </c>
      <c r="E167" s="5">
        <v>9</v>
      </c>
      <c r="F167" s="31">
        <v>13</v>
      </c>
      <c r="G167" s="6">
        <f t="shared" si="21"/>
        <v>22</v>
      </c>
      <c r="H167" s="6"/>
      <c r="I167" s="6"/>
      <c r="J167" s="5">
        <v>25</v>
      </c>
      <c r="K167" s="6">
        <f t="shared" si="22"/>
        <v>47</v>
      </c>
      <c r="L167" s="7" t="str">
        <f t="shared" si="19"/>
        <v>D+</v>
      </c>
      <c r="M167" s="7" t="str">
        <f t="shared" si="20"/>
        <v>Failed</v>
      </c>
      <c r="N167" s="7" t="s">
        <v>24</v>
      </c>
      <c r="O167" s="29">
        <f>O166/O164%</f>
        <v>74.074074074074076</v>
      </c>
      <c r="P167" s="10"/>
    </row>
    <row r="168" spans="1:22" ht="15.6" x14ac:dyDescent="0.3">
      <c r="A168" s="3">
        <f t="shared" si="18"/>
        <v>8</v>
      </c>
      <c r="B168" s="306" t="s">
        <v>435</v>
      </c>
      <c r="C168" s="310" t="s">
        <v>595</v>
      </c>
      <c r="D168" s="5" t="s">
        <v>1684</v>
      </c>
      <c r="E168" s="5">
        <v>10</v>
      </c>
      <c r="F168" s="31">
        <v>23</v>
      </c>
      <c r="G168" s="6">
        <f t="shared" si="21"/>
        <v>33</v>
      </c>
      <c r="H168" s="6"/>
      <c r="I168" s="6"/>
      <c r="J168" s="5">
        <v>29</v>
      </c>
      <c r="K168" s="6">
        <f t="shared" si="22"/>
        <v>62</v>
      </c>
      <c r="L168" s="7" t="str">
        <f t="shared" si="19"/>
        <v>B</v>
      </c>
      <c r="M168" s="7" t="str">
        <f t="shared" si="20"/>
        <v>Passed</v>
      </c>
      <c r="N168" s="10" t="s">
        <v>25</v>
      </c>
      <c r="O168" s="9">
        <f>COUNTIF(M161:M214,"failed")</f>
        <v>14</v>
      </c>
      <c r="P168" s="10"/>
    </row>
    <row r="169" spans="1:22" ht="15.6" x14ac:dyDescent="0.3">
      <c r="A169" s="3">
        <f t="shared" si="18"/>
        <v>9</v>
      </c>
      <c r="B169" s="306" t="s">
        <v>436</v>
      </c>
      <c r="C169" s="309" t="s">
        <v>371</v>
      </c>
      <c r="D169" s="5" t="s">
        <v>1710</v>
      </c>
      <c r="E169" s="5">
        <v>10</v>
      </c>
      <c r="F169" s="65">
        <v>27.5</v>
      </c>
      <c r="G169" s="64">
        <f t="shared" si="21"/>
        <v>37.5</v>
      </c>
      <c r="H169" s="6"/>
      <c r="I169" s="6"/>
      <c r="J169" s="5">
        <v>42</v>
      </c>
      <c r="K169" s="6">
        <f t="shared" si="22"/>
        <v>79.5</v>
      </c>
      <c r="L169" s="7" t="str">
        <f t="shared" si="19"/>
        <v>B+</v>
      </c>
      <c r="M169" s="7" t="str">
        <f t="shared" si="20"/>
        <v>Passed</v>
      </c>
      <c r="N169" s="10" t="s">
        <v>26</v>
      </c>
      <c r="O169" s="29">
        <f>O168/O164%</f>
        <v>25.925925925925924</v>
      </c>
      <c r="P169" s="10"/>
    </row>
    <row r="170" spans="1:22" ht="15.6" x14ac:dyDescent="0.3">
      <c r="A170" s="3">
        <f t="shared" si="18"/>
        <v>10</v>
      </c>
      <c r="B170" s="306" t="s">
        <v>437</v>
      </c>
      <c r="C170" s="310" t="s">
        <v>372</v>
      </c>
      <c r="D170" s="5" t="s">
        <v>1695</v>
      </c>
      <c r="E170" s="5">
        <v>10</v>
      </c>
      <c r="F170" s="31">
        <v>25</v>
      </c>
      <c r="G170" s="6">
        <f t="shared" si="21"/>
        <v>35</v>
      </c>
      <c r="H170" s="6"/>
      <c r="I170" s="6"/>
      <c r="J170" s="5">
        <v>8</v>
      </c>
      <c r="K170" s="6">
        <f t="shared" si="22"/>
        <v>43</v>
      </c>
      <c r="L170" s="7" t="str">
        <f t="shared" si="19"/>
        <v>D</v>
      </c>
      <c r="M170" s="7" t="str">
        <f t="shared" si="20"/>
        <v>Failed</v>
      </c>
      <c r="N170" s="10" t="s">
        <v>27</v>
      </c>
      <c r="O170" s="29">
        <f>AVERAGE(K161:K214)</f>
        <v>55.574074074074076</v>
      </c>
      <c r="P170" s="10"/>
    </row>
    <row r="171" spans="1:22" ht="15.6" x14ac:dyDescent="0.3">
      <c r="A171" s="3">
        <f t="shared" si="18"/>
        <v>11</v>
      </c>
      <c r="B171" s="306" t="s">
        <v>438</v>
      </c>
      <c r="C171" s="307" t="s">
        <v>373</v>
      </c>
      <c r="D171" s="5" t="s">
        <v>1682</v>
      </c>
      <c r="E171" s="5">
        <v>10</v>
      </c>
      <c r="F171" s="31">
        <v>27</v>
      </c>
      <c r="G171" s="6">
        <f t="shared" si="21"/>
        <v>37</v>
      </c>
      <c r="H171" s="6"/>
      <c r="I171" s="6"/>
      <c r="J171" s="5">
        <v>36</v>
      </c>
      <c r="K171" s="6">
        <f t="shared" si="22"/>
        <v>73</v>
      </c>
      <c r="L171" s="7" t="str">
        <f t="shared" si="19"/>
        <v>B+</v>
      </c>
      <c r="M171" s="7" t="str">
        <f t="shared" si="20"/>
        <v>Passed</v>
      </c>
      <c r="N171" s="10"/>
      <c r="O171" s="9"/>
      <c r="P171" s="10"/>
    </row>
    <row r="172" spans="1:22" ht="15.6" x14ac:dyDescent="0.3">
      <c r="A172" s="3">
        <f t="shared" si="18"/>
        <v>12</v>
      </c>
      <c r="B172" s="306" t="s">
        <v>439</v>
      </c>
      <c r="C172" s="307" t="s">
        <v>565</v>
      </c>
      <c r="D172" s="5" t="s">
        <v>1662</v>
      </c>
      <c r="E172" s="5">
        <v>10</v>
      </c>
      <c r="F172" s="348">
        <v>15</v>
      </c>
      <c r="G172" s="6">
        <f t="shared" si="21"/>
        <v>25</v>
      </c>
      <c r="H172" s="6"/>
      <c r="I172" s="6"/>
      <c r="J172" s="5">
        <v>25</v>
      </c>
      <c r="K172" s="6">
        <f t="shared" si="22"/>
        <v>50</v>
      </c>
      <c r="L172" s="7" t="str">
        <f t="shared" si="19"/>
        <v>C</v>
      </c>
      <c r="M172" s="7" t="str">
        <f t="shared" si="20"/>
        <v>Passed</v>
      </c>
      <c r="N172" s="10"/>
      <c r="O172" s="9"/>
      <c r="P172" s="10"/>
    </row>
    <row r="173" spans="1:22" ht="15.6" x14ac:dyDescent="0.3">
      <c r="A173" s="3">
        <f t="shared" si="18"/>
        <v>13</v>
      </c>
      <c r="B173" s="306" t="s">
        <v>440</v>
      </c>
      <c r="C173" s="310" t="s">
        <v>374</v>
      </c>
      <c r="D173" s="5" t="s">
        <v>1661</v>
      </c>
      <c r="E173" s="5">
        <v>10</v>
      </c>
      <c r="F173" s="31">
        <v>26</v>
      </c>
      <c r="G173" s="6">
        <f t="shared" si="21"/>
        <v>36</v>
      </c>
      <c r="H173" s="6"/>
      <c r="I173" s="6"/>
      <c r="J173" s="5">
        <v>42</v>
      </c>
      <c r="K173" s="6">
        <f t="shared" si="22"/>
        <v>78</v>
      </c>
      <c r="L173" s="7" t="str">
        <f t="shared" si="19"/>
        <v>B+</v>
      </c>
      <c r="M173" s="7" t="str">
        <f t="shared" si="20"/>
        <v>Passed</v>
      </c>
      <c r="N173" s="10"/>
      <c r="O173" s="9"/>
      <c r="P173" s="10"/>
    </row>
    <row r="174" spans="1:22" ht="15.6" x14ac:dyDescent="0.3">
      <c r="A174" s="3">
        <f t="shared" si="18"/>
        <v>14</v>
      </c>
      <c r="B174" s="306" t="s">
        <v>441</v>
      </c>
      <c r="C174" s="310" t="s">
        <v>375</v>
      </c>
      <c r="D174" s="5" t="s">
        <v>1703</v>
      </c>
      <c r="E174" s="5">
        <v>9</v>
      </c>
      <c r="F174" s="31">
        <v>27</v>
      </c>
      <c r="G174" s="6">
        <f t="shared" si="21"/>
        <v>36</v>
      </c>
      <c r="H174" s="6"/>
      <c r="I174" s="6"/>
      <c r="J174" s="5">
        <v>14</v>
      </c>
      <c r="K174" s="6">
        <f t="shared" si="22"/>
        <v>50</v>
      </c>
      <c r="L174" s="7" t="str">
        <f t="shared" si="19"/>
        <v>C</v>
      </c>
      <c r="M174" s="7" t="str">
        <f t="shared" si="20"/>
        <v>Passed</v>
      </c>
      <c r="N174" s="10"/>
      <c r="O174" s="9" t="s">
        <v>28</v>
      </c>
      <c r="P174" s="10" t="s">
        <v>29</v>
      </c>
      <c r="Q174" t="s">
        <v>30</v>
      </c>
      <c r="R174" t="s">
        <v>31</v>
      </c>
      <c r="S174" t="s">
        <v>32</v>
      </c>
      <c r="T174" t="s">
        <v>33</v>
      </c>
      <c r="U174" t="s">
        <v>34</v>
      </c>
      <c r="V174" t="s">
        <v>35</v>
      </c>
    </row>
    <row r="175" spans="1:22" ht="15.6" x14ac:dyDescent="0.3">
      <c r="A175" s="3">
        <f t="shared" si="18"/>
        <v>15</v>
      </c>
      <c r="B175" s="306" t="s">
        <v>442</v>
      </c>
      <c r="C175" s="310" t="s">
        <v>376</v>
      </c>
      <c r="D175" s="5" t="s">
        <v>1667</v>
      </c>
      <c r="E175" s="5">
        <v>9</v>
      </c>
      <c r="F175" s="31">
        <v>16</v>
      </c>
      <c r="G175" s="6">
        <f t="shared" si="21"/>
        <v>25</v>
      </c>
      <c r="H175" s="6"/>
      <c r="I175" s="6"/>
      <c r="J175" s="5">
        <v>14</v>
      </c>
      <c r="K175" s="6">
        <f t="shared" si="22"/>
        <v>39</v>
      </c>
      <c r="L175" s="7" t="str">
        <f t="shared" si="19"/>
        <v>F</v>
      </c>
      <c r="M175" s="7" t="str">
        <f t="shared" si="20"/>
        <v>Failed</v>
      </c>
      <c r="N175" s="11"/>
      <c r="O175" s="9">
        <f>COUNTIF(L161:L214,"A")</f>
        <v>1</v>
      </c>
      <c r="P175" s="10">
        <f>COUNTIF(L161:L214,"B+")</f>
        <v>6</v>
      </c>
      <c r="Q175">
        <f>COUNTIF(L161:L214,"B")</f>
        <v>14</v>
      </c>
      <c r="R175">
        <f>COUNTIF(L161:L214,"C+")</f>
        <v>6</v>
      </c>
      <c r="S175">
        <f>COUNTIF(L161:L214,"C")</f>
        <v>13</v>
      </c>
      <c r="T175">
        <f>COUNTIF(L161:L214,"D+")</f>
        <v>3</v>
      </c>
      <c r="U175">
        <f>COUNTIF(L161:L214,"D")</f>
        <v>3</v>
      </c>
      <c r="V175">
        <f>COUNTIF(L161:L214,"F")</f>
        <v>8</v>
      </c>
    </row>
    <row r="176" spans="1:22" ht="15.6" x14ac:dyDescent="0.3">
      <c r="A176" s="3">
        <f t="shared" si="18"/>
        <v>16</v>
      </c>
      <c r="B176" s="306" t="s">
        <v>443</v>
      </c>
      <c r="C176" s="307" t="s">
        <v>377</v>
      </c>
      <c r="D176" s="5" t="s">
        <v>1687</v>
      </c>
      <c r="E176" s="5">
        <v>10</v>
      </c>
      <c r="F176" s="31">
        <v>24</v>
      </c>
      <c r="G176" s="6">
        <f t="shared" si="21"/>
        <v>34</v>
      </c>
      <c r="H176" s="6"/>
      <c r="I176" s="6"/>
      <c r="J176" s="5">
        <v>34</v>
      </c>
      <c r="K176" s="6">
        <f t="shared" si="22"/>
        <v>68</v>
      </c>
      <c r="L176" s="7" t="str">
        <f t="shared" si="19"/>
        <v>B</v>
      </c>
      <c r="M176" s="7" t="str">
        <f t="shared" si="20"/>
        <v>Passed</v>
      </c>
      <c r="N176" s="10"/>
      <c r="O176" s="9"/>
      <c r="P176" s="10"/>
    </row>
    <row r="177" spans="1:16" ht="15.6" x14ac:dyDescent="0.3">
      <c r="A177" s="3">
        <f t="shared" si="18"/>
        <v>17</v>
      </c>
      <c r="B177" s="306" t="s">
        <v>444</v>
      </c>
      <c r="C177" s="310" t="s">
        <v>378</v>
      </c>
      <c r="D177" s="5" t="s">
        <v>1681</v>
      </c>
      <c r="E177" s="5">
        <v>10</v>
      </c>
      <c r="F177" s="31">
        <v>26</v>
      </c>
      <c r="G177" s="6">
        <f t="shared" si="21"/>
        <v>36</v>
      </c>
      <c r="H177" s="6"/>
      <c r="I177" s="6"/>
      <c r="J177" s="5">
        <v>18</v>
      </c>
      <c r="K177" s="6">
        <f t="shared" si="22"/>
        <v>54</v>
      </c>
      <c r="L177" s="7" t="str">
        <f t="shared" si="19"/>
        <v>C</v>
      </c>
      <c r="M177" s="7" t="str">
        <f t="shared" si="20"/>
        <v>Passed</v>
      </c>
      <c r="N177" s="11"/>
      <c r="O177" s="9"/>
      <c r="P177" s="10"/>
    </row>
    <row r="178" spans="1:16" ht="15.6" x14ac:dyDescent="0.3">
      <c r="A178" s="3">
        <f t="shared" si="18"/>
        <v>18</v>
      </c>
      <c r="B178" s="306" t="s">
        <v>445</v>
      </c>
      <c r="C178" s="308" t="s">
        <v>379</v>
      </c>
      <c r="D178" s="5" t="s">
        <v>1693</v>
      </c>
      <c r="E178" s="5">
        <v>9</v>
      </c>
      <c r="F178" s="31">
        <v>21</v>
      </c>
      <c r="G178" s="6">
        <f t="shared" si="21"/>
        <v>30</v>
      </c>
      <c r="H178" s="6"/>
      <c r="I178" s="6"/>
      <c r="J178" s="5">
        <v>21</v>
      </c>
      <c r="K178" s="6">
        <f t="shared" si="22"/>
        <v>51</v>
      </c>
      <c r="L178" s="7" t="str">
        <f t="shared" si="19"/>
        <v>C</v>
      </c>
      <c r="M178" s="7" t="str">
        <f t="shared" si="20"/>
        <v>Passed</v>
      </c>
      <c r="N178" s="10"/>
      <c r="O178" s="9"/>
      <c r="P178" s="10"/>
    </row>
    <row r="179" spans="1:16" ht="15.6" x14ac:dyDescent="0.3">
      <c r="A179" s="3">
        <f t="shared" si="18"/>
        <v>19</v>
      </c>
      <c r="B179" s="306" t="s">
        <v>446</v>
      </c>
      <c r="C179" s="310" t="s">
        <v>602</v>
      </c>
      <c r="D179" s="5" t="s">
        <v>1689</v>
      </c>
      <c r="E179" s="5">
        <v>10</v>
      </c>
      <c r="F179" s="31">
        <v>22</v>
      </c>
      <c r="G179" s="6">
        <f t="shared" si="21"/>
        <v>32</v>
      </c>
      <c r="H179" s="6"/>
      <c r="I179" s="6"/>
      <c r="J179" s="5">
        <v>20</v>
      </c>
      <c r="K179" s="6">
        <f t="shared" si="22"/>
        <v>52</v>
      </c>
      <c r="L179" s="7" t="str">
        <f t="shared" si="19"/>
        <v>C</v>
      </c>
      <c r="M179" s="7" t="str">
        <f t="shared" si="20"/>
        <v>Passed</v>
      </c>
      <c r="N179" s="10"/>
      <c r="O179" s="9"/>
      <c r="P179" s="10"/>
    </row>
    <row r="180" spans="1:16" ht="15.6" x14ac:dyDescent="0.3">
      <c r="A180" s="3">
        <f t="shared" si="18"/>
        <v>20</v>
      </c>
      <c r="B180" s="306" t="s">
        <v>448</v>
      </c>
      <c r="C180" s="308" t="s">
        <v>380</v>
      </c>
      <c r="D180" s="5" t="s">
        <v>1679</v>
      </c>
      <c r="E180" s="5">
        <v>10</v>
      </c>
      <c r="F180" s="31">
        <v>16</v>
      </c>
      <c r="G180" s="6">
        <f t="shared" si="21"/>
        <v>26</v>
      </c>
      <c r="H180" s="6"/>
      <c r="I180" s="6"/>
      <c r="J180" s="5">
        <v>9</v>
      </c>
      <c r="K180" s="6">
        <f t="shared" si="22"/>
        <v>35</v>
      </c>
      <c r="L180" s="7" t="str">
        <f t="shared" si="19"/>
        <v>F</v>
      </c>
      <c r="M180" s="7" t="str">
        <f t="shared" si="20"/>
        <v>Failed</v>
      </c>
      <c r="N180" s="10"/>
      <c r="O180" s="9"/>
      <c r="P180" s="10"/>
    </row>
    <row r="181" spans="1:16" ht="15.6" x14ac:dyDescent="0.3">
      <c r="A181" s="3">
        <f t="shared" si="18"/>
        <v>21</v>
      </c>
      <c r="B181" s="306" t="s">
        <v>447</v>
      </c>
      <c r="C181" s="310" t="s">
        <v>381</v>
      </c>
      <c r="D181" s="5" t="s">
        <v>1673</v>
      </c>
      <c r="E181" s="5">
        <v>9</v>
      </c>
      <c r="F181" s="31">
        <v>29</v>
      </c>
      <c r="G181" s="6">
        <f t="shared" si="21"/>
        <v>38</v>
      </c>
      <c r="H181" s="6"/>
      <c r="I181" s="6"/>
      <c r="J181" s="5">
        <v>33</v>
      </c>
      <c r="K181" s="6">
        <f t="shared" si="22"/>
        <v>71</v>
      </c>
      <c r="L181" s="7" t="str">
        <f t="shared" si="19"/>
        <v>B+</v>
      </c>
      <c r="M181" s="7" t="str">
        <f t="shared" si="20"/>
        <v>Passed</v>
      </c>
      <c r="N181" s="10"/>
      <c r="O181" s="9"/>
      <c r="P181" s="10"/>
    </row>
    <row r="182" spans="1:16" ht="15.6" x14ac:dyDescent="0.3">
      <c r="A182" s="3">
        <f t="shared" si="18"/>
        <v>22</v>
      </c>
      <c r="B182" s="313" t="s">
        <v>570</v>
      </c>
      <c r="C182" s="309" t="s">
        <v>382</v>
      </c>
      <c r="D182" s="5" t="s">
        <v>1665</v>
      </c>
      <c r="E182" s="5">
        <v>9</v>
      </c>
      <c r="F182" s="31">
        <v>26</v>
      </c>
      <c r="G182" s="6">
        <f t="shared" si="21"/>
        <v>35</v>
      </c>
      <c r="H182" s="6"/>
      <c r="I182" s="6"/>
      <c r="J182" s="5">
        <v>3</v>
      </c>
      <c r="K182" s="6">
        <f t="shared" si="22"/>
        <v>38</v>
      </c>
      <c r="L182" s="7" t="str">
        <f t="shared" si="19"/>
        <v>F</v>
      </c>
      <c r="M182" s="7" t="str">
        <f t="shared" si="20"/>
        <v>Failed</v>
      </c>
      <c r="N182" s="10"/>
      <c r="O182" s="9"/>
      <c r="P182" s="10"/>
    </row>
    <row r="183" spans="1:16" ht="15.6" x14ac:dyDescent="0.3">
      <c r="A183" s="3">
        <f t="shared" si="18"/>
        <v>23</v>
      </c>
      <c r="B183" s="306" t="s">
        <v>449</v>
      </c>
      <c r="C183" s="309" t="s">
        <v>383</v>
      </c>
      <c r="D183" s="5" t="s">
        <v>1714</v>
      </c>
      <c r="E183" s="5">
        <v>10</v>
      </c>
      <c r="F183" s="31">
        <v>30</v>
      </c>
      <c r="G183" s="6">
        <f t="shared" si="21"/>
        <v>40</v>
      </c>
      <c r="H183" s="6"/>
      <c r="I183" s="6"/>
      <c r="J183" s="5">
        <v>25</v>
      </c>
      <c r="K183" s="6">
        <f t="shared" si="22"/>
        <v>65</v>
      </c>
      <c r="L183" s="7" t="str">
        <f t="shared" si="19"/>
        <v>B</v>
      </c>
      <c r="M183" s="7" t="str">
        <f t="shared" si="20"/>
        <v>Passed</v>
      </c>
      <c r="N183" s="10"/>
      <c r="O183" s="9"/>
      <c r="P183" s="10"/>
    </row>
    <row r="184" spans="1:16" ht="15.6" x14ac:dyDescent="0.3">
      <c r="A184" s="3">
        <f t="shared" si="18"/>
        <v>24</v>
      </c>
      <c r="B184" s="306" t="s">
        <v>450</v>
      </c>
      <c r="C184" s="309" t="s">
        <v>384</v>
      </c>
      <c r="D184" s="5" t="s">
        <v>1712</v>
      </c>
      <c r="E184" s="5">
        <v>10</v>
      </c>
      <c r="F184" s="65">
        <v>14.5</v>
      </c>
      <c r="G184" s="64">
        <f t="shared" si="21"/>
        <v>24.5</v>
      </c>
      <c r="H184" s="6"/>
      <c r="I184" s="6"/>
      <c r="J184" s="5">
        <v>12</v>
      </c>
      <c r="K184" s="6">
        <f t="shared" si="22"/>
        <v>36.5</v>
      </c>
      <c r="L184" s="7" t="str">
        <f t="shared" si="19"/>
        <v>F</v>
      </c>
      <c r="M184" s="7" t="str">
        <f t="shared" si="20"/>
        <v>Failed</v>
      </c>
      <c r="N184" s="10"/>
      <c r="O184" s="9"/>
      <c r="P184" s="10"/>
    </row>
    <row r="185" spans="1:16" ht="15.6" x14ac:dyDescent="0.3">
      <c r="A185" s="3">
        <f t="shared" si="18"/>
        <v>25</v>
      </c>
      <c r="B185" s="306" t="s">
        <v>451</v>
      </c>
      <c r="C185" s="310" t="s">
        <v>385</v>
      </c>
      <c r="D185" s="5" t="s">
        <v>1704</v>
      </c>
      <c r="E185" s="5">
        <v>10</v>
      </c>
      <c r="F185" s="31">
        <v>24</v>
      </c>
      <c r="G185" s="6">
        <f t="shared" si="21"/>
        <v>34</v>
      </c>
      <c r="H185" s="6"/>
      <c r="I185" s="6"/>
      <c r="J185" s="5">
        <v>19</v>
      </c>
      <c r="K185" s="6">
        <f t="shared" si="22"/>
        <v>53</v>
      </c>
      <c r="L185" s="7" t="str">
        <f t="shared" si="19"/>
        <v>C</v>
      </c>
      <c r="M185" s="7" t="str">
        <f t="shared" si="20"/>
        <v>Passed</v>
      </c>
      <c r="N185" s="10"/>
      <c r="O185" s="9"/>
      <c r="P185" s="10"/>
    </row>
    <row r="186" spans="1:16" ht="15.6" x14ac:dyDescent="0.3">
      <c r="A186" s="3">
        <f t="shared" si="18"/>
        <v>26</v>
      </c>
      <c r="B186" s="306" t="s">
        <v>452</v>
      </c>
      <c r="C186" s="310" t="s">
        <v>386</v>
      </c>
      <c r="D186" s="5" t="s">
        <v>1680</v>
      </c>
      <c r="E186" s="5">
        <v>10</v>
      </c>
      <c r="F186" s="31">
        <v>24</v>
      </c>
      <c r="G186" s="6">
        <f t="shared" si="21"/>
        <v>34</v>
      </c>
      <c r="H186" s="6"/>
      <c r="I186" s="6"/>
      <c r="J186" s="5">
        <v>17</v>
      </c>
      <c r="K186" s="6">
        <f t="shared" si="22"/>
        <v>51</v>
      </c>
      <c r="L186" s="7" t="str">
        <f t="shared" si="19"/>
        <v>C</v>
      </c>
      <c r="M186" s="7" t="str">
        <f t="shared" si="20"/>
        <v>Passed</v>
      </c>
      <c r="N186" s="10"/>
      <c r="O186" s="9"/>
      <c r="P186" s="10"/>
    </row>
    <row r="187" spans="1:16" ht="15.6" x14ac:dyDescent="0.3">
      <c r="A187" s="3">
        <f t="shared" si="18"/>
        <v>27</v>
      </c>
      <c r="B187" s="306" t="s">
        <v>453</v>
      </c>
      <c r="C187" s="309" t="s">
        <v>387</v>
      </c>
      <c r="D187" s="5" t="s">
        <v>1676</v>
      </c>
      <c r="E187" s="5">
        <v>10</v>
      </c>
      <c r="F187" s="5">
        <v>23</v>
      </c>
      <c r="G187" s="6">
        <f t="shared" si="21"/>
        <v>33</v>
      </c>
      <c r="H187" s="6"/>
      <c r="I187" s="6"/>
      <c r="J187" s="5">
        <v>36</v>
      </c>
      <c r="K187" s="6">
        <f t="shared" si="22"/>
        <v>69</v>
      </c>
      <c r="L187" s="7" t="str">
        <f t="shared" si="19"/>
        <v>B</v>
      </c>
      <c r="M187" s="7" t="str">
        <f t="shared" si="20"/>
        <v>Passed</v>
      </c>
      <c r="N187" s="10"/>
      <c r="O187" s="9"/>
      <c r="P187" s="10"/>
    </row>
    <row r="188" spans="1:16" ht="15.6" x14ac:dyDescent="0.3">
      <c r="A188" s="3">
        <f t="shared" si="18"/>
        <v>28</v>
      </c>
      <c r="B188" s="388">
        <v>400123</v>
      </c>
      <c r="C188" s="310" t="s">
        <v>388</v>
      </c>
      <c r="D188" s="5" t="s">
        <v>1671</v>
      </c>
      <c r="E188" s="5">
        <v>9</v>
      </c>
      <c r="F188" s="5">
        <v>22</v>
      </c>
      <c r="G188" s="6">
        <f t="shared" si="21"/>
        <v>31</v>
      </c>
      <c r="H188" s="6"/>
      <c r="I188" s="6"/>
      <c r="J188" s="5">
        <v>25</v>
      </c>
      <c r="K188" s="6">
        <f t="shared" si="22"/>
        <v>56</v>
      </c>
      <c r="L188" s="7" t="str">
        <f t="shared" si="19"/>
        <v>C+</v>
      </c>
      <c r="M188" s="7" t="str">
        <f t="shared" si="20"/>
        <v>Passed</v>
      </c>
      <c r="N188" s="10"/>
      <c r="O188" s="9"/>
      <c r="P188" s="10"/>
    </row>
    <row r="189" spans="1:16" ht="15.6" x14ac:dyDescent="0.3">
      <c r="A189" s="3">
        <f t="shared" si="18"/>
        <v>29</v>
      </c>
      <c r="B189" s="306" t="s">
        <v>454</v>
      </c>
      <c r="C189" s="309" t="s">
        <v>771</v>
      </c>
      <c r="D189" s="5" t="s">
        <v>1669</v>
      </c>
      <c r="E189" s="5">
        <v>10</v>
      </c>
      <c r="F189" s="5">
        <v>20</v>
      </c>
      <c r="G189" s="6">
        <f t="shared" si="21"/>
        <v>30</v>
      </c>
      <c r="H189" s="6"/>
      <c r="I189" s="6"/>
      <c r="J189" s="5">
        <v>8</v>
      </c>
      <c r="K189" s="6">
        <f t="shared" si="22"/>
        <v>38</v>
      </c>
      <c r="L189" s="7" t="str">
        <f t="shared" si="19"/>
        <v>F</v>
      </c>
      <c r="M189" s="7" t="str">
        <f t="shared" si="20"/>
        <v>Failed</v>
      </c>
      <c r="N189" s="10"/>
      <c r="O189" s="9"/>
      <c r="P189" s="10"/>
    </row>
    <row r="190" spans="1:16" ht="15.6" x14ac:dyDescent="0.3">
      <c r="A190" s="3">
        <f t="shared" si="18"/>
        <v>30</v>
      </c>
      <c r="B190" s="306" t="s">
        <v>455</v>
      </c>
      <c r="C190" s="307" t="s">
        <v>389</v>
      </c>
      <c r="D190" s="5" t="s">
        <v>1702</v>
      </c>
      <c r="E190" s="5">
        <v>10</v>
      </c>
      <c r="F190" s="5">
        <v>25</v>
      </c>
      <c r="G190" s="6">
        <f t="shared" si="21"/>
        <v>35</v>
      </c>
      <c r="H190" s="6"/>
      <c r="I190" s="6"/>
      <c r="J190" s="5">
        <v>37</v>
      </c>
      <c r="K190" s="6">
        <f t="shared" si="22"/>
        <v>72</v>
      </c>
      <c r="L190" s="7" t="str">
        <f t="shared" si="19"/>
        <v>B+</v>
      </c>
      <c r="M190" s="7" t="str">
        <f t="shared" si="20"/>
        <v>Passed</v>
      </c>
      <c r="N190" s="10"/>
      <c r="O190" s="9"/>
      <c r="P190" s="10"/>
    </row>
    <row r="191" spans="1:16" ht="15.6" x14ac:dyDescent="0.3">
      <c r="A191" s="3">
        <f t="shared" si="18"/>
        <v>31</v>
      </c>
      <c r="B191" s="306" t="s">
        <v>456</v>
      </c>
      <c r="C191" s="310" t="s">
        <v>535</v>
      </c>
      <c r="D191" s="5" t="s">
        <v>1698</v>
      </c>
      <c r="E191" s="5">
        <v>9</v>
      </c>
      <c r="F191" s="5">
        <v>25</v>
      </c>
      <c r="G191" s="6">
        <f t="shared" si="21"/>
        <v>34</v>
      </c>
      <c r="H191" s="6"/>
      <c r="I191" s="6"/>
      <c r="J191" s="5">
        <v>20</v>
      </c>
      <c r="K191" s="6">
        <f t="shared" si="22"/>
        <v>54</v>
      </c>
      <c r="L191" s="7" t="str">
        <f t="shared" si="19"/>
        <v>C</v>
      </c>
      <c r="M191" s="7" t="str">
        <f t="shared" si="20"/>
        <v>Passed</v>
      </c>
      <c r="N191" s="10"/>
      <c r="O191" s="9"/>
      <c r="P191" s="10"/>
    </row>
    <row r="192" spans="1:16" ht="15.6" x14ac:dyDescent="0.3">
      <c r="A192" s="3">
        <f t="shared" si="18"/>
        <v>32</v>
      </c>
      <c r="B192" s="306" t="s">
        <v>457</v>
      </c>
      <c r="C192" s="307" t="s">
        <v>390</v>
      </c>
      <c r="D192" s="5" t="s">
        <v>1697</v>
      </c>
      <c r="E192" s="5">
        <v>10</v>
      </c>
      <c r="F192" s="5">
        <v>25</v>
      </c>
      <c r="G192" s="6">
        <f t="shared" si="21"/>
        <v>35</v>
      </c>
      <c r="H192" s="6"/>
      <c r="I192" s="6"/>
      <c r="J192" s="5">
        <v>23</v>
      </c>
      <c r="K192" s="6">
        <f t="shared" si="22"/>
        <v>58</v>
      </c>
      <c r="L192" s="7" t="str">
        <f t="shared" si="19"/>
        <v>C+</v>
      </c>
      <c r="M192" s="7" t="str">
        <f t="shared" si="20"/>
        <v>Passed</v>
      </c>
      <c r="N192" s="10"/>
      <c r="O192" s="9"/>
      <c r="P192" s="10"/>
    </row>
    <row r="193" spans="1:16" ht="15.6" x14ac:dyDescent="0.3">
      <c r="A193" s="3">
        <f t="shared" ref="A193:A214" si="23">ROW(A33)</f>
        <v>33</v>
      </c>
      <c r="B193" s="306" t="s">
        <v>458</v>
      </c>
      <c r="C193" s="307" t="s">
        <v>391</v>
      </c>
      <c r="D193" s="5" t="s">
        <v>1700</v>
      </c>
      <c r="E193" s="5">
        <v>10</v>
      </c>
      <c r="F193" s="5">
        <v>26</v>
      </c>
      <c r="G193" s="6">
        <f t="shared" si="21"/>
        <v>36</v>
      </c>
      <c r="H193" s="6"/>
      <c r="I193" s="6"/>
      <c r="J193" s="5">
        <v>23</v>
      </c>
      <c r="K193" s="6">
        <f t="shared" si="22"/>
        <v>59</v>
      </c>
      <c r="L193" s="7" t="str">
        <f t="shared" si="19"/>
        <v>C+</v>
      </c>
      <c r="M193" s="7" t="str">
        <f t="shared" si="20"/>
        <v>Passed</v>
      </c>
      <c r="N193" s="10"/>
      <c r="O193" s="9"/>
      <c r="P193" s="10"/>
    </row>
    <row r="194" spans="1:16" ht="15.6" x14ac:dyDescent="0.3">
      <c r="A194" s="3">
        <f t="shared" si="23"/>
        <v>34</v>
      </c>
      <c r="B194" s="306" t="s">
        <v>459</v>
      </c>
      <c r="C194" s="309" t="s">
        <v>557</v>
      </c>
      <c r="D194" s="5" t="s">
        <v>1694</v>
      </c>
      <c r="E194" s="5">
        <v>10</v>
      </c>
      <c r="F194" s="65">
        <v>20.5</v>
      </c>
      <c r="G194" s="64">
        <f t="shared" si="21"/>
        <v>30.5</v>
      </c>
      <c r="H194" s="6"/>
      <c r="I194" s="6"/>
      <c r="J194" s="5">
        <v>11</v>
      </c>
      <c r="K194" s="6">
        <f t="shared" si="22"/>
        <v>41.5</v>
      </c>
      <c r="L194" s="7" t="str">
        <f t="shared" si="19"/>
        <v>D</v>
      </c>
      <c r="M194" s="7" t="str">
        <f t="shared" si="20"/>
        <v>Failed</v>
      </c>
      <c r="N194" s="10"/>
      <c r="O194" s="9"/>
      <c r="P194" s="10"/>
    </row>
    <row r="195" spans="1:16" ht="15.6" x14ac:dyDescent="0.3">
      <c r="A195" s="3">
        <f t="shared" si="23"/>
        <v>35</v>
      </c>
      <c r="B195" s="306" t="s">
        <v>460</v>
      </c>
      <c r="C195" s="309" t="s">
        <v>392</v>
      </c>
      <c r="D195" s="5" t="s">
        <v>1709</v>
      </c>
      <c r="E195" s="5">
        <v>10</v>
      </c>
      <c r="F195" s="5">
        <v>21</v>
      </c>
      <c r="G195" s="6">
        <f t="shared" si="21"/>
        <v>31</v>
      </c>
      <c r="H195" s="6"/>
      <c r="I195" s="6"/>
      <c r="J195" s="5">
        <v>29</v>
      </c>
      <c r="K195" s="6">
        <f t="shared" si="22"/>
        <v>60</v>
      </c>
      <c r="L195" s="7" t="str">
        <f t="shared" si="19"/>
        <v>B</v>
      </c>
      <c r="M195" s="7" t="str">
        <f t="shared" si="20"/>
        <v>Passed</v>
      </c>
      <c r="N195" s="10"/>
      <c r="O195" s="9"/>
      <c r="P195" s="10"/>
    </row>
    <row r="196" spans="1:16" ht="15.6" x14ac:dyDescent="0.3">
      <c r="A196" s="3">
        <f t="shared" si="23"/>
        <v>36</v>
      </c>
      <c r="B196" s="306" t="s">
        <v>461</v>
      </c>
      <c r="C196" s="309" t="s">
        <v>393</v>
      </c>
      <c r="D196" s="5" t="s">
        <v>1701</v>
      </c>
      <c r="E196" s="5">
        <v>10</v>
      </c>
      <c r="F196" s="5">
        <v>23</v>
      </c>
      <c r="G196" s="6">
        <f t="shared" si="21"/>
        <v>33</v>
      </c>
      <c r="H196" s="6"/>
      <c r="I196" s="6"/>
      <c r="J196" s="5">
        <v>29</v>
      </c>
      <c r="K196" s="6">
        <f t="shared" si="22"/>
        <v>62</v>
      </c>
      <c r="L196" s="7" t="str">
        <f t="shared" si="19"/>
        <v>B</v>
      </c>
      <c r="M196" s="7" t="str">
        <f t="shared" si="20"/>
        <v>Passed</v>
      </c>
      <c r="N196" s="10"/>
      <c r="O196" s="9"/>
      <c r="P196" s="10"/>
    </row>
    <row r="197" spans="1:16" ht="15.6" x14ac:dyDescent="0.3">
      <c r="A197" s="3">
        <f t="shared" si="23"/>
        <v>37</v>
      </c>
      <c r="B197" s="306" t="s">
        <v>462</v>
      </c>
      <c r="C197" s="309" t="s">
        <v>394</v>
      </c>
      <c r="D197" s="5" t="s">
        <v>1711</v>
      </c>
      <c r="E197" s="5">
        <v>10</v>
      </c>
      <c r="F197" s="5">
        <v>29</v>
      </c>
      <c r="G197" s="6">
        <f t="shared" si="21"/>
        <v>39</v>
      </c>
      <c r="H197" s="6"/>
      <c r="I197" s="6"/>
      <c r="J197" s="5">
        <v>29</v>
      </c>
      <c r="K197" s="6">
        <f t="shared" si="22"/>
        <v>68</v>
      </c>
      <c r="L197" s="7" t="str">
        <f t="shared" si="19"/>
        <v>B</v>
      </c>
      <c r="M197" s="7" t="str">
        <f t="shared" si="20"/>
        <v>Passed</v>
      </c>
      <c r="N197" s="10"/>
      <c r="O197" s="9"/>
      <c r="P197" s="10"/>
    </row>
    <row r="198" spans="1:16" ht="15.6" x14ac:dyDescent="0.3">
      <c r="A198" s="3">
        <f t="shared" si="23"/>
        <v>38</v>
      </c>
      <c r="B198" s="306" t="s">
        <v>463</v>
      </c>
      <c r="C198" s="309" t="s">
        <v>395</v>
      </c>
      <c r="D198" s="5" t="s">
        <v>1663</v>
      </c>
      <c r="E198" s="5">
        <v>10</v>
      </c>
      <c r="F198" s="5">
        <v>11</v>
      </c>
      <c r="G198" s="6">
        <f t="shared" si="21"/>
        <v>21</v>
      </c>
      <c r="H198" s="6"/>
      <c r="I198" s="6"/>
      <c r="J198" s="5">
        <v>7</v>
      </c>
      <c r="K198" s="6">
        <f t="shared" si="22"/>
        <v>28</v>
      </c>
      <c r="L198" s="7" t="str">
        <f t="shared" si="19"/>
        <v>F</v>
      </c>
      <c r="M198" s="7" t="str">
        <f t="shared" si="20"/>
        <v>Failed</v>
      </c>
      <c r="N198" s="10"/>
      <c r="O198" s="9"/>
      <c r="P198" s="10"/>
    </row>
    <row r="199" spans="1:16" ht="15.6" x14ac:dyDescent="0.3">
      <c r="A199" s="3">
        <f t="shared" si="23"/>
        <v>39</v>
      </c>
      <c r="B199" s="306" t="s">
        <v>464</v>
      </c>
      <c r="C199" s="309" t="s">
        <v>396</v>
      </c>
      <c r="D199" s="5" t="s">
        <v>1674</v>
      </c>
      <c r="E199" s="5">
        <v>10</v>
      </c>
      <c r="F199" s="5">
        <v>27</v>
      </c>
      <c r="G199" s="6">
        <f t="shared" si="21"/>
        <v>37</v>
      </c>
      <c r="H199" s="6"/>
      <c r="I199" s="6"/>
      <c r="J199" s="5">
        <v>20</v>
      </c>
      <c r="K199" s="6">
        <f t="shared" si="22"/>
        <v>57</v>
      </c>
      <c r="L199" s="7" t="str">
        <f t="shared" si="19"/>
        <v>C+</v>
      </c>
      <c r="M199" s="7" t="str">
        <f t="shared" si="20"/>
        <v>Passed</v>
      </c>
      <c r="N199" s="10"/>
      <c r="O199" s="9"/>
      <c r="P199" s="10"/>
    </row>
    <row r="200" spans="1:16" ht="15.6" x14ac:dyDescent="0.3">
      <c r="A200" s="3">
        <f t="shared" si="23"/>
        <v>40</v>
      </c>
      <c r="B200" s="306" t="s">
        <v>465</v>
      </c>
      <c r="C200" s="309" t="s">
        <v>397</v>
      </c>
      <c r="D200" s="5" t="s">
        <v>1664</v>
      </c>
      <c r="E200" s="5">
        <v>10</v>
      </c>
      <c r="F200" s="5">
        <v>20</v>
      </c>
      <c r="G200" s="6">
        <f t="shared" si="21"/>
        <v>30</v>
      </c>
      <c r="H200" s="6"/>
      <c r="I200" s="6"/>
      <c r="J200" s="5">
        <v>23</v>
      </c>
      <c r="K200" s="6">
        <f t="shared" si="22"/>
        <v>53</v>
      </c>
      <c r="L200" s="7" t="str">
        <f t="shared" si="19"/>
        <v>C</v>
      </c>
      <c r="M200" s="7" t="str">
        <f t="shared" si="20"/>
        <v>Passed</v>
      </c>
      <c r="N200" s="10"/>
      <c r="O200" s="9"/>
      <c r="P200" s="10"/>
    </row>
    <row r="201" spans="1:16" ht="15.6" x14ac:dyDescent="0.3">
      <c r="A201" s="3">
        <f t="shared" si="23"/>
        <v>41</v>
      </c>
      <c r="B201" s="306" t="s">
        <v>466</v>
      </c>
      <c r="C201" s="307" t="s">
        <v>398</v>
      </c>
      <c r="D201" s="5" t="s">
        <v>1708</v>
      </c>
      <c r="E201" s="5">
        <v>8</v>
      </c>
      <c r="F201" s="5">
        <v>12</v>
      </c>
      <c r="G201" s="6">
        <f t="shared" si="21"/>
        <v>20</v>
      </c>
      <c r="H201" s="6"/>
      <c r="I201" s="6"/>
      <c r="J201" s="5">
        <v>24</v>
      </c>
      <c r="K201" s="6">
        <f t="shared" si="22"/>
        <v>44</v>
      </c>
      <c r="L201" s="7" t="str">
        <f t="shared" si="19"/>
        <v>D</v>
      </c>
      <c r="M201" s="7" t="str">
        <f t="shared" si="20"/>
        <v>Failed</v>
      </c>
      <c r="N201" s="10"/>
      <c r="O201" s="9"/>
      <c r="P201" s="10"/>
    </row>
    <row r="202" spans="1:16" ht="15.6" x14ac:dyDescent="0.3">
      <c r="A202" s="3">
        <f t="shared" si="23"/>
        <v>42</v>
      </c>
      <c r="B202" s="306" t="s">
        <v>467</v>
      </c>
      <c r="C202" s="307" t="s">
        <v>399</v>
      </c>
      <c r="D202" s="5" t="s">
        <v>1692</v>
      </c>
      <c r="E202" s="5">
        <v>10</v>
      </c>
      <c r="F202" s="5">
        <v>21</v>
      </c>
      <c r="G202" s="6">
        <f t="shared" si="21"/>
        <v>31</v>
      </c>
      <c r="H202" s="6"/>
      <c r="I202" s="6"/>
      <c r="J202" s="5">
        <v>37</v>
      </c>
      <c r="K202" s="6">
        <f t="shared" si="22"/>
        <v>68</v>
      </c>
      <c r="L202" s="7" t="str">
        <f t="shared" si="19"/>
        <v>B</v>
      </c>
      <c r="M202" s="7" t="str">
        <f t="shared" si="20"/>
        <v>Passed</v>
      </c>
      <c r="N202" s="10"/>
      <c r="O202" s="9"/>
      <c r="P202" s="10"/>
    </row>
    <row r="203" spans="1:16" ht="15.6" x14ac:dyDescent="0.3">
      <c r="A203" s="3">
        <f t="shared" si="23"/>
        <v>43</v>
      </c>
      <c r="B203" s="306" t="s">
        <v>468</v>
      </c>
      <c r="C203" s="383" t="s">
        <v>552</v>
      </c>
      <c r="D203" s="5" t="s">
        <v>1690</v>
      </c>
      <c r="E203" s="5">
        <v>9</v>
      </c>
      <c r="F203" s="5">
        <v>22</v>
      </c>
      <c r="G203" s="6">
        <f t="shared" si="21"/>
        <v>31</v>
      </c>
      <c r="H203" s="6"/>
      <c r="I203" s="6"/>
      <c r="J203" s="5">
        <v>16</v>
      </c>
      <c r="K203" s="6">
        <f t="shared" si="22"/>
        <v>47</v>
      </c>
      <c r="L203" s="7" t="str">
        <f t="shared" si="19"/>
        <v>D+</v>
      </c>
      <c r="M203" s="7" t="str">
        <f t="shared" si="20"/>
        <v>Failed</v>
      </c>
      <c r="N203" s="10"/>
      <c r="O203" s="9"/>
      <c r="P203" s="10"/>
    </row>
    <row r="204" spans="1:16" ht="15.6" x14ac:dyDescent="0.3">
      <c r="A204" s="3">
        <f t="shared" si="23"/>
        <v>44</v>
      </c>
      <c r="B204" s="306" t="s">
        <v>469</v>
      </c>
      <c r="C204" s="308" t="s">
        <v>400</v>
      </c>
      <c r="D204" s="5" t="s">
        <v>1706</v>
      </c>
      <c r="E204" s="5">
        <v>9</v>
      </c>
      <c r="F204" s="5">
        <v>27</v>
      </c>
      <c r="G204" s="6">
        <f t="shared" si="21"/>
        <v>36</v>
      </c>
      <c r="H204" s="6"/>
      <c r="I204" s="6"/>
      <c r="J204" s="5">
        <v>14</v>
      </c>
      <c r="K204" s="6">
        <f t="shared" si="22"/>
        <v>50</v>
      </c>
      <c r="L204" s="7" t="str">
        <f t="shared" si="19"/>
        <v>C</v>
      </c>
      <c r="M204" s="7" t="str">
        <f t="shared" si="20"/>
        <v>Passed</v>
      </c>
      <c r="N204" s="10"/>
      <c r="O204" s="9"/>
      <c r="P204" s="10"/>
    </row>
    <row r="205" spans="1:16" ht="15.6" x14ac:dyDescent="0.3">
      <c r="A205" s="3">
        <f t="shared" si="23"/>
        <v>45</v>
      </c>
      <c r="B205" s="306" t="s">
        <v>470</v>
      </c>
      <c r="C205" s="307" t="s">
        <v>401</v>
      </c>
      <c r="D205" s="5" t="s">
        <v>1699</v>
      </c>
      <c r="E205" s="5">
        <v>10</v>
      </c>
      <c r="F205" s="5">
        <v>28</v>
      </c>
      <c r="G205" s="6">
        <f t="shared" si="21"/>
        <v>38</v>
      </c>
      <c r="H205" s="6"/>
      <c r="I205" s="6"/>
      <c r="J205" s="5">
        <v>13</v>
      </c>
      <c r="K205" s="6">
        <f t="shared" si="22"/>
        <v>51</v>
      </c>
      <c r="L205" s="7" t="str">
        <f t="shared" si="19"/>
        <v>C</v>
      </c>
      <c r="M205" s="7" t="str">
        <f t="shared" si="20"/>
        <v>Passed</v>
      </c>
      <c r="N205" s="10"/>
      <c r="O205" s="9"/>
      <c r="P205" s="10"/>
    </row>
    <row r="206" spans="1:16" ht="15.6" x14ac:dyDescent="0.3">
      <c r="A206" s="3">
        <f t="shared" si="23"/>
        <v>46</v>
      </c>
      <c r="B206" s="306" t="s">
        <v>471</v>
      </c>
      <c r="C206" s="307" t="s">
        <v>402</v>
      </c>
      <c r="D206" s="5" t="s">
        <v>1713</v>
      </c>
      <c r="E206" s="5">
        <v>10</v>
      </c>
      <c r="F206" s="5">
        <v>28</v>
      </c>
      <c r="G206" s="6">
        <f t="shared" si="21"/>
        <v>38</v>
      </c>
      <c r="H206" s="6"/>
      <c r="I206" s="6"/>
      <c r="J206" s="5">
        <v>28</v>
      </c>
      <c r="K206" s="6">
        <f t="shared" si="22"/>
        <v>66</v>
      </c>
      <c r="L206" s="7" t="str">
        <f t="shared" si="19"/>
        <v>B</v>
      </c>
      <c r="M206" s="7" t="str">
        <f t="shared" si="20"/>
        <v>Passed</v>
      </c>
      <c r="N206" s="10"/>
      <c r="O206" s="9"/>
      <c r="P206" s="10"/>
    </row>
    <row r="207" spans="1:16" ht="15.6" x14ac:dyDescent="0.3">
      <c r="A207" s="3">
        <f t="shared" si="23"/>
        <v>47</v>
      </c>
      <c r="B207" s="306" t="s">
        <v>472</v>
      </c>
      <c r="C207" s="12" t="s">
        <v>403</v>
      </c>
      <c r="D207" s="5" t="s">
        <v>1705</v>
      </c>
      <c r="E207" s="5">
        <v>9</v>
      </c>
      <c r="F207" s="65">
        <v>22.5</v>
      </c>
      <c r="G207" s="64">
        <f t="shared" si="21"/>
        <v>31.5</v>
      </c>
      <c r="H207" s="6"/>
      <c r="I207" s="6"/>
      <c r="J207" s="5">
        <v>24</v>
      </c>
      <c r="K207" s="6">
        <f t="shared" si="22"/>
        <v>55.5</v>
      </c>
      <c r="L207" s="7" t="str">
        <f t="shared" si="19"/>
        <v>C+</v>
      </c>
      <c r="M207" s="7" t="str">
        <f t="shared" si="20"/>
        <v>Passed</v>
      </c>
      <c r="N207" s="10"/>
      <c r="O207" s="9"/>
      <c r="P207" s="10"/>
    </row>
    <row r="208" spans="1:16" ht="15.6" x14ac:dyDescent="0.3">
      <c r="A208" s="3">
        <f t="shared" si="23"/>
        <v>48</v>
      </c>
      <c r="B208" s="12" t="s">
        <v>473</v>
      </c>
      <c r="C208" s="307" t="s">
        <v>404</v>
      </c>
      <c r="D208" s="5" t="s">
        <v>1686</v>
      </c>
      <c r="E208" s="5">
        <v>10</v>
      </c>
      <c r="F208" s="5">
        <v>26</v>
      </c>
      <c r="G208" s="6">
        <f t="shared" si="21"/>
        <v>36</v>
      </c>
      <c r="H208" s="6"/>
      <c r="I208" s="6"/>
      <c r="J208" s="5">
        <v>36</v>
      </c>
      <c r="K208" s="6">
        <f t="shared" si="22"/>
        <v>72</v>
      </c>
      <c r="L208" s="7" t="str">
        <f t="shared" si="19"/>
        <v>B+</v>
      </c>
      <c r="M208" s="7" t="str">
        <f t="shared" si="20"/>
        <v>Passed</v>
      </c>
      <c r="N208" s="10"/>
      <c r="O208" s="9"/>
      <c r="P208" s="10"/>
    </row>
    <row r="209" spans="1:16" ht="15.6" x14ac:dyDescent="0.3">
      <c r="A209" s="3">
        <f t="shared" si="23"/>
        <v>49</v>
      </c>
      <c r="B209" s="12" t="s">
        <v>474</v>
      </c>
      <c r="C209" s="307" t="s">
        <v>405</v>
      </c>
      <c r="D209" s="5" t="s">
        <v>1670</v>
      </c>
      <c r="E209" s="5">
        <v>10</v>
      </c>
      <c r="F209" s="5">
        <v>23</v>
      </c>
      <c r="G209" s="6">
        <f t="shared" si="21"/>
        <v>33</v>
      </c>
      <c r="H209" s="6"/>
      <c r="I209" s="6"/>
      <c r="J209" s="5">
        <v>12</v>
      </c>
      <c r="K209" s="6">
        <f t="shared" si="22"/>
        <v>45</v>
      </c>
      <c r="L209" s="7" t="str">
        <f t="shared" si="19"/>
        <v>D+</v>
      </c>
      <c r="M209" s="7" t="str">
        <f t="shared" si="20"/>
        <v>Failed</v>
      </c>
      <c r="N209" s="10"/>
      <c r="O209" s="9"/>
      <c r="P209" s="10"/>
    </row>
    <row r="210" spans="1:16" ht="15.6" x14ac:dyDescent="0.3">
      <c r="A210" s="3">
        <f t="shared" si="23"/>
        <v>50</v>
      </c>
      <c r="B210" s="12" t="s">
        <v>475</v>
      </c>
      <c r="C210" s="307" t="s">
        <v>406</v>
      </c>
      <c r="D210" s="5" t="s">
        <v>1683</v>
      </c>
      <c r="E210" s="5">
        <v>10</v>
      </c>
      <c r="F210" s="5">
        <v>23</v>
      </c>
      <c r="G210" s="6">
        <f t="shared" si="21"/>
        <v>33</v>
      </c>
      <c r="H210" s="6"/>
      <c r="I210" s="6"/>
      <c r="J210" s="5">
        <v>27</v>
      </c>
      <c r="K210" s="6">
        <f t="shared" si="22"/>
        <v>60</v>
      </c>
      <c r="L210" s="7" t="str">
        <f t="shared" si="19"/>
        <v>B</v>
      </c>
      <c r="M210" s="7" t="str">
        <f t="shared" si="20"/>
        <v>Passed</v>
      </c>
      <c r="N210" s="10"/>
      <c r="O210" s="9"/>
      <c r="P210" s="10"/>
    </row>
    <row r="211" spans="1:16" ht="15.6" x14ac:dyDescent="0.3">
      <c r="A211" s="3">
        <f t="shared" si="23"/>
        <v>51</v>
      </c>
      <c r="B211" s="12" t="s">
        <v>476</v>
      </c>
      <c r="C211" s="307" t="s">
        <v>407</v>
      </c>
      <c r="D211" s="5" t="s">
        <v>1666</v>
      </c>
      <c r="E211" s="5">
        <v>10</v>
      </c>
      <c r="F211" s="5">
        <v>13</v>
      </c>
      <c r="G211" s="6">
        <f t="shared" si="21"/>
        <v>23</v>
      </c>
      <c r="H211" s="6"/>
      <c r="I211" s="6"/>
      <c r="J211" s="5">
        <v>16</v>
      </c>
      <c r="K211" s="6">
        <f t="shared" si="22"/>
        <v>39</v>
      </c>
      <c r="L211" s="7" t="str">
        <f t="shared" si="19"/>
        <v>F</v>
      </c>
      <c r="M211" s="7" t="str">
        <f t="shared" si="20"/>
        <v>Failed</v>
      </c>
      <c r="N211" s="10"/>
      <c r="O211" s="9"/>
      <c r="P211" s="10"/>
    </row>
    <row r="212" spans="1:16" ht="15.6" x14ac:dyDescent="0.3">
      <c r="A212" s="3">
        <f t="shared" si="23"/>
        <v>52</v>
      </c>
      <c r="B212" s="12" t="s">
        <v>477</v>
      </c>
      <c r="C212" s="307" t="s">
        <v>408</v>
      </c>
      <c r="D212" s="5" t="s">
        <v>1668</v>
      </c>
      <c r="E212" s="5">
        <v>10</v>
      </c>
      <c r="F212" s="5">
        <v>29</v>
      </c>
      <c r="G212" s="6">
        <f t="shared" si="21"/>
        <v>39</v>
      </c>
      <c r="H212" s="6"/>
      <c r="I212" s="6"/>
      <c r="J212" s="5">
        <v>21</v>
      </c>
      <c r="K212" s="6">
        <f t="shared" si="22"/>
        <v>60</v>
      </c>
      <c r="L212" s="7" t="str">
        <f t="shared" si="19"/>
        <v>B</v>
      </c>
      <c r="M212" s="7" t="str">
        <f t="shared" si="20"/>
        <v>Passed</v>
      </c>
      <c r="N212" s="10"/>
      <c r="O212" s="9"/>
      <c r="P212" s="10"/>
    </row>
    <row r="213" spans="1:16" ht="15.6" x14ac:dyDescent="0.3">
      <c r="A213" s="3">
        <f t="shared" si="23"/>
        <v>53</v>
      </c>
      <c r="B213" s="12" t="s">
        <v>478</v>
      </c>
      <c r="C213" s="307" t="s">
        <v>409</v>
      </c>
      <c r="D213" s="5" t="s">
        <v>1675</v>
      </c>
      <c r="E213" s="5">
        <v>10</v>
      </c>
      <c r="F213" s="65">
        <v>13.5</v>
      </c>
      <c r="G213" s="64">
        <f t="shared" si="21"/>
        <v>23.5</v>
      </c>
      <c r="H213" s="6"/>
      <c r="I213" s="6"/>
      <c r="J213" s="5">
        <v>12</v>
      </c>
      <c r="K213" s="6">
        <f t="shared" si="22"/>
        <v>35.5</v>
      </c>
      <c r="L213" s="7" t="str">
        <f t="shared" si="19"/>
        <v>F</v>
      </c>
      <c r="M213" s="7" t="str">
        <f t="shared" si="20"/>
        <v>Failed</v>
      </c>
      <c r="N213" s="10"/>
      <c r="O213" s="9"/>
      <c r="P213" s="10"/>
    </row>
    <row r="214" spans="1:16" ht="15.6" x14ac:dyDescent="0.3">
      <c r="A214" s="3">
        <f t="shared" si="23"/>
        <v>54</v>
      </c>
      <c r="B214" s="12" t="s">
        <v>479</v>
      </c>
      <c r="C214" s="12" t="s">
        <v>410</v>
      </c>
      <c r="D214" s="5" t="s">
        <v>1688</v>
      </c>
      <c r="E214" s="5">
        <v>9</v>
      </c>
      <c r="F214" s="5">
        <v>22</v>
      </c>
      <c r="G214" s="6">
        <f t="shared" si="21"/>
        <v>31</v>
      </c>
      <c r="H214" s="5"/>
      <c r="I214" s="5"/>
      <c r="J214" s="5">
        <v>32</v>
      </c>
      <c r="K214" s="6">
        <f t="shared" si="22"/>
        <v>63</v>
      </c>
      <c r="L214" s="7" t="str">
        <f t="shared" si="19"/>
        <v>B</v>
      </c>
      <c r="M214" s="7" t="str">
        <f t="shared" si="20"/>
        <v>Passed</v>
      </c>
      <c r="N214" s="10"/>
      <c r="O214" s="9"/>
      <c r="P214" s="10"/>
    </row>
    <row r="215" spans="1:16" ht="15.6" x14ac:dyDescent="0.3">
      <c r="A215" s="83"/>
      <c r="B215" s="56"/>
      <c r="C215" s="56"/>
      <c r="D215" s="57"/>
      <c r="E215" s="57"/>
      <c r="F215" s="57"/>
      <c r="G215" s="322"/>
      <c r="H215" s="57"/>
      <c r="I215" s="57"/>
      <c r="J215" s="57"/>
      <c r="K215" s="322"/>
      <c r="L215" s="7"/>
      <c r="M215" s="7"/>
      <c r="N215" s="10"/>
      <c r="O215" s="9"/>
      <c r="P215" s="10"/>
    </row>
    <row r="216" spans="1:16" ht="15.6" x14ac:dyDescent="0.3">
      <c r="A216" s="83"/>
      <c r="B216" s="56"/>
      <c r="C216" s="56"/>
      <c r="D216" s="57"/>
      <c r="E216" s="57"/>
      <c r="F216" s="57"/>
      <c r="G216" s="322"/>
      <c r="H216" s="57"/>
      <c r="I216" s="57"/>
      <c r="J216" s="57"/>
      <c r="K216" s="322"/>
      <c r="L216" s="7"/>
      <c r="M216" s="7"/>
      <c r="N216" s="10"/>
      <c r="O216" s="9"/>
      <c r="P216" s="10"/>
    </row>
    <row r="217" spans="1:16" ht="15.6" x14ac:dyDescent="0.3">
      <c r="A217" s="10"/>
      <c r="B217" s="10"/>
      <c r="C217" s="75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9"/>
      <c r="P217" s="10"/>
    </row>
    <row r="218" spans="1:16" ht="15.6" x14ac:dyDescent="0.3">
      <c r="A218" s="10"/>
      <c r="B218" s="10"/>
      <c r="C218" s="75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9"/>
      <c r="P218" s="10"/>
    </row>
    <row r="219" spans="1:16" ht="15.6" x14ac:dyDescent="0.3">
      <c r="A219" s="17" t="s">
        <v>0</v>
      </c>
      <c r="B219" s="18"/>
      <c r="C219" s="71"/>
      <c r="D219" s="18"/>
      <c r="E219" s="18"/>
      <c r="F219" s="18"/>
      <c r="G219" s="18"/>
      <c r="H219" s="67"/>
      <c r="I219" s="67"/>
      <c r="J219" s="18"/>
      <c r="K219" s="18"/>
      <c r="L219" s="10"/>
      <c r="M219" s="10"/>
      <c r="N219" s="10"/>
      <c r="O219" s="9"/>
      <c r="P219" s="10"/>
    </row>
    <row r="220" spans="1:16" ht="15.6" x14ac:dyDescent="0.3">
      <c r="A220" s="503" t="s">
        <v>36</v>
      </c>
      <c r="B220" s="504"/>
      <c r="C220" s="504"/>
      <c r="D220" s="504"/>
      <c r="E220" s="504"/>
      <c r="F220" s="504"/>
      <c r="G220" s="504"/>
      <c r="H220" s="504"/>
      <c r="I220" s="67"/>
      <c r="J220" s="18"/>
      <c r="K220" s="18"/>
      <c r="L220" s="10"/>
      <c r="M220" s="10"/>
      <c r="N220" s="10"/>
      <c r="O220" s="9"/>
      <c r="P220" s="10"/>
    </row>
    <row r="221" spans="1:16" ht="15.6" x14ac:dyDescent="0.3">
      <c r="A221" s="501" t="s">
        <v>362</v>
      </c>
      <c r="B221" s="502"/>
      <c r="C221" s="502"/>
      <c r="D221" s="502"/>
      <c r="E221" s="502"/>
      <c r="F221" s="502"/>
      <c r="G221" s="502"/>
      <c r="H221" s="502"/>
      <c r="I221" s="67"/>
      <c r="J221" s="18"/>
      <c r="K221" s="18"/>
      <c r="L221" s="19"/>
      <c r="M221" s="10"/>
      <c r="N221" s="10"/>
      <c r="O221" s="9"/>
      <c r="P221" s="10"/>
    </row>
    <row r="222" spans="1:16" ht="15.6" x14ac:dyDescent="0.3">
      <c r="A222" s="20" t="s">
        <v>1</v>
      </c>
      <c r="B222" s="21"/>
      <c r="C222" s="86" t="s">
        <v>414</v>
      </c>
      <c r="D222" s="87"/>
      <c r="E222" s="87"/>
      <c r="F222" s="87"/>
      <c r="G222" s="87"/>
      <c r="H222" s="87"/>
      <c r="I222" s="87"/>
      <c r="J222" s="87"/>
      <c r="K222" s="18"/>
      <c r="L222" s="19"/>
      <c r="M222" s="10"/>
      <c r="N222" s="10"/>
      <c r="O222" s="9"/>
      <c r="P222" s="10"/>
    </row>
    <row r="223" spans="1:16" ht="15.6" x14ac:dyDescent="0.3">
      <c r="A223" s="20" t="s">
        <v>3</v>
      </c>
      <c r="B223" s="21"/>
      <c r="C223" s="88" t="s">
        <v>52</v>
      </c>
      <c r="D223" s="89"/>
      <c r="E223" s="89"/>
      <c r="F223" s="89"/>
      <c r="G223" s="89"/>
      <c r="H223" s="89"/>
      <c r="I223" s="89"/>
      <c r="J223" s="89"/>
      <c r="K223" s="18"/>
      <c r="L223" s="19"/>
      <c r="M223" s="10"/>
      <c r="N223" s="10"/>
      <c r="O223" s="9"/>
      <c r="P223" s="10"/>
    </row>
    <row r="224" spans="1:16" ht="15.6" x14ac:dyDescent="0.3">
      <c r="A224" s="20" t="s">
        <v>4</v>
      </c>
      <c r="B224" s="21"/>
      <c r="C224" s="86" t="s">
        <v>53</v>
      </c>
      <c r="D224" s="87"/>
      <c r="E224" s="87"/>
      <c r="F224" s="87"/>
      <c r="G224" s="87"/>
      <c r="H224" s="87"/>
      <c r="I224" s="87"/>
      <c r="J224" s="87"/>
      <c r="K224" s="18"/>
      <c r="L224" s="19"/>
      <c r="M224" s="10"/>
      <c r="N224" s="10"/>
      <c r="O224" s="9"/>
      <c r="P224" s="10"/>
    </row>
    <row r="225" spans="1:16" ht="15.6" x14ac:dyDescent="0.3">
      <c r="A225" s="20" t="s">
        <v>5</v>
      </c>
      <c r="B225" s="21"/>
      <c r="C225" s="86">
        <v>3</v>
      </c>
      <c r="D225" s="87"/>
      <c r="E225" s="87"/>
      <c r="F225" s="87"/>
      <c r="G225" s="87"/>
      <c r="H225" s="87"/>
      <c r="I225" s="87"/>
      <c r="J225" s="87"/>
      <c r="K225" s="18"/>
      <c r="L225" s="19"/>
      <c r="M225" s="10"/>
      <c r="N225" s="10"/>
      <c r="O225" s="9"/>
      <c r="P225" s="10"/>
    </row>
    <row r="226" spans="1:16" ht="15.6" x14ac:dyDescent="0.3">
      <c r="A226" s="508" t="s">
        <v>6</v>
      </c>
      <c r="B226" s="509"/>
      <c r="C226" s="86" t="s">
        <v>412</v>
      </c>
      <c r="D226" s="87"/>
      <c r="E226" s="87"/>
      <c r="F226" s="87"/>
      <c r="G226" s="87"/>
      <c r="H226" s="87"/>
      <c r="I226" s="87"/>
      <c r="J226" s="87"/>
      <c r="K226" s="18"/>
      <c r="L226" s="19"/>
      <c r="M226" s="10"/>
      <c r="N226" s="10"/>
      <c r="O226" s="9"/>
      <c r="P226" s="10"/>
    </row>
    <row r="227" spans="1:16" ht="16.2" x14ac:dyDescent="0.35">
      <c r="A227" s="508" t="s">
        <v>7</v>
      </c>
      <c r="B227" s="509"/>
      <c r="C227" s="72"/>
      <c r="D227" s="18"/>
      <c r="E227" s="22"/>
      <c r="F227" s="18"/>
      <c r="G227" s="18"/>
      <c r="H227" s="67"/>
      <c r="I227" s="67"/>
      <c r="J227" s="18"/>
      <c r="K227" s="18"/>
      <c r="L227" s="19"/>
      <c r="M227" s="10"/>
      <c r="N227" s="10"/>
      <c r="O227" s="9"/>
      <c r="P227" s="10"/>
    </row>
    <row r="228" spans="1:16" ht="68.400000000000006" x14ac:dyDescent="0.3">
      <c r="A228" s="27" t="s">
        <v>8</v>
      </c>
      <c r="B228" s="27" t="s">
        <v>9</v>
      </c>
      <c r="C228" s="79" t="s">
        <v>10</v>
      </c>
      <c r="D228" s="26" t="s">
        <v>11</v>
      </c>
      <c r="E228" s="27" t="s">
        <v>12</v>
      </c>
      <c r="F228" s="27" t="s">
        <v>13</v>
      </c>
      <c r="G228" s="27" t="s">
        <v>14</v>
      </c>
      <c r="H228" s="27" t="s">
        <v>208</v>
      </c>
      <c r="I228" s="27" t="s">
        <v>209</v>
      </c>
      <c r="J228" s="27" t="s">
        <v>15</v>
      </c>
      <c r="K228" s="27" t="s">
        <v>16</v>
      </c>
      <c r="L228" s="32"/>
      <c r="M228" s="10"/>
      <c r="N228" s="10"/>
      <c r="O228" s="9"/>
      <c r="P228" s="10"/>
    </row>
    <row r="229" spans="1:16" ht="15.6" x14ac:dyDescent="0.3">
      <c r="A229" s="3"/>
      <c r="B229" s="5"/>
      <c r="C229" s="78"/>
      <c r="D229" s="5"/>
      <c r="E229" s="5"/>
      <c r="F229" s="5"/>
      <c r="G229" s="5"/>
      <c r="H229" s="5"/>
      <c r="I229" s="5"/>
      <c r="J229" s="5"/>
      <c r="K229" s="5"/>
      <c r="L229" s="33" t="s">
        <v>17</v>
      </c>
      <c r="M229" s="34" t="s">
        <v>18</v>
      </c>
      <c r="N229" s="8"/>
      <c r="O229" s="9"/>
      <c r="P229" s="10"/>
    </row>
    <row r="230" spans="1:16" ht="15.6" x14ac:dyDescent="0.3">
      <c r="A230" s="3">
        <f t="shared" ref="A230:A261" si="24">ROW(A1)</f>
        <v>1</v>
      </c>
      <c r="B230" s="306" t="s">
        <v>431</v>
      </c>
      <c r="C230" s="307" t="s">
        <v>365</v>
      </c>
      <c r="D230" s="5" t="s">
        <v>931</v>
      </c>
      <c r="E230" s="3">
        <v>10</v>
      </c>
      <c r="F230" s="3">
        <v>25</v>
      </c>
      <c r="G230" s="3">
        <f>SUM(E230:F230)</f>
        <v>35</v>
      </c>
      <c r="H230" s="3"/>
      <c r="I230" s="3"/>
      <c r="J230" s="3">
        <v>33</v>
      </c>
      <c r="K230" s="3">
        <f>SUM(G230:J230)</f>
        <v>68</v>
      </c>
      <c r="L230" s="7" t="str">
        <f t="shared" ref="L230" si="25">IF(K230&gt;=80,"A",IF(K230&gt;=70,"B+",IF(K230&gt;=60,"B",IF(K230&gt;=55,"C+",IF(K230&gt;=50,"C",IF(K230&gt;=45,"D+",IF(K230&gt;=40,"D","F")))))))</f>
        <v>B</v>
      </c>
      <c r="M230" s="7" t="str">
        <f t="shared" ref="M230" si="26">IF(K230&gt;=50,"Passed","Failed")</f>
        <v>Passed</v>
      </c>
      <c r="N230" s="8"/>
      <c r="O230" s="9"/>
      <c r="P230" s="10"/>
    </row>
    <row r="231" spans="1:16" ht="31.2" x14ac:dyDescent="0.3">
      <c r="A231" s="3">
        <f t="shared" si="24"/>
        <v>2</v>
      </c>
      <c r="B231" s="306" t="s">
        <v>586</v>
      </c>
      <c r="C231" s="308" t="s">
        <v>366</v>
      </c>
      <c r="D231" s="5" t="s">
        <v>944</v>
      </c>
      <c r="E231" s="3">
        <v>10</v>
      </c>
      <c r="F231" s="3">
        <v>23</v>
      </c>
      <c r="G231" s="3">
        <f t="shared" ref="G231:G284" si="27">SUM(E231:F231)</f>
        <v>33</v>
      </c>
      <c r="H231" s="3"/>
      <c r="I231" s="3"/>
      <c r="J231" s="3">
        <v>40</v>
      </c>
      <c r="K231" s="3">
        <f t="shared" ref="K231:K283" si="28">SUM(G231:J231)</f>
        <v>73</v>
      </c>
      <c r="L231" s="7" t="str">
        <f t="shared" ref="L231:L283" si="29">IF(K231&gt;=80,"A",IF(K231&gt;=70,"B+",IF(K231&gt;=60,"B",IF(K231&gt;=55,"C+",IF(K231&gt;=50,"C",IF(K231&gt;=45,"D+",IF(K231&gt;=40,"D","F")))))))</f>
        <v>B+</v>
      </c>
      <c r="M231" s="7" t="str">
        <f t="shared" ref="M231:M283" si="30">IF(K231&gt;=50,"Passed","Failed")</f>
        <v>Passed</v>
      </c>
      <c r="N231" s="7"/>
      <c r="O231" s="9"/>
      <c r="P231" s="10"/>
    </row>
    <row r="232" spans="1:16" ht="15.6" x14ac:dyDescent="0.3">
      <c r="A232" s="3">
        <f t="shared" si="24"/>
        <v>3</v>
      </c>
      <c r="B232" s="306" t="s">
        <v>432</v>
      </c>
      <c r="C232" s="309" t="s">
        <v>367</v>
      </c>
      <c r="D232" s="5" t="s">
        <v>929</v>
      </c>
      <c r="E232" s="3">
        <v>9</v>
      </c>
      <c r="F232" s="3">
        <v>19</v>
      </c>
      <c r="G232" s="3">
        <f t="shared" si="27"/>
        <v>28</v>
      </c>
      <c r="H232" s="3"/>
      <c r="I232" s="3"/>
      <c r="J232" s="3">
        <v>34</v>
      </c>
      <c r="K232" s="3">
        <f t="shared" si="28"/>
        <v>62</v>
      </c>
      <c r="L232" s="7" t="str">
        <f t="shared" si="29"/>
        <v>B</v>
      </c>
      <c r="M232" s="7" t="str">
        <f t="shared" si="30"/>
        <v>Passed</v>
      </c>
      <c r="N232" s="8" t="s">
        <v>19</v>
      </c>
      <c r="O232" s="9"/>
      <c r="P232" s="10"/>
    </row>
    <row r="233" spans="1:16" ht="15.6" x14ac:dyDescent="0.3">
      <c r="A233" s="3">
        <f t="shared" si="24"/>
        <v>4</v>
      </c>
      <c r="B233" s="306" t="s">
        <v>433</v>
      </c>
      <c r="C233" s="310" t="s">
        <v>368</v>
      </c>
      <c r="D233" s="5" t="s">
        <v>921</v>
      </c>
      <c r="E233" s="3">
        <v>9</v>
      </c>
      <c r="F233" s="3">
        <v>14</v>
      </c>
      <c r="G233" s="3">
        <f t="shared" si="27"/>
        <v>23</v>
      </c>
      <c r="H233" s="3"/>
      <c r="I233" s="3"/>
      <c r="J233" s="3">
        <v>35</v>
      </c>
      <c r="K233" s="3">
        <f t="shared" si="28"/>
        <v>58</v>
      </c>
      <c r="L233" s="7" t="str">
        <f t="shared" si="29"/>
        <v>C+</v>
      </c>
      <c r="M233" s="7" t="str">
        <f t="shared" si="30"/>
        <v>Passed</v>
      </c>
      <c r="N233" s="7" t="s">
        <v>20</v>
      </c>
      <c r="O233" s="9">
        <f>COUNT(G230:G284)</f>
        <v>53</v>
      </c>
      <c r="P233" s="10"/>
    </row>
    <row r="234" spans="1:16" ht="15.6" x14ac:dyDescent="0.3">
      <c r="A234" s="3">
        <f t="shared" si="24"/>
        <v>5</v>
      </c>
      <c r="B234" s="306" t="s">
        <v>434</v>
      </c>
      <c r="C234" s="310" t="s">
        <v>606</v>
      </c>
      <c r="D234" s="5" t="s">
        <v>955</v>
      </c>
      <c r="E234" s="3">
        <v>9</v>
      </c>
      <c r="F234" s="3">
        <v>21</v>
      </c>
      <c r="G234" s="3">
        <f t="shared" si="27"/>
        <v>30</v>
      </c>
      <c r="H234" s="3"/>
      <c r="I234" s="3"/>
      <c r="J234" s="3">
        <v>33</v>
      </c>
      <c r="K234" s="3">
        <f t="shared" si="28"/>
        <v>63</v>
      </c>
      <c r="L234" s="7" t="str">
        <f t="shared" si="29"/>
        <v>B</v>
      </c>
      <c r="M234" s="7" t="str">
        <f t="shared" si="30"/>
        <v>Passed</v>
      </c>
      <c r="N234" s="7" t="s">
        <v>21</v>
      </c>
      <c r="O234" s="9">
        <f>COUNT(J230:J284)</f>
        <v>51</v>
      </c>
      <c r="P234" s="10"/>
    </row>
    <row r="235" spans="1:16" ht="15.6" x14ac:dyDescent="0.3">
      <c r="A235" s="3">
        <f t="shared" si="24"/>
        <v>6</v>
      </c>
      <c r="B235" s="306" t="s">
        <v>544</v>
      </c>
      <c r="C235" s="309" t="s">
        <v>369</v>
      </c>
      <c r="D235" s="5" t="s">
        <v>943</v>
      </c>
      <c r="E235" s="3">
        <v>10</v>
      </c>
      <c r="F235" s="3">
        <v>20</v>
      </c>
      <c r="G235" s="3">
        <f t="shared" si="27"/>
        <v>30</v>
      </c>
      <c r="H235" s="3"/>
      <c r="I235" s="3"/>
      <c r="J235" s="5">
        <v>35</v>
      </c>
      <c r="K235" s="3">
        <f t="shared" si="28"/>
        <v>65</v>
      </c>
      <c r="L235" s="7" t="str">
        <f t="shared" si="29"/>
        <v>B</v>
      </c>
      <c r="M235" s="7" t="str">
        <f t="shared" si="30"/>
        <v>Passed</v>
      </c>
      <c r="N235" s="7" t="s">
        <v>22</v>
      </c>
      <c r="O235" s="9">
        <f>O233-O234</f>
        <v>2</v>
      </c>
      <c r="P235" s="10"/>
    </row>
    <row r="236" spans="1:16" ht="15.6" x14ac:dyDescent="0.3">
      <c r="A236" s="3">
        <f t="shared" si="24"/>
        <v>7</v>
      </c>
      <c r="B236" s="306" t="s">
        <v>562</v>
      </c>
      <c r="C236" s="309" t="s">
        <v>370</v>
      </c>
      <c r="D236" s="5" t="s">
        <v>947</v>
      </c>
      <c r="E236" s="5">
        <v>10</v>
      </c>
      <c r="F236" s="5">
        <v>24</v>
      </c>
      <c r="G236" s="3">
        <f t="shared" si="27"/>
        <v>34</v>
      </c>
      <c r="H236" s="3"/>
      <c r="I236" s="3"/>
      <c r="J236" s="5">
        <v>22</v>
      </c>
      <c r="K236" s="3">
        <f t="shared" si="28"/>
        <v>56</v>
      </c>
      <c r="L236" s="7" t="str">
        <f t="shared" si="29"/>
        <v>C+</v>
      </c>
      <c r="M236" s="7" t="str">
        <f t="shared" si="30"/>
        <v>Passed</v>
      </c>
      <c r="N236" s="7" t="s">
        <v>23</v>
      </c>
      <c r="O236" s="9">
        <f>COUNTIF(M230:M284,"Passed")</f>
        <v>46</v>
      </c>
      <c r="P236" s="10"/>
    </row>
    <row r="237" spans="1:16" ht="15.6" x14ac:dyDescent="0.3">
      <c r="A237" s="3">
        <f t="shared" si="24"/>
        <v>8</v>
      </c>
      <c r="B237" s="306" t="s">
        <v>435</v>
      </c>
      <c r="C237" s="310" t="s">
        <v>595</v>
      </c>
      <c r="D237" s="5" t="s">
        <v>948</v>
      </c>
      <c r="E237" s="5">
        <v>9</v>
      </c>
      <c r="F237" s="5">
        <v>25</v>
      </c>
      <c r="G237" s="3">
        <f t="shared" si="27"/>
        <v>34</v>
      </c>
      <c r="H237" s="3"/>
      <c r="I237" s="3"/>
      <c r="J237" s="5">
        <v>36</v>
      </c>
      <c r="K237" s="3">
        <f t="shared" si="28"/>
        <v>70</v>
      </c>
      <c r="L237" s="7" t="str">
        <f t="shared" si="29"/>
        <v>B+</v>
      </c>
      <c r="M237" s="7" t="str">
        <f t="shared" si="30"/>
        <v>Passed</v>
      </c>
      <c r="N237" s="7" t="s">
        <v>24</v>
      </c>
      <c r="O237" s="29">
        <f>O236/O234%</f>
        <v>90.196078431372541</v>
      </c>
      <c r="P237" s="10"/>
    </row>
    <row r="238" spans="1:16" ht="15.6" x14ac:dyDescent="0.3">
      <c r="A238" s="3">
        <f t="shared" si="24"/>
        <v>9</v>
      </c>
      <c r="B238" s="306" t="s">
        <v>436</v>
      </c>
      <c r="C238" s="309" t="s">
        <v>371</v>
      </c>
      <c r="D238" s="5" t="s">
        <v>939</v>
      </c>
      <c r="E238" s="5">
        <v>10</v>
      </c>
      <c r="F238" s="5">
        <v>26</v>
      </c>
      <c r="G238" s="3">
        <f t="shared" si="27"/>
        <v>36</v>
      </c>
      <c r="H238" s="3"/>
      <c r="I238" s="3"/>
      <c r="J238" s="5">
        <v>36</v>
      </c>
      <c r="K238" s="3">
        <f t="shared" si="28"/>
        <v>72</v>
      </c>
      <c r="L238" s="7" t="str">
        <f t="shared" si="29"/>
        <v>B+</v>
      </c>
      <c r="M238" s="7" t="str">
        <f t="shared" si="30"/>
        <v>Passed</v>
      </c>
      <c r="N238" s="10" t="s">
        <v>25</v>
      </c>
      <c r="O238" s="9">
        <f>COUNTIF(M230:M284,"failed")</f>
        <v>5</v>
      </c>
      <c r="P238" s="10"/>
    </row>
    <row r="239" spans="1:16" ht="15.6" x14ac:dyDescent="0.3">
      <c r="A239" s="3">
        <f t="shared" si="24"/>
        <v>10</v>
      </c>
      <c r="B239" s="306" t="s">
        <v>437</v>
      </c>
      <c r="C239" s="310" t="s">
        <v>372</v>
      </c>
      <c r="D239" s="5" t="s">
        <v>951</v>
      </c>
      <c r="E239" s="5">
        <v>9</v>
      </c>
      <c r="F239" s="5">
        <v>13</v>
      </c>
      <c r="G239" s="3">
        <f t="shared" si="27"/>
        <v>22</v>
      </c>
      <c r="H239" s="3"/>
      <c r="I239" s="3"/>
      <c r="J239" s="5">
        <v>39</v>
      </c>
      <c r="K239" s="3">
        <f t="shared" si="28"/>
        <v>61</v>
      </c>
      <c r="L239" s="7" t="str">
        <f t="shared" si="29"/>
        <v>B</v>
      </c>
      <c r="M239" s="7" t="str">
        <f t="shared" si="30"/>
        <v>Passed</v>
      </c>
      <c r="N239" s="10" t="s">
        <v>26</v>
      </c>
      <c r="O239" s="29">
        <f>O238/O234%</f>
        <v>9.8039215686274517</v>
      </c>
      <c r="P239" s="10"/>
    </row>
    <row r="240" spans="1:16" ht="15.6" x14ac:dyDescent="0.3">
      <c r="A240" s="3">
        <f t="shared" si="24"/>
        <v>11</v>
      </c>
      <c r="B240" s="306" t="s">
        <v>438</v>
      </c>
      <c r="C240" s="307" t="s">
        <v>373</v>
      </c>
      <c r="D240" s="5" t="s">
        <v>930</v>
      </c>
      <c r="E240" s="5">
        <v>10</v>
      </c>
      <c r="F240" s="5">
        <v>25</v>
      </c>
      <c r="G240" s="3">
        <f t="shared" si="27"/>
        <v>35</v>
      </c>
      <c r="H240" s="3"/>
      <c r="I240" s="3"/>
      <c r="J240" s="5">
        <v>44</v>
      </c>
      <c r="K240" s="3">
        <f t="shared" si="28"/>
        <v>79</v>
      </c>
      <c r="L240" s="7" t="str">
        <f t="shared" si="29"/>
        <v>B+</v>
      </c>
      <c r="M240" s="7" t="str">
        <f t="shared" si="30"/>
        <v>Passed</v>
      </c>
      <c r="N240" s="10" t="s">
        <v>27</v>
      </c>
      <c r="O240" s="29">
        <f>AVERAGE(K230:K284)</f>
        <v>59.568627450980394</v>
      </c>
      <c r="P240" s="10"/>
    </row>
    <row r="241" spans="1:22" ht="15.6" x14ac:dyDescent="0.3">
      <c r="A241" s="3">
        <f t="shared" si="24"/>
        <v>12</v>
      </c>
      <c r="B241" s="306" t="s">
        <v>439</v>
      </c>
      <c r="C241" s="307" t="s">
        <v>565</v>
      </c>
      <c r="D241" s="5" t="s">
        <v>953</v>
      </c>
      <c r="E241" s="5">
        <v>10</v>
      </c>
      <c r="F241" s="5">
        <v>23</v>
      </c>
      <c r="G241" s="3">
        <f t="shared" si="27"/>
        <v>33</v>
      </c>
      <c r="H241" s="3"/>
      <c r="I241" s="3"/>
      <c r="J241" s="5">
        <v>27</v>
      </c>
      <c r="K241" s="3">
        <f t="shared" si="28"/>
        <v>60</v>
      </c>
      <c r="L241" s="7" t="str">
        <f t="shared" si="29"/>
        <v>B</v>
      </c>
      <c r="M241" s="7" t="str">
        <f t="shared" si="30"/>
        <v>Passed</v>
      </c>
      <c r="N241" s="10"/>
      <c r="O241" s="9"/>
      <c r="P241" s="10"/>
    </row>
    <row r="242" spans="1:22" ht="15.6" x14ac:dyDescent="0.3">
      <c r="A242" s="3">
        <f t="shared" si="24"/>
        <v>13</v>
      </c>
      <c r="B242" s="306" t="s">
        <v>440</v>
      </c>
      <c r="C242" s="310" t="s">
        <v>374</v>
      </c>
      <c r="D242" s="5" t="s">
        <v>956</v>
      </c>
      <c r="E242" s="5">
        <v>10</v>
      </c>
      <c r="F242" s="5">
        <v>21</v>
      </c>
      <c r="G242" s="3">
        <f t="shared" si="27"/>
        <v>31</v>
      </c>
      <c r="H242" s="3"/>
      <c r="I242" s="3"/>
      <c r="J242" s="5">
        <v>38</v>
      </c>
      <c r="K242" s="3">
        <f t="shared" si="28"/>
        <v>69</v>
      </c>
      <c r="L242" s="7" t="str">
        <f t="shared" si="29"/>
        <v>B</v>
      </c>
      <c r="M242" s="7" t="str">
        <f t="shared" si="30"/>
        <v>Passed</v>
      </c>
      <c r="N242" s="10"/>
      <c r="O242" s="9"/>
      <c r="P242" s="10"/>
    </row>
    <row r="243" spans="1:22" ht="15.6" x14ac:dyDescent="0.3">
      <c r="A243" s="3">
        <f t="shared" si="24"/>
        <v>14</v>
      </c>
      <c r="B243" s="306" t="s">
        <v>441</v>
      </c>
      <c r="C243" s="310" t="s">
        <v>375</v>
      </c>
      <c r="D243" s="5" t="s">
        <v>961</v>
      </c>
      <c r="E243" s="5">
        <v>10</v>
      </c>
      <c r="F243" s="5">
        <v>20</v>
      </c>
      <c r="G243" s="3">
        <f t="shared" si="27"/>
        <v>30</v>
      </c>
      <c r="H243" s="3"/>
      <c r="I243" s="3"/>
      <c r="J243" s="5">
        <v>37</v>
      </c>
      <c r="K243" s="3">
        <f t="shared" si="28"/>
        <v>67</v>
      </c>
      <c r="L243" s="7" t="str">
        <f t="shared" si="29"/>
        <v>B</v>
      </c>
      <c r="M243" s="7" t="str">
        <f t="shared" si="30"/>
        <v>Passed</v>
      </c>
      <c r="N243" s="10"/>
      <c r="O243" s="9" t="s">
        <v>28</v>
      </c>
      <c r="P243" s="10" t="s">
        <v>29</v>
      </c>
      <c r="Q243" t="s">
        <v>30</v>
      </c>
      <c r="R243" t="s">
        <v>31</v>
      </c>
      <c r="S243" t="s">
        <v>32</v>
      </c>
      <c r="T243" t="s">
        <v>33</v>
      </c>
      <c r="U243" t="s">
        <v>34</v>
      </c>
      <c r="V243" t="s">
        <v>35</v>
      </c>
    </row>
    <row r="244" spans="1:22" ht="15.6" x14ac:dyDescent="0.3">
      <c r="A244" s="3">
        <f t="shared" si="24"/>
        <v>15</v>
      </c>
      <c r="B244" s="306" t="s">
        <v>442</v>
      </c>
      <c r="C244" s="310" t="s">
        <v>376</v>
      </c>
      <c r="D244" s="5" t="s">
        <v>915</v>
      </c>
      <c r="E244" s="5">
        <v>9</v>
      </c>
      <c r="F244" s="5">
        <v>13</v>
      </c>
      <c r="G244" s="3">
        <f t="shared" si="27"/>
        <v>22</v>
      </c>
      <c r="H244" s="3"/>
      <c r="I244" s="3"/>
      <c r="J244" s="5">
        <v>14</v>
      </c>
      <c r="K244" s="3">
        <f t="shared" si="28"/>
        <v>36</v>
      </c>
      <c r="L244" s="7" t="str">
        <f t="shared" si="29"/>
        <v>F</v>
      </c>
      <c r="M244" s="7" t="str">
        <f t="shared" si="30"/>
        <v>Failed</v>
      </c>
      <c r="N244" s="10"/>
      <c r="O244" s="9">
        <f>COUNTIF(L230:L283,"A")</f>
        <v>1</v>
      </c>
      <c r="P244" s="10">
        <f>COUNTIF(L230:L283,"B+")</f>
        <v>7</v>
      </c>
      <c r="Q244">
        <f>COUNTIF(L230:L283,"B")</f>
        <v>19</v>
      </c>
      <c r="R244">
        <f>COUNTIF(L230:L283,"C+")</f>
        <v>7</v>
      </c>
      <c r="S244">
        <f>COUNTIF(L230:L283,"C")</f>
        <v>12</v>
      </c>
      <c r="T244">
        <f>COUNTIF(L230:L283,"D+")</f>
        <v>2</v>
      </c>
      <c r="U244">
        <f>COUNTIF(L230:L283,"D")</f>
        <v>1</v>
      </c>
      <c r="V244">
        <f>COUNTIF(L230:L284,"F")</f>
        <v>2</v>
      </c>
    </row>
    <row r="245" spans="1:22" ht="15.6" x14ac:dyDescent="0.3">
      <c r="A245" s="3">
        <f t="shared" si="24"/>
        <v>16</v>
      </c>
      <c r="B245" s="306" t="s">
        <v>443</v>
      </c>
      <c r="C245" s="307" t="s">
        <v>377</v>
      </c>
      <c r="D245" s="5" t="s">
        <v>924</v>
      </c>
      <c r="E245" s="5">
        <v>8</v>
      </c>
      <c r="F245" s="5">
        <v>25</v>
      </c>
      <c r="G245" s="3">
        <f t="shared" si="27"/>
        <v>33</v>
      </c>
      <c r="H245" s="3"/>
      <c r="I245" s="3"/>
      <c r="J245" s="5">
        <v>53</v>
      </c>
      <c r="K245" s="3">
        <f t="shared" si="28"/>
        <v>86</v>
      </c>
      <c r="L245" s="7" t="str">
        <f t="shared" si="29"/>
        <v>A</v>
      </c>
      <c r="M245" s="7" t="str">
        <f t="shared" si="30"/>
        <v>Passed</v>
      </c>
      <c r="N245" s="11"/>
      <c r="O245" s="9"/>
      <c r="P245" s="10"/>
    </row>
    <row r="246" spans="1:22" ht="15.6" x14ac:dyDescent="0.3">
      <c r="A246" s="3">
        <f t="shared" si="24"/>
        <v>17</v>
      </c>
      <c r="B246" s="306" t="s">
        <v>444</v>
      </c>
      <c r="C246" s="310" t="s">
        <v>378</v>
      </c>
      <c r="D246" s="5" t="s">
        <v>938</v>
      </c>
      <c r="E246" s="5">
        <v>10</v>
      </c>
      <c r="F246" s="5">
        <v>18</v>
      </c>
      <c r="G246" s="3">
        <f t="shared" si="27"/>
        <v>28</v>
      </c>
      <c r="H246" s="3"/>
      <c r="I246" s="3"/>
      <c r="J246" s="5">
        <v>29</v>
      </c>
      <c r="K246" s="3">
        <f t="shared" si="28"/>
        <v>57</v>
      </c>
      <c r="L246" s="7" t="str">
        <f t="shared" si="29"/>
        <v>C+</v>
      </c>
      <c r="M246" s="7" t="str">
        <f t="shared" si="30"/>
        <v>Passed</v>
      </c>
      <c r="N246" s="11"/>
      <c r="O246" s="9"/>
      <c r="P246" s="10"/>
    </row>
    <row r="247" spans="1:22" ht="15.6" x14ac:dyDescent="0.3">
      <c r="A247" s="3">
        <f t="shared" si="24"/>
        <v>18</v>
      </c>
      <c r="B247" s="306" t="s">
        <v>445</v>
      </c>
      <c r="C247" s="308" t="s">
        <v>379</v>
      </c>
      <c r="D247" s="5" t="s">
        <v>952</v>
      </c>
      <c r="E247" s="5">
        <v>10</v>
      </c>
      <c r="F247" s="5">
        <v>21</v>
      </c>
      <c r="G247" s="3">
        <f t="shared" si="27"/>
        <v>31</v>
      </c>
      <c r="H247" s="3"/>
      <c r="I247" s="3"/>
      <c r="J247" s="5">
        <v>27</v>
      </c>
      <c r="K247" s="3">
        <f t="shared" si="28"/>
        <v>58</v>
      </c>
      <c r="L247" s="7" t="str">
        <f t="shared" si="29"/>
        <v>C+</v>
      </c>
      <c r="M247" s="7" t="str">
        <f t="shared" si="30"/>
        <v>Passed</v>
      </c>
      <c r="N247" s="10"/>
      <c r="O247" s="9"/>
      <c r="P247" s="10"/>
    </row>
    <row r="248" spans="1:22" ht="15.6" x14ac:dyDescent="0.3">
      <c r="A248" s="3">
        <f t="shared" si="24"/>
        <v>19</v>
      </c>
      <c r="B248" s="306" t="s">
        <v>446</v>
      </c>
      <c r="C248" s="310" t="s">
        <v>602</v>
      </c>
      <c r="D248" s="5" t="s">
        <v>918</v>
      </c>
      <c r="E248" s="5">
        <v>10</v>
      </c>
      <c r="F248" s="339">
        <v>19</v>
      </c>
      <c r="G248" s="3">
        <f t="shared" si="27"/>
        <v>29</v>
      </c>
      <c r="H248" s="3"/>
      <c r="I248" s="3"/>
      <c r="J248" s="5">
        <v>22</v>
      </c>
      <c r="K248" s="3">
        <f t="shared" si="28"/>
        <v>51</v>
      </c>
      <c r="L248" s="7" t="str">
        <f t="shared" si="29"/>
        <v>C</v>
      </c>
      <c r="M248" s="7" t="str">
        <f t="shared" si="30"/>
        <v>Passed</v>
      </c>
      <c r="N248" s="10"/>
      <c r="O248" s="9"/>
      <c r="P248" s="10"/>
    </row>
    <row r="249" spans="1:22" ht="15.6" x14ac:dyDescent="0.3">
      <c r="A249" s="3">
        <f t="shared" si="24"/>
        <v>20</v>
      </c>
      <c r="B249" s="306" t="s">
        <v>448</v>
      </c>
      <c r="C249" s="308" t="s">
        <v>380</v>
      </c>
      <c r="D249" s="5" t="s">
        <v>957</v>
      </c>
      <c r="E249" s="5">
        <v>8</v>
      </c>
      <c r="F249" s="5">
        <v>21</v>
      </c>
      <c r="G249" s="3">
        <f t="shared" si="27"/>
        <v>29</v>
      </c>
      <c r="H249" s="3"/>
      <c r="I249" s="3"/>
      <c r="J249" s="5">
        <v>31</v>
      </c>
      <c r="K249" s="3">
        <f t="shared" si="28"/>
        <v>60</v>
      </c>
      <c r="L249" s="7" t="str">
        <f t="shared" si="29"/>
        <v>B</v>
      </c>
      <c r="M249" s="7" t="str">
        <f t="shared" si="30"/>
        <v>Passed</v>
      </c>
      <c r="N249" s="10"/>
      <c r="O249" s="9"/>
      <c r="P249" s="10"/>
    </row>
    <row r="250" spans="1:22" ht="15.6" x14ac:dyDescent="0.3">
      <c r="A250" s="3">
        <f t="shared" si="24"/>
        <v>21</v>
      </c>
      <c r="B250" s="306" t="s">
        <v>447</v>
      </c>
      <c r="C250" s="310" t="s">
        <v>381</v>
      </c>
      <c r="D250" s="5" t="s">
        <v>959</v>
      </c>
      <c r="E250" s="5">
        <v>10</v>
      </c>
      <c r="F250" s="5">
        <v>19</v>
      </c>
      <c r="G250" s="3">
        <f t="shared" si="27"/>
        <v>29</v>
      </c>
      <c r="H250" s="3"/>
      <c r="I250" s="3"/>
      <c r="J250" s="5">
        <v>32</v>
      </c>
      <c r="K250" s="3">
        <f t="shared" si="28"/>
        <v>61</v>
      </c>
      <c r="L250" s="7" t="str">
        <f t="shared" si="29"/>
        <v>B</v>
      </c>
      <c r="M250" s="7" t="str">
        <f t="shared" si="30"/>
        <v>Passed</v>
      </c>
      <c r="N250" s="10"/>
      <c r="O250" s="9"/>
      <c r="P250" s="10"/>
    </row>
    <row r="251" spans="1:22" ht="15.6" x14ac:dyDescent="0.3">
      <c r="A251" s="3">
        <f t="shared" si="24"/>
        <v>22</v>
      </c>
      <c r="B251" s="313" t="s">
        <v>570</v>
      </c>
      <c r="C251" s="309" t="s">
        <v>382</v>
      </c>
      <c r="D251" s="5" t="s">
        <v>935</v>
      </c>
      <c r="E251" s="5">
        <v>8</v>
      </c>
      <c r="F251" s="339">
        <v>20</v>
      </c>
      <c r="G251" s="3">
        <f t="shared" si="27"/>
        <v>28</v>
      </c>
      <c r="H251" s="3"/>
      <c r="I251" s="3"/>
      <c r="J251" s="5">
        <v>22</v>
      </c>
      <c r="K251" s="3">
        <f t="shared" si="28"/>
        <v>50</v>
      </c>
      <c r="L251" s="7" t="str">
        <f t="shared" si="29"/>
        <v>C</v>
      </c>
      <c r="M251" s="7" t="str">
        <f t="shared" si="30"/>
        <v>Passed</v>
      </c>
      <c r="N251" s="10"/>
      <c r="O251" s="9"/>
      <c r="P251" s="10"/>
    </row>
    <row r="252" spans="1:22" ht="15.6" x14ac:dyDescent="0.3">
      <c r="A252" s="3">
        <f t="shared" si="24"/>
        <v>23</v>
      </c>
      <c r="B252" s="306" t="s">
        <v>449</v>
      </c>
      <c r="C252" s="309" t="s">
        <v>383</v>
      </c>
      <c r="D252" s="5" t="s">
        <v>925</v>
      </c>
      <c r="E252" s="5">
        <v>8</v>
      </c>
      <c r="F252" s="5">
        <v>23</v>
      </c>
      <c r="G252" s="3">
        <f t="shared" si="27"/>
        <v>31</v>
      </c>
      <c r="H252" s="3"/>
      <c r="I252" s="3"/>
      <c r="J252" s="5">
        <v>37</v>
      </c>
      <c r="K252" s="3">
        <f t="shared" si="28"/>
        <v>68</v>
      </c>
      <c r="L252" s="7" t="str">
        <f t="shared" si="29"/>
        <v>B</v>
      </c>
      <c r="M252" s="7" t="str">
        <f t="shared" si="30"/>
        <v>Passed</v>
      </c>
      <c r="N252" s="10"/>
      <c r="O252" s="9"/>
      <c r="P252" s="10"/>
    </row>
    <row r="253" spans="1:22" ht="15.6" x14ac:dyDescent="0.3">
      <c r="A253" s="3">
        <f t="shared" si="24"/>
        <v>24</v>
      </c>
      <c r="B253" s="306" t="s">
        <v>450</v>
      </c>
      <c r="C253" s="309" t="s">
        <v>384</v>
      </c>
      <c r="D253" s="5" t="s">
        <v>926</v>
      </c>
      <c r="E253" s="5">
        <v>10</v>
      </c>
      <c r="F253" s="5">
        <v>15</v>
      </c>
      <c r="G253" s="3">
        <f t="shared" si="27"/>
        <v>25</v>
      </c>
      <c r="H253" s="3"/>
      <c r="I253" s="3"/>
      <c r="J253" s="5">
        <v>38</v>
      </c>
      <c r="K253" s="3">
        <f t="shared" si="28"/>
        <v>63</v>
      </c>
      <c r="L253" s="7" t="str">
        <f t="shared" si="29"/>
        <v>B</v>
      </c>
      <c r="M253" s="7" t="str">
        <f t="shared" si="30"/>
        <v>Passed</v>
      </c>
      <c r="N253" s="10"/>
      <c r="O253" s="9"/>
      <c r="P253" s="10"/>
    </row>
    <row r="254" spans="1:22" ht="15.6" x14ac:dyDescent="0.3">
      <c r="A254" s="3">
        <f t="shared" si="24"/>
        <v>25</v>
      </c>
      <c r="B254" s="306" t="s">
        <v>451</v>
      </c>
      <c r="C254" s="310" t="s">
        <v>385</v>
      </c>
      <c r="D254" s="5" t="s">
        <v>922</v>
      </c>
      <c r="E254" s="5">
        <v>10</v>
      </c>
      <c r="F254" s="5">
        <v>21</v>
      </c>
      <c r="G254" s="3">
        <f t="shared" si="27"/>
        <v>31</v>
      </c>
      <c r="H254" s="3"/>
      <c r="I254" s="3"/>
      <c r="J254" s="5">
        <v>41</v>
      </c>
      <c r="K254" s="3">
        <f t="shared" si="28"/>
        <v>72</v>
      </c>
      <c r="L254" s="7" t="str">
        <f t="shared" si="29"/>
        <v>B+</v>
      </c>
      <c r="M254" s="7" t="str">
        <f t="shared" si="30"/>
        <v>Passed</v>
      </c>
      <c r="N254" s="10"/>
      <c r="O254" s="9"/>
      <c r="P254" s="10"/>
    </row>
    <row r="255" spans="1:22" ht="15.6" x14ac:dyDescent="0.3">
      <c r="A255" s="3">
        <f t="shared" si="24"/>
        <v>26</v>
      </c>
      <c r="B255" s="306" t="s">
        <v>452</v>
      </c>
      <c r="C255" s="310" t="s">
        <v>386</v>
      </c>
      <c r="D255" s="5" t="s">
        <v>913</v>
      </c>
      <c r="E255" s="5">
        <v>10</v>
      </c>
      <c r="F255" s="5">
        <v>15</v>
      </c>
      <c r="G255" s="3">
        <f t="shared" si="27"/>
        <v>25</v>
      </c>
      <c r="H255" s="3"/>
      <c r="I255" s="3"/>
      <c r="J255" s="5">
        <v>27</v>
      </c>
      <c r="K255" s="3">
        <f t="shared" si="28"/>
        <v>52</v>
      </c>
      <c r="L255" s="7" t="str">
        <f t="shared" si="29"/>
        <v>C</v>
      </c>
      <c r="M255" s="7" t="str">
        <f t="shared" si="30"/>
        <v>Passed</v>
      </c>
      <c r="N255" s="10"/>
      <c r="O255" s="9"/>
      <c r="P255" s="10"/>
    </row>
    <row r="256" spans="1:22" ht="15.6" x14ac:dyDescent="0.3">
      <c r="A256" s="3">
        <f t="shared" si="24"/>
        <v>27</v>
      </c>
      <c r="B256" s="306" t="s">
        <v>453</v>
      </c>
      <c r="C256" s="309" t="s">
        <v>387</v>
      </c>
      <c r="D256" s="5" t="s">
        <v>934</v>
      </c>
      <c r="E256" s="35">
        <v>10</v>
      </c>
      <c r="F256" s="35">
        <v>21</v>
      </c>
      <c r="G256" s="3">
        <f t="shared" si="27"/>
        <v>31</v>
      </c>
      <c r="H256" s="3"/>
      <c r="I256" s="3"/>
      <c r="J256" s="5">
        <v>41</v>
      </c>
      <c r="K256" s="3">
        <f t="shared" si="28"/>
        <v>72</v>
      </c>
      <c r="L256" s="7" t="str">
        <f t="shared" si="29"/>
        <v>B+</v>
      </c>
      <c r="M256" s="7" t="str">
        <f t="shared" si="30"/>
        <v>Passed</v>
      </c>
      <c r="N256" s="10"/>
      <c r="O256" s="9"/>
      <c r="P256" s="10"/>
    </row>
    <row r="257" spans="1:16" ht="15.6" x14ac:dyDescent="0.3">
      <c r="A257" s="3">
        <f t="shared" si="24"/>
        <v>28</v>
      </c>
      <c r="B257" s="388">
        <v>400123</v>
      </c>
      <c r="C257" s="310" t="s">
        <v>388</v>
      </c>
      <c r="D257" s="5" t="s">
        <v>916</v>
      </c>
      <c r="E257" s="5">
        <v>9</v>
      </c>
      <c r="F257" s="5">
        <v>16</v>
      </c>
      <c r="G257" s="3">
        <f t="shared" si="27"/>
        <v>25</v>
      </c>
      <c r="H257" s="3"/>
      <c r="I257" s="3"/>
      <c r="J257" s="5">
        <v>25</v>
      </c>
      <c r="K257" s="3">
        <f t="shared" si="28"/>
        <v>50</v>
      </c>
      <c r="L257" s="7" t="str">
        <f t="shared" si="29"/>
        <v>C</v>
      </c>
      <c r="M257" s="7" t="str">
        <f t="shared" si="30"/>
        <v>Passed</v>
      </c>
      <c r="N257" s="10"/>
      <c r="O257" s="9"/>
      <c r="P257" s="10"/>
    </row>
    <row r="258" spans="1:16" ht="15.6" x14ac:dyDescent="0.3">
      <c r="A258" s="3">
        <f t="shared" si="24"/>
        <v>29</v>
      </c>
      <c r="B258" s="306" t="s">
        <v>454</v>
      </c>
      <c r="C258" s="309" t="s">
        <v>771</v>
      </c>
      <c r="D258" s="5" t="s">
        <v>942</v>
      </c>
      <c r="E258" s="5">
        <v>10</v>
      </c>
      <c r="F258" s="5">
        <v>19</v>
      </c>
      <c r="G258" s="3">
        <f t="shared" si="27"/>
        <v>29</v>
      </c>
      <c r="H258" s="3"/>
      <c r="I258" s="3"/>
      <c r="J258" s="5">
        <v>22</v>
      </c>
      <c r="K258" s="3">
        <f t="shared" si="28"/>
        <v>51</v>
      </c>
      <c r="L258" s="7" t="str">
        <f t="shared" si="29"/>
        <v>C</v>
      </c>
      <c r="M258" s="7" t="str">
        <f t="shared" si="30"/>
        <v>Passed</v>
      </c>
      <c r="N258" s="10"/>
      <c r="O258" s="9"/>
      <c r="P258" s="10"/>
    </row>
    <row r="259" spans="1:16" ht="15.6" x14ac:dyDescent="0.3">
      <c r="A259" s="3">
        <f t="shared" si="24"/>
        <v>30</v>
      </c>
      <c r="B259" s="306" t="s">
        <v>455</v>
      </c>
      <c r="C259" s="307" t="s">
        <v>389</v>
      </c>
      <c r="D259" s="5" t="s">
        <v>950</v>
      </c>
      <c r="E259" s="5">
        <v>10</v>
      </c>
      <c r="F259" s="5">
        <v>25</v>
      </c>
      <c r="G259" s="3">
        <f t="shared" si="27"/>
        <v>35</v>
      </c>
      <c r="H259" s="3"/>
      <c r="I259" s="3"/>
      <c r="J259" s="5">
        <v>35</v>
      </c>
      <c r="K259" s="3">
        <f t="shared" si="28"/>
        <v>70</v>
      </c>
      <c r="L259" s="7" t="str">
        <f t="shared" si="29"/>
        <v>B+</v>
      </c>
      <c r="M259" s="7" t="str">
        <f t="shared" si="30"/>
        <v>Passed</v>
      </c>
      <c r="N259" s="10"/>
      <c r="O259" s="9"/>
      <c r="P259" s="10"/>
    </row>
    <row r="260" spans="1:16" ht="15.6" x14ac:dyDescent="0.3">
      <c r="A260" s="3">
        <f t="shared" si="24"/>
        <v>31</v>
      </c>
      <c r="B260" s="47" t="s">
        <v>456</v>
      </c>
      <c r="C260" s="439" t="s">
        <v>535</v>
      </c>
      <c r="D260" s="20" t="s">
        <v>1067</v>
      </c>
      <c r="E260" s="20" t="s">
        <v>1955</v>
      </c>
      <c r="F260" s="20" t="s">
        <v>1955</v>
      </c>
      <c r="G260" s="24" t="s">
        <v>1955</v>
      </c>
      <c r="H260" s="24"/>
      <c r="I260" s="24"/>
      <c r="J260" s="20" t="s">
        <v>1938</v>
      </c>
      <c r="K260" s="3"/>
      <c r="L260" s="7"/>
      <c r="M260" s="7"/>
      <c r="N260" s="10"/>
      <c r="O260" s="9"/>
      <c r="P260" s="10"/>
    </row>
    <row r="261" spans="1:16" ht="15.6" x14ac:dyDescent="0.3">
      <c r="A261" s="3">
        <f t="shared" si="24"/>
        <v>32</v>
      </c>
      <c r="B261" s="306" t="s">
        <v>457</v>
      </c>
      <c r="C261" s="307" t="s">
        <v>390</v>
      </c>
      <c r="D261" s="5" t="s">
        <v>946</v>
      </c>
      <c r="E261" s="5">
        <v>9</v>
      </c>
      <c r="F261" s="5">
        <v>18</v>
      </c>
      <c r="G261" s="3">
        <f t="shared" si="27"/>
        <v>27</v>
      </c>
      <c r="H261" s="3"/>
      <c r="I261" s="3"/>
      <c r="J261" s="5">
        <v>18</v>
      </c>
      <c r="K261" s="3">
        <f t="shared" si="28"/>
        <v>45</v>
      </c>
      <c r="L261" s="7" t="str">
        <f t="shared" si="29"/>
        <v>D+</v>
      </c>
      <c r="M261" s="7" t="str">
        <f t="shared" si="30"/>
        <v>Failed</v>
      </c>
      <c r="N261" s="10"/>
      <c r="O261" s="9"/>
      <c r="P261" s="10"/>
    </row>
    <row r="262" spans="1:16" ht="15.6" x14ac:dyDescent="0.3">
      <c r="A262" s="3">
        <f t="shared" ref="A262:A283" si="31">ROW(A33)</f>
        <v>33</v>
      </c>
      <c r="B262" s="306" t="s">
        <v>458</v>
      </c>
      <c r="C262" s="307" t="s">
        <v>391</v>
      </c>
      <c r="D262" s="5" t="s">
        <v>954</v>
      </c>
      <c r="E262" s="5">
        <v>9</v>
      </c>
      <c r="F262" s="5">
        <v>16</v>
      </c>
      <c r="G262" s="3">
        <f t="shared" si="27"/>
        <v>25</v>
      </c>
      <c r="H262" s="3"/>
      <c r="I262" s="3"/>
      <c r="J262" s="5">
        <v>33</v>
      </c>
      <c r="K262" s="3">
        <f t="shared" si="28"/>
        <v>58</v>
      </c>
      <c r="L262" s="7" t="str">
        <f t="shared" si="29"/>
        <v>C+</v>
      </c>
      <c r="M262" s="7" t="str">
        <f t="shared" si="30"/>
        <v>Passed</v>
      </c>
      <c r="N262" s="10"/>
      <c r="O262" s="9"/>
      <c r="P262" s="10"/>
    </row>
    <row r="263" spans="1:16" ht="15.6" x14ac:dyDescent="0.3">
      <c r="A263" s="3">
        <f t="shared" si="31"/>
        <v>34</v>
      </c>
      <c r="B263" s="306" t="s">
        <v>459</v>
      </c>
      <c r="C263" s="309" t="s">
        <v>557</v>
      </c>
      <c r="D263" s="5" t="s">
        <v>960</v>
      </c>
      <c r="E263" s="5">
        <v>9</v>
      </c>
      <c r="F263" s="5">
        <v>18</v>
      </c>
      <c r="G263" s="3">
        <f t="shared" si="27"/>
        <v>27</v>
      </c>
      <c r="H263" s="3"/>
      <c r="I263" s="3"/>
      <c r="J263" s="5">
        <v>23</v>
      </c>
      <c r="K263" s="3">
        <f t="shared" si="28"/>
        <v>50</v>
      </c>
      <c r="L263" s="7" t="str">
        <f t="shared" si="29"/>
        <v>C</v>
      </c>
      <c r="M263" s="7" t="str">
        <f t="shared" si="30"/>
        <v>Passed</v>
      </c>
      <c r="N263" s="10"/>
      <c r="O263" s="9"/>
      <c r="P263" s="10"/>
    </row>
    <row r="264" spans="1:16" ht="15.6" x14ac:dyDescent="0.3">
      <c r="A264" s="3">
        <f t="shared" si="31"/>
        <v>35</v>
      </c>
      <c r="B264" s="306" t="s">
        <v>460</v>
      </c>
      <c r="C264" s="309" t="s">
        <v>392</v>
      </c>
      <c r="D264" s="5" t="s">
        <v>923</v>
      </c>
      <c r="E264" s="5">
        <v>10</v>
      </c>
      <c r="F264" s="5">
        <v>15</v>
      </c>
      <c r="G264" s="3">
        <f t="shared" si="27"/>
        <v>25</v>
      </c>
      <c r="H264" s="3"/>
      <c r="I264" s="3"/>
      <c r="J264" s="5">
        <v>34</v>
      </c>
      <c r="K264" s="3">
        <f t="shared" si="28"/>
        <v>59</v>
      </c>
      <c r="L264" s="7" t="str">
        <f t="shared" si="29"/>
        <v>C+</v>
      </c>
      <c r="M264" s="7" t="str">
        <f t="shared" si="30"/>
        <v>Passed</v>
      </c>
      <c r="N264" s="10"/>
      <c r="O264" s="9"/>
      <c r="P264" s="10"/>
    </row>
    <row r="265" spans="1:16" ht="15.6" x14ac:dyDescent="0.3">
      <c r="A265" s="3">
        <f t="shared" si="31"/>
        <v>36</v>
      </c>
      <c r="B265" s="306" t="s">
        <v>461</v>
      </c>
      <c r="C265" s="309" t="s">
        <v>393</v>
      </c>
      <c r="D265" s="5" t="s">
        <v>945</v>
      </c>
      <c r="E265" s="5">
        <v>8</v>
      </c>
      <c r="F265" s="5">
        <v>19</v>
      </c>
      <c r="G265" s="3">
        <f t="shared" si="27"/>
        <v>27</v>
      </c>
      <c r="H265" s="3"/>
      <c r="I265" s="3"/>
      <c r="J265" s="5">
        <v>16</v>
      </c>
      <c r="K265" s="3">
        <f t="shared" si="28"/>
        <v>43</v>
      </c>
      <c r="L265" s="7" t="str">
        <f t="shared" si="29"/>
        <v>D</v>
      </c>
      <c r="M265" s="7" t="str">
        <f t="shared" si="30"/>
        <v>Failed</v>
      </c>
      <c r="N265" s="10"/>
      <c r="O265" s="9"/>
      <c r="P265" s="10"/>
    </row>
    <row r="266" spans="1:16" ht="15.6" x14ac:dyDescent="0.3">
      <c r="A266" s="3">
        <f t="shared" si="31"/>
        <v>37</v>
      </c>
      <c r="B266" s="306" t="s">
        <v>462</v>
      </c>
      <c r="C266" s="309" t="s">
        <v>394</v>
      </c>
      <c r="D266" s="5" t="s">
        <v>940</v>
      </c>
      <c r="E266" s="5">
        <v>10</v>
      </c>
      <c r="F266" s="5">
        <v>23</v>
      </c>
      <c r="G266" s="3">
        <f t="shared" si="27"/>
        <v>33</v>
      </c>
      <c r="H266" s="3"/>
      <c r="I266" s="3"/>
      <c r="J266" s="5">
        <v>28</v>
      </c>
      <c r="K266" s="3">
        <f t="shared" si="28"/>
        <v>61</v>
      </c>
      <c r="L266" s="7" t="str">
        <f t="shared" si="29"/>
        <v>B</v>
      </c>
      <c r="M266" s="7" t="str">
        <f t="shared" si="30"/>
        <v>Passed</v>
      </c>
      <c r="N266" s="10"/>
      <c r="O266" s="9"/>
      <c r="P266" s="10"/>
    </row>
    <row r="267" spans="1:16" ht="15.6" x14ac:dyDescent="0.3">
      <c r="A267" s="3">
        <f t="shared" si="31"/>
        <v>38</v>
      </c>
      <c r="B267" s="306" t="s">
        <v>463</v>
      </c>
      <c r="C267" s="309" t="s">
        <v>395</v>
      </c>
      <c r="D267" s="5" t="s">
        <v>928</v>
      </c>
      <c r="E267" s="5">
        <v>8</v>
      </c>
      <c r="F267" s="5">
        <v>21</v>
      </c>
      <c r="G267" s="3">
        <f t="shared" si="27"/>
        <v>29</v>
      </c>
      <c r="H267" s="3"/>
      <c r="I267" s="3"/>
      <c r="J267" s="5">
        <v>9</v>
      </c>
      <c r="K267" s="3">
        <f t="shared" si="28"/>
        <v>38</v>
      </c>
      <c r="L267" s="7" t="str">
        <f t="shared" si="29"/>
        <v>F</v>
      </c>
      <c r="M267" s="7" t="str">
        <f t="shared" si="30"/>
        <v>Failed</v>
      </c>
      <c r="N267" s="10"/>
      <c r="O267" s="9"/>
      <c r="P267" s="10"/>
    </row>
    <row r="268" spans="1:16" ht="15.6" x14ac:dyDescent="0.3">
      <c r="A268" s="3">
        <f t="shared" si="31"/>
        <v>39</v>
      </c>
      <c r="B268" s="306" t="s">
        <v>464</v>
      </c>
      <c r="C268" s="309" t="s">
        <v>396</v>
      </c>
      <c r="D268" s="5" t="s">
        <v>914</v>
      </c>
      <c r="E268" s="5">
        <v>9</v>
      </c>
      <c r="F268" s="339">
        <v>20</v>
      </c>
      <c r="G268" s="3">
        <f t="shared" si="27"/>
        <v>29</v>
      </c>
      <c r="H268" s="3"/>
      <c r="I268" s="3"/>
      <c r="J268" s="5">
        <v>21</v>
      </c>
      <c r="K268" s="3">
        <f t="shared" si="28"/>
        <v>50</v>
      </c>
      <c r="L268" s="7" t="str">
        <f t="shared" si="29"/>
        <v>C</v>
      </c>
      <c r="M268" s="7" t="str">
        <f t="shared" si="30"/>
        <v>Passed</v>
      </c>
      <c r="N268" s="10"/>
      <c r="O268" s="9"/>
      <c r="P268" s="10"/>
    </row>
    <row r="269" spans="1:16" ht="15.6" x14ac:dyDescent="0.3">
      <c r="A269" s="3">
        <f t="shared" si="31"/>
        <v>40</v>
      </c>
      <c r="B269" s="306" t="s">
        <v>465</v>
      </c>
      <c r="C269" s="309" t="s">
        <v>397</v>
      </c>
      <c r="D269" s="5" t="s">
        <v>963</v>
      </c>
      <c r="E269" s="5">
        <v>9</v>
      </c>
      <c r="F269" s="5">
        <v>12</v>
      </c>
      <c r="G269" s="3">
        <f t="shared" si="27"/>
        <v>21</v>
      </c>
      <c r="H269" s="3"/>
      <c r="I269" s="3"/>
      <c r="J269" s="5">
        <v>24</v>
      </c>
      <c r="K269" s="3">
        <f t="shared" si="28"/>
        <v>45</v>
      </c>
      <c r="L269" s="7" t="str">
        <f t="shared" si="29"/>
        <v>D+</v>
      </c>
      <c r="M269" s="7" t="str">
        <f t="shared" si="30"/>
        <v>Failed</v>
      </c>
      <c r="N269" s="10"/>
      <c r="O269" s="9"/>
      <c r="P269" s="10"/>
    </row>
    <row r="270" spans="1:16" ht="15.6" x14ac:dyDescent="0.3">
      <c r="A270" s="3">
        <f t="shared" si="31"/>
        <v>41</v>
      </c>
      <c r="B270" s="306" t="s">
        <v>466</v>
      </c>
      <c r="C270" s="307" t="s">
        <v>398</v>
      </c>
      <c r="D270" s="5" t="s">
        <v>933</v>
      </c>
      <c r="E270" s="5">
        <v>13</v>
      </c>
      <c r="F270" s="5">
        <v>23</v>
      </c>
      <c r="G270" s="3">
        <f t="shared" si="27"/>
        <v>36</v>
      </c>
      <c r="H270" s="3"/>
      <c r="I270" s="3"/>
      <c r="J270" s="5">
        <v>22</v>
      </c>
      <c r="K270" s="3">
        <f t="shared" si="28"/>
        <v>58</v>
      </c>
      <c r="L270" s="7" t="str">
        <f t="shared" si="29"/>
        <v>C+</v>
      </c>
      <c r="M270" s="7" t="str">
        <f t="shared" si="30"/>
        <v>Passed</v>
      </c>
      <c r="N270" s="10"/>
      <c r="O270" s="9"/>
      <c r="P270" s="10"/>
    </row>
    <row r="271" spans="1:16" ht="15.6" x14ac:dyDescent="0.3">
      <c r="A271" s="3">
        <f t="shared" si="31"/>
        <v>42</v>
      </c>
      <c r="B271" s="306" t="s">
        <v>467</v>
      </c>
      <c r="C271" s="307" t="s">
        <v>399</v>
      </c>
      <c r="D271" s="5" t="s">
        <v>917</v>
      </c>
      <c r="E271" s="5">
        <v>10</v>
      </c>
      <c r="F271" s="5">
        <v>20</v>
      </c>
      <c r="G271" s="3">
        <f t="shared" si="27"/>
        <v>30</v>
      </c>
      <c r="H271" s="3"/>
      <c r="I271" s="3"/>
      <c r="J271" s="5">
        <v>37</v>
      </c>
      <c r="K271" s="3">
        <f t="shared" si="28"/>
        <v>67</v>
      </c>
      <c r="L271" s="7" t="str">
        <f t="shared" si="29"/>
        <v>B</v>
      </c>
      <c r="M271" s="7" t="str">
        <f t="shared" si="30"/>
        <v>Passed</v>
      </c>
      <c r="N271" s="10"/>
      <c r="O271" s="9"/>
      <c r="P271" s="10"/>
    </row>
    <row r="272" spans="1:16" ht="15.6" x14ac:dyDescent="0.3">
      <c r="A272" s="3">
        <f t="shared" si="31"/>
        <v>43</v>
      </c>
      <c r="B272" s="306" t="s">
        <v>468</v>
      </c>
      <c r="C272" s="383" t="s">
        <v>552</v>
      </c>
      <c r="D272" s="5" t="s">
        <v>958</v>
      </c>
      <c r="E272" s="5">
        <v>9</v>
      </c>
      <c r="F272" s="5">
        <v>24</v>
      </c>
      <c r="G272" s="3">
        <f t="shared" si="27"/>
        <v>33</v>
      </c>
      <c r="H272" s="3"/>
      <c r="I272" s="3"/>
      <c r="J272" s="5">
        <v>33</v>
      </c>
      <c r="K272" s="3">
        <f t="shared" si="28"/>
        <v>66</v>
      </c>
      <c r="L272" s="7" t="str">
        <f t="shared" si="29"/>
        <v>B</v>
      </c>
      <c r="M272" s="7" t="str">
        <f t="shared" si="30"/>
        <v>Passed</v>
      </c>
      <c r="N272" s="10"/>
      <c r="O272" s="9"/>
      <c r="P272" s="10"/>
    </row>
    <row r="273" spans="1:16" ht="15.6" x14ac:dyDescent="0.3">
      <c r="A273" s="3">
        <f t="shared" si="31"/>
        <v>44</v>
      </c>
      <c r="B273" s="47" t="s">
        <v>469</v>
      </c>
      <c r="C273" s="440" t="s">
        <v>400</v>
      </c>
      <c r="D273" s="20" t="s">
        <v>1067</v>
      </c>
      <c r="E273" s="20">
        <v>10</v>
      </c>
      <c r="F273" s="20">
        <v>15</v>
      </c>
      <c r="G273" s="24">
        <f t="shared" si="27"/>
        <v>25</v>
      </c>
      <c r="H273" s="24"/>
      <c r="I273" s="24"/>
      <c r="J273" s="20" t="s">
        <v>1938</v>
      </c>
      <c r="K273" s="3"/>
      <c r="L273" s="7"/>
      <c r="M273" s="7"/>
      <c r="N273" s="10"/>
      <c r="O273" s="9"/>
      <c r="P273" s="10"/>
    </row>
    <row r="274" spans="1:16" ht="15.6" x14ac:dyDescent="0.3">
      <c r="A274" s="3">
        <f t="shared" si="31"/>
        <v>45</v>
      </c>
      <c r="B274" s="306" t="s">
        <v>470</v>
      </c>
      <c r="C274" s="307" t="s">
        <v>401</v>
      </c>
      <c r="D274" s="5" t="s">
        <v>941</v>
      </c>
      <c r="E274" s="5">
        <v>8</v>
      </c>
      <c r="F274" s="5">
        <v>23</v>
      </c>
      <c r="G274" s="3">
        <f t="shared" si="27"/>
        <v>31</v>
      </c>
      <c r="H274" s="3"/>
      <c r="I274" s="3"/>
      <c r="J274" s="5">
        <v>31</v>
      </c>
      <c r="K274" s="3">
        <f t="shared" si="28"/>
        <v>62</v>
      </c>
      <c r="L274" s="7" t="str">
        <f t="shared" si="29"/>
        <v>B</v>
      </c>
      <c r="M274" s="7" t="str">
        <f t="shared" si="30"/>
        <v>Passed</v>
      </c>
      <c r="N274" s="10"/>
      <c r="O274" s="9"/>
      <c r="P274" s="10"/>
    </row>
    <row r="275" spans="1:16" ht="15.6" x14ac:dyDescent="0.3">
      <c r="A275" s="3">
        <f t="shared" si="31"/>
        <v>46</v>
      </c>
      <c r="B275" s="47" t="s">
        <v>471</v>
      </c>
      <c r="C275" s="441" t="s">
        <v>402</v>
      </c>
      <c r="D275" s="20" t="s">
        <v>1067</v>
      </c>
      <c r="E275" s="20" t="s">
        <v>1955</v>
      </c>
      <c r="F275" s="20" t="s">
        <v>1955</v>
      </c>
      <c r="G275" s="24" t="s">
        <v>1955</v>
      </c>
      <c r="H275" s="24"/>
      <c r="I275" s="24"/>
      <c r="J275" s="20" t="s">
        <v>1938</v>
      </c>
      <c r="K275" s="3"/>
      <c r="L275" s="7"/>
      <c r="M275" s="7"/>
      <c r="N275" s="10"/>
      <c r="O275" s="9"/>
      <c r="P275" s="10"/>
    </row>
    <row r="276" spans="1:16" ht="15.6" x14ac:dyDescent="0.3">
      <c r="A276" s="3">
        <f t="shared" si="31"/>
        <v>47</v>
      </c>
      <c r="B276" s="306" t="s">
        <v>472</v>
      </c>
      <c r="C276" s="12" t="s">
        <v>403</v>
      </c>
      <c r="D276" s="5" t="s">
        <v>932</v>
      </c>
      <c r="E276" s="5">
        <v>9</v>
      </c>
      <c r="F276" s="5">
        <v>14</v>
      </c>
      <c r="G276" s="3">
        <f t="shared" si="27"/>
        <v>23</v>
      </c>
      <c r="H276" s="3"/>
      <c r="I276" s="3"/>
      <c r="J276" s="5">
        <v>31</v>
      </c>
      <c r="K276" s="3">
        <f t="shared" si="28"/>
        <v>54</v>
      </c>
      <c r="L276" s="7" t="str">
        <f t="shared" si="29"/>
        <v>C</v>
      </c>
      <c r="M276" s="7" t="str">
        <f t="shared" si="30"/>
        <v>Passed</v>
      </c>
      <c r="N276" s="10"/>
      <c r="O276" s="9"/>
      <c r="P276" s="10"/>
    </row>
    <row r="277" spans="1:16" ht="15.6" x14ac:dyDescent="0.3">
      <c r="A277" s="3">
        <f t="shared" si="31"/>
        <v>48</v>
      </c>
      <c r="B277" s="12" t="s">
        <v>473</v>
      </c>
      <c r="C277" s="307" t="s">
        <v>404</v>
      </c>
      <c r="D277" s="5" t="s">
        <v>949</v>
      </c>
      <c r="E277" s="5">
        <v>10</v>
      </c>
      <c r="F277" s="5">
        <v>21</v>
      </c>
      <c r="G277" s="3">
        <f t="shared" si="27"/>
        <v>31</v>
      </c>
      <c r="H277" s="3"/>
      <c r="I277" s="3"/>
      <c r="J277" s="5">
        <v>37</v>
      </c>
      <c r="K277" s="3">
        <f t="shared" si="28"/>
        <v>68</v>
      </c>
      <c r="L277" s="7" t="str">
        <f t="shared" si="29"/>
        <v>B</v>
      </c>
      <c r="M277" s="7" t="str">
        <f t="shared" si="30"/>
        <v>Passed</v>
      </c>
      <c r="N277" s="10"/>
      <c r="O277" s="9"/>
      <c r="P277" s="10"/>
    </row>
    <row r="278" spans="1:16" ht="15.6" x14ac:dyDescent="0.3">
      <c r="A278" s="3">
        <f t="shared" si="31"/>
        <v>49</v>
      </c>
      <c r="B278" s="12" t="s">
        <v>474</v>
      </c>
      <c r="C278" s="307" t="s">
        <v>405</v>
      </c>
      <c r="D278" s="5" t="s">
        <v>936</v>
      </c>
      <c r="E278" s="5">
        <v>10</v>
      </c>
      <c r="F278" s="339">
        <v>21</v>
      </c>
      <c r="G278" s="3">
        <f t="shared" si="27"/>
        <v>31</v>
      </c>
      <c r="H278" s="3"/>
      <c r="I278" s="3"/>
      <c r="J278" s="5">
        <v>19</v>
      </c>
      <c r="K278" s="3">
        <f t="shared" si="28"/>
        <v>50</v>
      </c>
      <c r="L278" s="7" t="str">
        <f t="shared" si="29"/>
        <v>C</v>
      </c>
      <c r="M278" s="7" t="str">
        <f t="shared" si="30"/>
        <v>Passed</v>
      </c>
      <c r="N278" s="10"/>
      <c r="O278" s="9"/>
      <c r="P278" s="10"/>
    </row>
    <row r="279" spans="1:16" ht="15.6" x14ac:dyDescent="0.3">
      <c r="A279" s="3">
        <f t="shared" si="31"/>
        <v>50</v>
      </c>
      <c r="B279" s="12" t="s">
        <v>475</v>
      </c>
      <c r="C279" s="307" t="s">
        <v>406</v>
      </c>
      <c r="D279" s="5" t="s">
        <v>920</v>
      </c>
      <c r="E279" s="5">
        <v>10</v>
      </c>
      <c r="F279" s="5">
        <v>18</v>
      </c>
      <c r="G279" s="3">
        <f t="shared" si="27"/>
        <v>28</v>
      </c>
      <c r="H279" s="3"/>
      <c r="I279" s="3"/>
      <c r="J279" s="5">
        <v>38</v>
      </c>
      <c r="K279" s="3">
        <f t="shared" si="28"/>
        <v>66</v>
      </c>
      <c r="L279" s="7" t="str">
        <f t="shared" si="29"/>
        <v>B</v>
      </c>
      <c r="M279" s="7" t="str">
        <f t="shared" si="30"/>
        <v>Passed</v>
      </c>
      <c r="N279" s="10"/>
      <c r="O279" s="9"/>
      <c r="P279" s="10"/>
    </row>
    <row r="280" spans="1:16" ht="15.6" x14ac:dyDescent="0.3">
      <c r="A280" s="3">
        <f t="shared" si="31"/>
        <v>51</v>
      </c>
      <c r="B280" s="12" t="s">
        <v>476</v>
      </c>
      <c r="C280" s="307" t="s">
        <v>407</v>
      </c>
      <c r="D280" s="5" t="s">
        <v>962</v>
      </c>
      <c r="E280" s="5">
        <v>10</v>
      </c>
      <c r="F280" s="5">
        <v>13</v>
      </c>
      <c r="G280" s="3">
        <f t="shared" si="27"/>
        <v>23</v>
      </c>
      <c r="H280" s="3"/>
      <c r="I280" s="3"/>
      <c r="J280" s="5">
        <v>31</v>
      </c>
      <c r="K280" s="3">
        <f t="shared" si="28"/>
        <v>54</v>
      </c>
      <c r="L280" s="7" t="str">
        <f t="shared" si="29"/>
        <v>C</v>
      </c>
      <c r="M280" s="7" t="str">
        <f t="shared" si="30"/>
        <v>Passed</v>
      </c>
      <c r="N280" s="10"/>
      <c r="O280" s="9"/>
      <c r="P280" s="10"/>
    </row>
    <row r="281" spans="1:16" ht="15.6" x14ac:dyDescent="0.3">
      <c r="A281" s="3">
        <f t="shared" si="31"/>
        <v>52</v>
      </c>
      <c r="B281" s="12" t="s">
        <v>477</v>
      </c>
      <c r="C281" s="307" t="s">
        <v>408</v>
      </c>
      <c r="D281" s="5" t="s">
        <v>937</v>
      </c>
      <c r="E281" s="5">
        <v>10</v>
      </c>
      <c r="F281" s="5">
        <v>19</v>
      </c>
      <c r="G281" s="3">
        <f t="shared" si="27"/>
        <v>29</v>
      </c>
      <c r="H281" s="3"/>
      <c r="I281" s="3"/>
      <c r="J281" s="5">
        <v>22</v>
      </c>
      <c r="K281" s="3">
        <f t="shared" si="28"/>
        <v>51</v>
      </c>
      <c r="L281" s="7" t="str">
        <f t="shared" si="29"/>
        <v>C</v>
      </c>
      <c r="M281" s="7" t="str">
        <f t="shared" si="30"/>
        <v>Passed</v>
      </c>
      <c r="N281" s="10"/>
      <c r="O281" s="9"/>
      <c r="P281" s="10"/>
    </row>
    <row r="282" spans="1:16" ht="15.6" x14ac:dyDescent="0.3">
      <c r="A282" s="3">
        <f t="shared" si="31"/>
        <v>53</v>
      </c>
      <c r="B282" s="12" t="s">
        <v>478</v>
      </c>
      <c r="C282" s="307" t="s">
        <v>409</v>
      </c>
      <c r="D282" s="5" t="s">
        <v>927</v>
      </c>
      <c r="E282" s="5">
        <v>10</v>
      </c>
      <c r="F282" s="5">
        <v>20</v>
      </c>
      <c r="G282" s="3">
        <f t="shared" si="27"/>
        <v>30</v>
      </c>
      <c r="H282" s="3"/>
      <c r="I282" s="3"/>
      <c r="J282" s="5">
        <v>33</v>
      </c>
      <c r="K282" s="3">
        <f t="shared" si="28"/>
        <v>63</v>
      </c>
      <c r="L282" s="7" t="str">
        <f t="shared" si="29"/>
        <v>B</v>
      </c>
      <c r="M282" s="7" t="str">
        <f t="shared" si="30"/>
        <v>Passed</v>
      </c>
      <c r="N282" s="10"/>
      <c r="O282" s="9"/>
      <c r="P282" s="10"/>
    </row>
    <row r="283" spans="1:16" ht="15.6" x14ac:dyDescent="0.3">
      <c r="A283" s="3">
        <f t="shared" si="31"/>
        <v>54</v>
      </c>
      <c r="B283" s="12" t="s">
        <v>479</v>
      </c>
      <c r="C283" s="12" t="s">
        <v>410</v>
      </c>
      <c r="D283" s="5" t="s">
        <v>919</v>
      </c>
      <c r="E283" s="5">
        <v>9</v>
      </c>
      <c r="F283" s="5">
        <v>24</v>
      </c>
      <c r="G283" s="3">
        <f t="shared" si="27"/>
        <v>33</v>
      </c>
      <c r="H283" s="5"/>
      <c r="I283" s="5"/>
      <c r="J283" s="5">
        <v>17</v>
      </c>
      <c r="K283" s="3">
        <f t="shared" si="28"/>
        <v>50</v>
      </c>
      <c r="L283" s="7" t="str">
        <f t="shared" si="29"/>
        <v>C</v>
      </c>
      <c r="M283" s="7" t="str">
        <f t="shared" si="30"/>
        <v>Passed</v>
      </c>
      <c r="N283" s="10"/>
      <c r="O283" s="9"/>
      <c r="P283" s="10"/>
    </row>
    <row r="284" spans="1:16" ht="15.6" x14ac:dyDescent="0.3">
      <c r="A284" s="5">
        <v>55</v>
      </c>
      <c r="B284" s="5"/>
      <c r="C284" s="347" t="s">
        <v>504</v>
      </c>
      <c r="D284" s="339" t="s">
        <v>1067</v>
      </c>
      <c r="E284" s="339"/>
      <c r="F284" s="339">
        <v>22</v>
      </c>
      <c r="G284" s="339">
        <f t="shared" si="27"/>
        <v>22</v>
      </c>
      <c r="H284" s="339"/>
      <c r="I284" s="339"/>
      <c r="J284" s="339" t="s">
        <v>1938</v>
      </c>
      <c r="K284" s="339"/>
      <c r="L284" s="349"/>
      <c r="M284" s="349"/>
      <c r="N284" s="10"/>
      <c r="O284" s="9"/>
      <c r="P284" s="10"/>
    </row>
    <row r="285" spans="1:16" ht="15.6" x14ac:dyDescent="0.3">
      <c r="A285" s="10"/>
      <c r="B285" s="10"/>
      <c r="C285" s="75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9"/>
      <c r="P285" s="10"/>
    </row>
    <row r="286" spans="1:16" ht="15.6" x14ac:dyDescent="0.3">
      <c r="A286" s="10"/>
      <c r="B286" s="10"/>
      <c r="C286" s="75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9"/>
      <c r="P286" s="10"/>
    </row>
    <row r="287" spans="1:16" ht="15.6" x14ac:dyDescent="0.3">
      <c r="A287" s="10"/>
      <c r="B287" s="10"/>
      <c r="C287" s="75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9"/>
      <c r="P287" s="10"/>
    </row>
    <row r="288" spans="1:16" ht="15.6" x14ac:dyDescent="0.3">
      <c r="A288" s="10"/>
      <c r="B288" s="10"/>
      <c r="C288" s="75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9"/>
      <c r="P288" s="10"/>
    </row>
    <row r="289" spans="1:16" ht="15.6" x14ac:dyDescent="0.3">
      <c r="A289" s="10"/>
      <c r="B289" s="10"/>
      <c r="C289" s="75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9"/>
      <c r="P289" s="10"/>
    </row>
    <row r="290" spans="1:16" ht="15.6" x14ac:dyDescent="0.3">
      <c r="A290" s="17" t="s">
        <v>0</v>
      </c>
      <c r="B290" s="18"/>
      <c r="C290" s="71"/>
      <c r="D290" s="18"/>
      <c r="E290" s="18"/>
      <c r="F290" s="18"/>
      <c r="G290" s="18"/>
      <c r="H290" s="67"/>
      <c r="I290" s="67"/>
      <c r="J290" s="18"/>
      <c r="K290" s="18"/>
      <c r="L290" s="10"/>
      <c r="M290" s="10"/>
      <c r="N290" s="10"/>
      <c r="O290" s="9"/>
      <c r="P290" s="10"/>
    </row>
    <row r="291" spans="1:16" ht="15.6" x14ac:dyDescent="0.3">
      <c r="A291" s="503" t="s">
        <v>36</v>
      </c>
      <c r="B291" s="504"/>
      <c r="C291" s="504"/>
      <c r="D291" s="504"/>
      <c r="E291" s="504"/>
      <c r="F291" s="504"/>
      <c r="G291" s="504"/>
      <c r="H291" s="504"/>
      <c r="I291" s="67"/>
      <c r="J291" s="18"/>
      <c r="K291" s="18"/>
      <c r="L291" s="10"/>
      <c r="M291" s="10"/>
      <c r="N291" s="10"/>
      <c r="O291" s="9"/>
      <c r="P291" s="10"/>
    </row>
    <row r="292" spans="1:16" ht="15.6" x14ac:dyDescent="0.3">
      <c r="A292" s="503" t="s">
        <v>362</v>
      </c>
      <c r="B292" s="504"/>
      <c r="C292" s="504"/>
      <c r="D292" s="504"/>
      <c r="E292" s="504"/>
      <c r="F292" s="504"/>
      <c r="G292" s="504"/>
      <c r="H292" s="504"/>
      <c r="I292" s="67"/>
      <c r="J292" s="18"/>
      <c r="K292" s="18"/>
      <c r="L292" s="19"/>
      <c r="M292" s="10"/>
      <c r="N292" s="10"/>
      <c r="O292" s="9"/>
      <c r="P292" s="10"/>
    </row>
    <row r="293" spans="1:16" ht="15.6" x14ac:dyDescent="0.3">
      <c r="A293" s="20" t="s">
        <v>1</v>
      </c>
      <c r="B293" s="21"/>
      <c r="C293" s="86" t="s">
        <v>414</v>
      </c>
      <c r="D293" s="87"/>
      <c r="E293" s="87"/>
      <c r="F293" s="87"/>
      <c r="G293" s="87"/>
      <c r="H293" s="87"/>
      <c r="I293" s="87"/>
      <c r="J293" s="87"/>
      <c r="K293" s="18"/>
      <c r="L293" s="19"/>
      <c r="M293" s="10"/>
      <c r="N293" s="10"/>
      <c r="O293" s="9"/>
      <c r="P293" s="10"/>
    </row>
    <row r="294" spans="1:16" ht="15.6" x14ac:dyDescent="0.3">
      <c r="A294" s="20" t="s">
        <v>3</v>
      </c>
      <c r="B294" s="21"/>
      <c r="C294" s="88" t="s">
        <v>54</v>
      </c>
      <c r="D294" s="89"/>
      <c r="E294" s="89"/>
      <c r="F294" s="89"/>
      <c r="G294" s="89"/>
      <c r="H294" s="89"/>
      <c r="I294" s="89"/>
      <c r="J294" s="89"/>
      <c r="K294" s="18"/>
      <c r="L294" s="19"/>
      <c r="M294" s="10"/>
      <c r="N294" s="10"/>
      <c r="O294" s="9"/>
      <c r="P294" s="10"/>
    </row>
    <row r="295" spans="1:16" ht="15.6" x14ac:dyDescent="0.3">
      <c r="A295" s="20" t="s">
        <v>4</v>
      </c>
      <c r="B295" s="21"/>
      <c r="C295" s="86" t="s">
        <v>55</v>
      </c>
      <c r="D295" s="87"/>
      <c r="E295" s="87"/>
      <c r="F295" s="87"/>
      <c r="G295" s="87"/>
      <c r="H295" s="87"/>
      <c r="I295" s="87"/>
      <c r="J295" s="87"/>
      <c r="K295" s="18"/>
      <c r="L295" s="19"/>
      <c r="M295" s="10"/>
      <c r="N295" s="10"/>
      <c r="O295" s="9"/>
      <c r="P295" s="10"/>
    </row>
    <row r="296" spans="1:16" ht="15.6" x14ac:dyDescent="0.3">
      <c r="A296" s="20" t="s">
        <v>5</v>
      </c>
      <c r="B296" s="21"/>
      <c r="C296" s="86">
        <v>3</v>
      </c>
      <c r="D296" s="87"/>
      <c r="E296" s="87"/>
      <c r="F296" s="87"/>
      <c r="G296" s="87"/>
      <c r="H296" s="87"/>
      <c r="I296" s="87"/>
      <c r="J296" s="87"/>
      <c r="K296" s="18"/>
      <c r="L296" s="19"/>
      <c r="M296" s="10"/>
      <c r="N296" s="10"/>
      <c r="O296" s="9"/>
      <c r="P296" s="10"/>
    </row>
    <row r="297" spans="1:16" ht="15.6" x14ac:dyDescent="0.3">
      <c r="A297" s="508" t="s">
        <v>6</v>
      </c>
      <c r="B297" s="509"/>
      <c r="C297" s="301" t="s">
        <v>413</v>
      </c>
      <c r="D297" s="87"/>
      <c r="E297" s="87"/>
      <c r="F297" s="87"/>
      <c r="G297" s="87"/>
      <c r="H297" s="87"/>
      <c r="I297" s="87"/>
      <c r="J297" s="87"/>
      <c r="K297" s="18"/>
      <c r="L297" s="19"/>
      <c r="M297" s="10"/>
      <c r="N297" s="10"/>
      <c r="O297" s="9"/>
      <c r="P297" s="10"/>
    </row>
    <row r="298" spans="1:16" ht="16.2" x14ac:dyDescent="0.35">
      <c r="A298" s="508" t="s">
        <v>7</v>
      </c>
      <c r="B298" s="509"/>
      <c r="C298" s="72"/>
      <c r="D298" s="18"/>
      <c r="E298" s="22"/>
      <c r="F298" s="18"/>
      <c r="G298" s="18"/>
      <c r="H298" s="67"/>
      <c r="I298" s="67"/>
      <c r="J298" s="18"/>
      <c r="K298" s="18"/>
      <c r="L298" s="19"/>
      <c r="M298" s="10"/>
      <c r="N298" s="10"/>
      <c r="O298" s="9"/>
      <c r="P298" s="10"/>
    </row>
    <row r="299" spans="1:16" ht="68.400000000000006" x14ac:dyDescent="0.3">
      <c r="A299" s="24" t="s">
        <v>8</v>
      </c>
      <c r="B299" s="24" t="s">
        <v>9</v>
      </c>
      <c r="C299" s="73" t="s">
        <v>10</v>
      </c>
      <c r="D299" s="26" t="s">
        <v>11</v>
      </c>
      <c r="E299" s="27" t="s">
        <v>12</v>
      </c>
      <c r="F299" s="27" t="s">
        <v>13</v>
      </c>
      <c r="G299" s="27" t="s">
        <v>14</v>
      </c>
      <c r="H299" s="27" t="s">
        <v>208</v>
      </c>
      <c r="I299" s="27" t="s">
        <v>209</v>
      </c>
      <c r="J299" s="27" t="s">
        <v>15</v>
      </c>
      <c r="K299" s="27" t="s">
        <v>39</v>
      </c>
      <c r="L299" s="19"/>
      <c r="M299" s="10"/>
      <c r="N299" s="10"/>
      <c r="O299" s="9"/>
      <c r="P299" s="10"/>
    </row>
    <row r="300" spans="1:16" ht="15.6" x14ac:dyDescent="0.3">
      <c r="A300" s="24"/>
      <c r="B300" s="24"/>
      <c r="C300" s="74"/>
      <c r="D300" s="3"/>
      <c r="E300" s="3"/>
      <c r="F300" s="3"/>
      <c r="G300" s="3"/>
      <c r="H300" s="3"/>
      <c r="I300" s="3"/>
      <c r="J300" s="3"/>
      <c r="K300" s="3"/>
      <c r="L300" s="23"/>
      <c r="M300" s="10"/>
      <c r="N300" s="10"/>
      <c r="O300" s="9"/>
      <c r="P300" s="10"/>
    </row>
    <row r="301" spans="1:16" ht="15.6" x14ac:dyDescent="0.3">
      <c r="A301" s="3"/>
      <c r="B301" s="10"/>
      <c r="C301" s="75"/>
      <c r="D301" s="5"/>
      <c r="E301" s="10"/>
      <c r="F301" s="10"/>
      <c r="G301" s="10"/>
      <c r="H301" s="10"/>
      <c r="I301" s="10"/>
      <c r="J301" s="10"/>
      <c r="K301" s="10"/>
      <c r="L301" s="34" t="s">
        <v>17</v>
      </c>
      <c r="M301" s="34" t="s">
        <v>18</v>
      </c>
      <c r="N301" s="8"/>
      <c r="O301" s="9"/>
      <c r="P301" s="10"/>
    </row>
    <row r="302" spans="1:16" ht="15.6" x14ac:dyDescent="0.3">
      <c r="A302" s="3">
        <f t="shared" ref="A302:A333" si="32">ROW(A1)</f>
        <v>1</v>
      </c>
      <c r="B302" s="306" t="s">
        <v>431</v>
      </c>
      <c r="C302" s="307" t="s">
        <v>365</v>
      </c>
      <c r="D302" s="5" t="s">
        <v>1565</v>
      </c>
      <c r="E302" s="3">
        <v>10</v>
      </c>
      <c r="F302" s="3">
        <v>16</v>
      </c>
      <c r="G302" s="3">
        <f>SUM(E302:F302)</f>
        <v>26</v>
      </c>
      <c r="H302" s="3"/>
      <c r="I302" s="3"/>
      <c r="J302" s="3">
        <v>30</v>
      </c>
      <c r="K302" s="3">
        <f>SUM(G302:J302)</f>
        <v>56</v>
      </c>
      <c r="L302" s="7" t="str">
        <f t="shared" ref="L302:L355" si="33">IF(K302&gt;=80,"A",IF(K302&gt;=70,"B+",IF(K302&gt;=60,"B",IF(K302&gt;=55,"C+",IF(K302&gt;=50,"C",IF(K302&gt;=45,"D+",IF(K302&gt;=40,"D","F")))))))</f>
        <v>C+</v>
      </c>
      <c r="M302" s="7" t="str">
        <f t="shared" ref="M302:M355" si="34">IF(K302&gt;=50,"Passed","Failed")</f>
        <v>Passed</v>
      </c>
      <c r="N302" s="7"/>
      <c r="O302" s="9"/>
      <c r="P302" s="10"/>
    </row>
    <row r="303" spans="1:16" ht="31.2" x14ac:dyDescent="0.3">
      <c r="A303" s="3">
        <f t="shared" si="32"/>
        <v>2</v>
      </c>
      <c r="B303" s="306" t="s">
        <v>586</v>
      </c>
      <c r="C303" s="308" t="s">
        <v>366</v>
      </c>
      <c r="D303" s="5" t="s">
        <v>1584</v>
      </c>
      <c r="E303" s="3">
        <v>10</v>
      </c>
      <c r="F303" s="3">
        <v>10</v>
      </c>
      <c r="G303" s="3">
        <f t="shared" ref="G303:G355" si="35">SUM(E303:F303)</f>
        <v>20</v>
      </c>
      <c r="H303" s="3"/>
      <c r="I303" s="3"/>
      <c r="J303" s="3">
        <v>31</v>
      </c>
      <c r="K303" s="3">
        <f t="shared" ref="K303:K355" si="36">SUM(G303:J303)</f>
        <v>51</v>
      </c>
      <c r="L303" s="7" t="str">
        <f t="shared" si="33"/>
        <v>C</v>
      </c>
      <c r="M303" s="7" t="str">
        <f t="shared" si="34"/>
        <v>Passed</v>
      </c>
      <c r="N303" s="8" t="s">
        <v>19</v>
      </c>
      <c r="O303" s="9"/>
      <c r="P303" s="10"/>
    </row>
    <row r="304" spans="1:16" ht="15.6" x14ac:dyDescent="0.3">
      <c r="A304" s="3">
        <f t="shared" si="32"/>
        <v>3</v>
      </c>
      <c r="B304" s="306" t="s">
        <v>432</v>
      </c>
      <c r="C304" s="309" t="s">
        <v>367</v>
      </c>
      <c r="D304" s="5" t="s">
        <v>1577</v>
      </c>
      <c r="E304" s="3">
        <v>10</v>
      </c>
      <c r="F304" s="3">
        <v>11</v>
      </c>
      <c r="G304" s="3">
        <f t="shared" si="35"/>
        <v>21</v>
      </c>
      <c r="H304" s="3"/>
      <c r="I304" s="3"/>
      <c r="J304" s="3">
        <v>32</v>
      </c>
      <c r="K304" s="3">
        <f t="shared" si="36"/>
        <v>53</v>
      </c>
      <c r="L304" s="7" t="str">
        <f t="shared" si="33"/>
        <v>C</v>
      </c>
      <c r="M304" s="7" t="str">
        <f t="shared" si="34"/>
        <v>Passed</v>
      </c>
      <c r="N304" s="7" t="s">
        <v>20</v>
      </c>
      <c r="O304" s="9">
        <f>COUNT(G302:G355)</f>
        <v>54</v>
      </c>
      <c r="P304" s="10"/>
    </row>
    <row r="305" spans="1:22" ht="15.6" x14ac:dyDescent="0.3">
      <c r="A305" s="3">
        <f t="shared" si="32"/>
        <v>4</v>
      </c>
      <c r="B305" s="306" t="s">
        <v>433</v>
      </c>
      <c r="C305" s="310" t="s">
        <v>368</v>
      </c>
      <c r="D305" s="5" t="s">
        <v>1607</v>
      </c>
      <c r="E305" s="3">
        <v>9</v>
      </c>
      <c r="F305" s="3">
        <v>18</v>
      </c>
      <c r="G305" s="3">
        <f t="shared" si="35"/>
        <v>27</v>
      </c>
      <c r="H305" s="3"/>
      <c r="I305" s="3"/>
      <c r="J305" s="3">
        <v>20</v>
      </c>
      <c r="K305" s="3">
        <f t="shared" si="36"/>
        <v>47</v>
      </c>
      <c r="L305" s="7" t="str">
        <f t="shared" si="33"/>
        <v>D+</v>
      </c>
      <c r="M305" s="7" t="str">
        <f t="shared" si="34"/>
        <v>Failed</v>
      </c>
      <c r="N305" s="7" t="s">
        <v>21</v>
      </c>
      <c r="O305" s="9">
        <f>COUNT(J302:J355)</f>
        <v>54</v>
      </c>
      <c r="P305" s="10"/>
    </row>
    <row r="306" spans="1:22" ht="15.6" x14ac:dyDescent="0.3">
      <c r="A306" s="3">
        <f t="shared" si="32"/>
        <v>5</v>
      </c>
      <c r="B306" s="306" t="s">
        <v>434</v>
      </c>
      <c r="C306" s="310" t="s">
        <v>606</v>
      </c>
      <c r="D306" s="5" t="s">
        <v>1566</v>
      </c>
      <c r="E306" s="3">
        <v>9</v>
      </c>
      <c r="F306" s="3">
        <v>20</v>
      </c>
      <c r="G306" s="3">
        <f t="shared" si="35"/>
        <v>29</v>
      </c>
      <c r="H306" s="3"/>
      <c r="I306" s="3"/>
      <c r="J306" s="3">
        <v>30</v>
      </c>
      <c r="K306" s="3">
        <f t="shared" si="36"/>
        <v>59</v>
      </c>
      <c r="L306" s="7" t="str">
        <f t="shared" si="33"/>
        <v>C+</v>
      </c>
      <c r="M306" s="7" t="str">
        <f t="shared" si="34"/>
        <v>Passed</v>
      </c>
      <c r="N306" s="7" t="s">
        <v>22</v>
      </c>
      <c r="O306" s="9">
        <f>O304-O305</f>
        <v>0</v>
      </c>
      <c r="P306" s="10"/>
    </row>
    <row r="307" spans="1:22" ht="15.6" x14ac:dyDescent="0.3">
      <c r="A307" s="3">
        <f t="shared" si="32"/>
        <v>6</v>
      </c>
      <c r="B307" s="306" t="s">
        <v>544</v>
      </c>
      <c r="C307" s="309" t="s">
        <v>369</v>
      </c>
      <c r="D307" s="5" t="s">
        <v>1587</v>
      </c>
      <c r="E307" s="3">
        <v>10</v>
      </c>
      <c r="F307" s="3">
        <v>15</v>
      </c>
      <c r="G307" s="3">
        <f t="shared" si="35"/>
        <v>25</v>
      </c>
      <c r="H307" s="3"/>
      <c r="I307" s="3"/>
      <c r="J307" s="5">
        <v>31</v>
      </c>
      <c r="K307" s="3">
        <f t="shared" si="36"/>
        <v>56</v>
      </c>
      <c r="L307" s="7" t="str">
        <f t="shared" si="33"/>
        <v>C+</v>
      </c>
      <c r="M307" s="7" t="str">
        <f t="shared" si="34"/>
        <v>Passed</v>
      </c>
      <c r="N307" s="7" t="s">
        <v>23</v>
      </c>
      <c r="O307" s="9">
        <f>COUNTIF(M302:M355,"Passed")</f>
        <v>26</v>
      </c>
      <c r="P307" s="10"/>
    </row>
    <row r="308" spans="1:22" ht="15.6" x14ac:dyDescent="0.3">
      <c r="A308" s="3">
        <f t="shared" si="32"/>
        <v>7</v>
      </c>
      <c r="B308" s="306" t="s">
        <v>562</v>
      </c>
      <c r="C308" s="309" t="s">
        <v>370</v>
      </c>
      <c r="D308" s="5" t="s">
        <v>1590</v>
      </c>
      <c r="E308" s="5">
        <v>10</v>
      </c>
      <c r="F308" s="5">
        <v>9</v>
      </c>
      <c r="G308" s="3">
        <f t="shared" si="35"/>
        <v>19</v>
      </c>
      <c r="H308" s="3"/>
      <c r="I308" s="3"/>
      <c r="J308" s="5">
        <v>15</v>
      </c>
      <c r="K308" s="3">
        <f t="shared" si="36"/>
        <v>34</v>
      </c>
      <c r="L308" s="7" t="str">
        <f t="shared" si="33"/>
        <v>F</v>
      </c>
      <c r="M308" s="7" t="str">
        <f t="shared" si="34"/>
        <v>Failed</v>
      </c>
      <c r="N308" s="7" t="s">
        <v>24</v>
      </c>
      <c r="O308" s="29">
        <f>O307/O305%</f>
        <v>48.148148148148145</v>
      </c>
      <c r="P308" s="10"/>
    </row>
    <row r="309" spans="1:22" ht="15.6" x14ac:dyDescent="0.3">
      <c r="A309" s="3">
        <f t="shared" si="32"/>
        <v>8</v>
      </c>
      <c r="B309" s="306" t="s">
        <v>435</v>
      </c>
      <c r="C309" s="310" t="s">
        <v>595</v>
      </c>
      <c r="D309" s="5" t="s">
        <v>1573</v>
      </c>
      <c r="E309" s="5">
        <v>8</v>
      </c>
      <c r="F309" s="5">
        <v>20</v>
      </c>
      <c r="G309" s="3">
        <f t="shared" si="35"/>
        <v>28</v>
      </c>
      <c r="H309" s="3"/>
      <c r="I309" s="3"/>
      <c r="J309" s="5">
        <v>30</v>
      </c>
      <c r="K309" s="3">
        <f t="shared" si="36"/>
        <v>58</v>
      </c>
      <c r="L309" s="7" t="str">
        <f t="shared" si="33"/>
        <v>C+</v>
      </c>
      <c r="M309" s="7" t="str">
        <f t="shared" si="34"/>
        <v>Passed</v>
      </c>
      <c r="N309" s="10" t="s">
        <v>25</v>
      </c>
      <c r="O309" s="9">
        <f>COUNTIF(M302:M355,"failed")</f>
        <v>28</v>
      </c>
      <c r="P309" s="10"/>
    </row>
    <row r="310" spans="1:22" ht="15.6" x14ac:dyDescent="0.3">
      <c r="A310" s="3">
        <f t="shared" si="32"/>
        <v>9</v>
      </c>
      <c r="B310" s="306" t="s">
        <v>436</v>
      </c>
      <c r="C310" s="309" t="s">
        <v>371</v>
      </c>
      <c r="D310" s="5" t="s">
        <v>1601</v>
      </c>
      <c r="E310" s="5">
        <v>10</v>
      </c>
      <c r="F310" s="5">
        <v>16</v>
      </c>
      <c r="G310" s="3">
        <f t="shared" si="35"/>
        <v>26</v>
      </c>
      <c r="H310" s="3"/>
      <c r="I310" s="3"/>
      <c r="J310" s="5">
        <v>45</v>
      </c>
      <c r="K310" s="3">
        <f t="shared" si="36"/>
        <v>71</v>
      </c>
      <c r="L310" s="7" t="str">
        <f t="shared" si="33"/>
        <v>B+</v>
      </c>
      <c r="M310" s="7" t="str">
        <f t="shared" si="34"/>
        <v>Passed</v>
      </c>
      <c r="N310" s="10" t="s">
        <v>26</v>
      </c>
      <c r="O310" s="29">
        <f>O309/O305%</f>
        <v>51.851851851851848</v>
      </c>
      <c r="P310" s="10"/>
    </row>
    <row r="311" spans="1:22" ht="15.6" x14ac:dyDescent="0.3">
      <c r="A311" s="3">
        <f t="shared" si="32"/>
        <v>10</v>
      </c>
      <c r="B311" s="306" t="s">
        <v>437</v>
      </c>
      <c r="C311" s="310" t="s">
        <v>372</v>
      </c>
      <c r="D311" s="5" t="s">
        <v>1588</v>
      </c>
      <c r="E311" s="5">
        <v>10</v>
      </c>
      <c r="F311" s="5">
        <v>10</v>
      </c>
      <c r="G311" s="3">
        <f t="shared" si="35"/>
        <v>20</v>
      </c>
      <c r="H311" s="3"/>
      <c r="I311" s="3"/>
      <c r="J311" s="5">
        <v>19</v>
      </c>
      <c r="K311" s="3">
        <f t="shared" si="36"/>
        <v>39</v>
      </c>
      <c r="L311" s="7" t="str">
        <f t="shared" si="33"/>
        <v>F</v>
      </c>
      <c r="M311" s="7" t="str">
        <f t="shared" si="34"/>
        <v>Failed</v>
      </c>
      <c r="N311" s="10" t="s">
        <v>27</v>
      </c>
      <c r="O311" s="29">
        <f>AVERAGE(K302:K355)</f>
        <v>47.166666666666664</v>
      </c>
      <c r="P311" s="10"/>
    </row>
    <row r="312" spans="1:22" ht="15.6" x14ac:dyDescent="0.3">
      <c r="A312" s="3">
        <f t="shared" si="32"/>
        <v>11</v>
      </c>
      <c r="B312" s="306" t="s">
        <v>438</v>
      </c>
      <c r="C312" s="307" t="s">
        <v>373</v>
      </c>
      <c r="D312" s="5" t="s">
        <v>1570</v>
      </c>
      <c r="E312" s="5">
        <v>10</v>
      </c>
      <c r="F312" s="5">
        <v>23</v>
      </c>
      <c r="G312" s="3">
        <f t="shared" si="35"/>
        <v>33</v>
      </c>
      <c r="H312" s="3"/>
      <c r="I312" s="3"/>
      <c r="J312" s="5">
        <v>37</v>
      </c>
      <c r="K312" s="3">
        <f t="shared" si="36"/>
        <v>70</v>
      </c>
      <c r="L312" s="7" t="str">
        <f t="shared" si="33"/>
        <v>B+</v>
      </c>
      <c r="M312" s="7" t="str">
        <f t="shared" si="34"/>
        <v>Passed</v>
      </c>
      <c r="N312" s="10"/>
      <c r="O312" s="9"/>
      <c r="P312" s="10"/>
    </row>
    <row r="313" spans="1:22" ht="15.6" x14ac:dyDescent="0.3">
      <c r="A313" s="3">
        <f t="shared" si="32"/>
        <v>12</v>
      </c>
      <c r="B313" s="306" t="s">
        <v>439</v>
      </c>
      <c r="C313" s="307" t="s">
        <v>565</v>
      </c>
      <c r="D313" s="5" t="s">
        <v>1557</v>
      </c>
      <c r="E313" s="5">
        <v>10</v>
      </c>
      <c r="F313" s="5">
        <v>12</v>
      </c>
      <c r="G313" s="3">
        <f t="shared" si="35"/>
        <v>22</v>
      </c>
      <c r="H313" s="3"/>
      <c r="I313" s="3"/>
      <c r="J313" s="5">
        <v>30</v>
      </c>
      <c r="K313" s="3">
        <f t="shared" si="36"/>
        <v>52</v>
      </c>
      <c r="L313" s="7" t="str">
        <f t="shared" si="33"/>
        <v>C</v>
      </c>
      <c r="M313" s="7" t="str">
        <f t="shared" si="34"/>
        <v>Passed</v>
      </c>
      <c r="N313" s="10"/>
      <c r="O313" s="9" t="s">
        <v>28</v>
      </c>
      <c r="P313" s="10" t="s">
        <v>29</v>
      </c>
      <c r="Q313" t="s">
        <v>30</v>
      </c>
      <c r="R313" t="s">
        <v>31</v>
      </c>
      <c r="S313" t="s">
        <v>32</v>
      </c>
      <c r="T313" t="s">
        <v>33</v>
      </c>
      <c r="U313" t="s">
        <v>34</v>
      </c>
      <c r="V313" t="s">
        <v>35</v>
      </c>
    </row>
    <row r="314" spans="1:22" ht="15.6" x14ac:dyDescent="0.3">
      <c r="A314" s="3">
        <f t="shared" si="32"/>
        <v>13</v>
      </c>
      <c r="B314" s="306" t="s">
        <v>440</v>
      </c>
      <c r="C314" s="310" t="s">
        <v>374</v>
      </c>
      <c r="D314" s="5" t="s">
        <v>1579</v>
      </c>
      <c r="E314" s="5">
        <v>9</v>
      </c>
      <c r="F314" s="5">
        <v>19</v>
      </c>
      <c r="G314" s="3">
        <f t="shared" si="35"/>
        <v>28</v>
      </c>
      <c r="H314" s="3"/>
      <c r="I314" s="3"/>
      <c r="J314" s="5">
        <v>38</v>
      </c>
      <c r="K314" s="3">
        <f t="shared" si="36"/>
        <v>66</v>
      </c>
      <c r="L314" s="7" t="str">
        <f t="shared" si="33"/>
        <v>B</v>
      </c>
      <c r="M314" s="7" t="str">
        <f t="shared" si="34"/>
        <v>Passed</v>
      </c>
      <c r="N314" s="10"/>
      <c r="O314" s="9">
        <f>COUNTIF(L302:L355,"A")</f>
        <v>0</v>
      </c>
      <c r="P314" s="10">
        <f>COUNTIF(L302:L355,"B+")</f>
        <v>3</v>
      </c>
      <c r="Q314">
        <f>COUNTIF(L302:L355,"B")</f>
        <v>3</v>
      </c>
      <c r="R314">
        <f>COUNTIF(L302:L355,"C+")</f>
        <v>7</v>
      </c>
      <c r="S314">
        <f>COUNTIF(L302:L355,"C")</f>
        <v>13</v>
      </c>
      <c r="T314">
        <f>COUNTIF(L302:L355,"D+")</f>
        <v>5</v>
      </c>
      <c r="U314">
        <f>COUNTIF(L302:L355,"D")</f>
        <v>8</v>
      </c>
      <c r="V314">
        <f>COUNTIF(L302:L355,"F")</f>
        <v>15</v>
      </c>
    </row>
    <row r="315" spans="1:22" ht="15.6" x14ac:dyDescent="0.3">
      <c r="A315" s="3">
        <f t="shared" si="32"/>
        <v>14</v>
      </c>
      <c r="B315" s="306" t="s">
        <v>441</v>
      </c>
      <c r="C315" s="310" t="s">
        <v>375</v>
      </c>
      <c r="D315" s="5" t="s">
        <v>1596</v>
      </c>
      <c r="E315" s="5">
        <v>8</v>
      </c>
      <c r="F315" s="5">
        <v>12</v>
      </c>
      <c r="G315" s="3">
        <f t="shared" si="35"/>
        <v>20</v>
      </c>
      <c r="H315" s="3"/>
      <c r="I315" s="3"/>
      <c r="J315" s="5">
        <v>24</v>
      </c>
      <c r="K315" s="3">
        <f t="shared" si="36"/>
        <v>44</v>
      </c>
      <c r="L315" s="7" t="str">
        <f t="shared" si="33"/>
        <v>D</v>
      </c>
      <c r="M315" s="7" t="str">
        <f t="shared" si="34"/>
        <v>Failed</v>
      </c>
      <c r="N315" s="10"/>
      <c r="O315" s="9"/>
      <c r="P315" s="10"/>
    </row>
    <row r="316" spans="1:22" ht="15.6" x14ac:dyDescent="0.3">
      <c r="A316" s="3">
        <f t="shared" si="32"/>
        <v>15</v>
      </c>
      <c r="B316" s="306" t="s">
        <v>442</v>
      </c>
      <c r="C316" s="310" t="s">
        <v>376</v>
      </c>
      <c r="D316" s="5" t="s">
        <v>1572</v>
      </c>
      <c r="E316" s="5">
        <v>9</v>
      </c>
      <c r="F316" s="5">
        <v>13</v>
      </c>
      <c r="G316" s="3">
        <f t="shared" si="35"/>
        <v>22</v>
      </c>
      <c r="H316" s="3"/>
      <c r="I316" s="3"/>
      <c r="J316" s="5">
        <v>13</v>
      </c>
      <c r="K316" s="3">
        <f t="shared" si="36"/>
        <v>35</v>
      </c>
      <c r="L316" s="7" t="str">
        <f t="shared" si="33"/>
        <v>F</v>
      </c>
      <c r="M316" s="7" t="str">
        <f t="shared" si="34"/>
        <v>Failed</v>
      </c>
      <c r="N316" s="11"/>
      <c r="O316" s="9"/>
      <c r="P316" s="10"/>
    </row>
    <row r="317" spans="1:22" ht="15.6" x14ac:dyDescent="0.3">
      <c r="A317" s="3">
        <f t="shared" si="32"/>
        <v>16</v>
      </c>
      <c r="B317" s="306" t="s">
        <v>443</v>
      </c>
      <c r="C317" s="307" t="s">
        <v>377</v>
      </c>
      <c r="D317" s="5" t="s">
        <v>1574</v>
      </c>
      <c r="E317" s="5">
        <v>8</v>
      </c>
      <c r="F317" s="5">
        <v>20</v>
      </c>
      <c r="G317" s="3">
        <f t="shared" si="35"/>
        <v>28</v>
      </c>
      <c r="H317" s="3"/>
      <c r="I317" s="3"/>
      <c r="J317" s="5">
        <v>30</v>
      </c>
      <c r="K317" s="3">
        <f t="shared" si="36"/>
        <v>58</v>
      </c>
      <c r="L317" s="7" t="str">
        <f t="shared" si="33"/>
        <v>C+</v>
      </c>
      <c r="M317" s="7" t="str">
        <f t="shared" si="34"/>
        <v>Passed</v>
      </c>
      <c r="N317" s="10"/>
      <c r="O317" s="9"/>
      <c r="P317" s="10"/>
    </row>
    <row r="318" spans="1:22" ht="15.6" x14ac:dyDescent="0.3">
      <c r="A318" s="3">
        <f t="shared" si="32"/>
        <v>17</v>
      </c>
      <c r="B318" s="306" t="s">
        <v>444</v>
      </c>
      <c r="C318" s="310" t="s">
        <v>378</v>
      </c>
      <c r="D318" s="5" t="s">
        <v>1583</v>
      </c>
      <c r="E318" s="5">
        <v>9</v>
      </c>
      <c r="F318" s="5">
        <v>15</v>
      </c>
      <c r="G318" s="3">
        <f t="shared" si="35"/>
        <v>24</v>
      </c>
      <c r="H318" s="3"/>
      <c r="I318" s="3"/>
      <c r="J318" s="5">
        <v>30</v>
      </c>
      <c r="K318" s="3">
        <f t="shared" si="36"/>
        <v>54</v>
      </c>
      <c r="L318" s="7" t="str">
        <f t="shared" si="33"/>
        <v>C</v>
      </c>
      <c r="M318" s="7" t="str">
        <f t="shared" si="34"/>
        <v>Passed</v>
      </c>
      <c r="N318" s="10"/>
      <c r="O318" s="9"/>
      <c r="P318" s="10"/>
    </row>
    <row r="319" spans="1:22" ht="15.6" x14ac:dyDescent="0.3">
      <c r="A319" s="3">
        <f t="shared" si="32"/>
        <v>18</v>
      </c>
      <c r="B319" s="306" t="s">
        <v>445</v>
      </c>
      <c r="C319" s="308" t="s">
        <v>379</v>
      </c>
      <c r="D319" s="5" t="s">
        <v>1582</v>
      </c>
      <c r="E319" s="5">
        <v>9</v>
      </c>
      <c r="F319" s="5">
        <v>14</v>
      </c>
      <c r="G319" s="3">
        <f t="shared" si="35"/>
        <v>23</v>
      </c>
      <c r="H319" s="3"/>
      <c r="I319" s="3"/>
      <c r="J319" s="5">
        <v>21</v>
      </c>
      <c r="K319" s="3">
        <f t="shared" si="36"/>
        <v>44</v>
      </c>
      <c r="L319" s="7" t="str">
        <f t="shared" si="33"/>
        <v>D</v>
      </c>
      <c r="M319" s="7" t="str">
        <f t="shared" si="34"/>
        <v>Failed</v>
      </c>
      <c r="N319" s="10"/>
      <c r="O319" s="9"/>
      <c r="P319" s="10"/>
    </row>
    <row r="320" spans="1:22" ht="15.6" x14ac:dyDescent="0.3">
      <c r="A320" s="3">
        <f t="shared" si="32"/>
        <v>19</v>
      </c>
      <c r="B320" s="306" t="s">
        <v>446</v>
      </c>
      <c r="C320" s="310" t="s">
        <v>602</v>
      </c>
      <c r="D320" s="5" t="s">
        <v>1585</v>
      </c>
      <c r="E320" s="5">
        <v>10</v>
      </c>
      <c r="F320" s="339">
        <v>16</v>
      </c>
      <c r="G320" s="3">
        <f t="shared" si="35"/>
        <v>26</v>
      </c>
      <c r="H320" s="3"/>
      <c r="I320" s="3"/>
      <c r="J320" s="5">
        <v>24</v>
      </c>
      <c r="K320" s="3">
        <f t="shared" si="36"/>
        <v>50</v>
      </c>
      <c r="L320" s="7" t="str">
        <f t="shared" si="33"/>
        <v>C</v>
      </c>
      <c r="M320" s="7" t="str">
        <f t="shared" si="34"/>
        <v>Passed</v>
      </c>
      <c r="N320" s="10"/>
      <c r="O320" s="9"/>
      <c r="P320" s="10"/>
    </row>
    <row r="321" spans="1:16" ht="15.6" x14ac:dyDescent="0.3">
      <c r="A321" s="3">
        <f t="shared" si="32"/>
        <v>20</v>
      </c>
      <c r="B321" s="306" t="s">
        <v>448</v>
      </c>
      <c r="C321" s="308" t="s">
        <v>380</v>
      </c>
      <c r="D321" s="5" t="s">
        <v>1562</v>
      </c>
      <c r="E321" s="5">
        <v>9</v>
      </c>
      <c r="F321" s="339">
        <v>21</v>
      </c>
      <c r="G321" s="3">
        <f t="shared" si="35"/>
        <v>30</v>
      </c>
      <c r="H321" s="3"/>
      <c r="I321" s="3"/>
      <c r="J321" s="5">
        <v>20</v>
      </c>
      <c r="K321" s="3">
        <f t="shared" si="36"/>
        <v>50</v>
      </c>
      <c r="L321" s="7" t="str">
        <f t="shared" si="33"/>
        <v>C</v>
      </c>
      <c r="M321" s="7" t="str">
        <f t="shared" si="34"/>
        <v>Passed</v>
      </c>
      <c r="N321" s="10"/>
      <c r="O321" s="9"/>
      <c r="P321" s="10"/>
    </row>
    <row r="322" spans="1:16" ht="15.6" x14ac:dyDescent="0.3">
      <c r="A322" s="3">
        <f t="shared" si="32"/>
        <v>21</v>
      </c>
      <c r="B322" s="306" t="s">
        <v>447</v>
      </c>
      <c r="C322" s="310" t="s">
        <v>381</v>
      </c>
      <c r="D322" s="5" t="s">
        <v>1560</v>
      </c>
      <c r="E322" s="5">
        <v>10</v>
      </c>
      <c r="F322" s="5">
        <v>16</v>
      </c>
      <c r="G322" s="3">
        <f t="shared" si="35"/>
        <v>26</v>
      </c>
      <c r="H322" s="3"/>
      <c r="I322" s="3"/>
      <c r="J322" s="5">
        <v>20</v>
      </c>
      <c r="K322" s="3">
        <f t="shared" si="36"/>
        <v>46</v>
      </c>
      <c r="L322" s="7" t="str">
        <f t="shared" si="33"/>
        <v>D+</v>
      </c>
      <c r="M322" s="7" t="str">
        <f t="shared" si="34"/>
        <v>Failed</v>
      </c>
      <c r="N322" s="10"/>
      <c r="O322" s="9"/>
      <c r="P322" s="10"/>
    </row>
    <row r="323" spans="1:16" ht="15.6" x14ac:dyDescent="0.3">
      <c r="A323" s="3">
        <f t="shared" si="32"/>
        <v>22</v>
      </c>
      <c r="B323" s="313" t="s">
        <v>570</v>
      </c>
      <c r="C323" s="309" t="s">
        <v>382</v>
      </c>
      <c r="D323" s="5" t="s">
        <v>1567</v>
      </c>
      <c r="E323" s="5">
        <v>8</v>
      </c>
      <c r="F323" s="5">
        <v>19</v>
      </c>
      <c r="G323" s="3">
        <f t="shared" si="35"/>
        <v>27</v>
      </c>
      <c r="H323" s="3"/>
      <c r="I323" s="3"/>
      <c r="J323" s="5">
        <v>16</v>
      </c>
      <c r="K323" s="3">
        <f t="shared" si="36"/>
        <v>43</v>
      </c>
      <c r="L323" s="7" t="str">
        <f t="shared" si="33"/>
        <v>D</v>
      </c>
      <c r="M323" s="7" t="str">
        <f t="shared" si="34"/>
        <v>Failed</v>
      </c>
      <c r="N323" s="10"/>
      <c r="O323" s="9"/>
      <c r="P323" s="10"/>
    </row>
    <row r="324" spans="1:16" ht="15.6" x14ac:dyDescent="0.3">
      <c r="A324" s="3">
        <f t="shared" si="32"/>
        <v>23</v>
      </c>
      <c r="B324" s="306" t="s">
        <v>449</v>
      </c>
      <c r="C324" s="309" t="s">
        <v>383</v>
      </c>
      <c r="D324" s="5" t="s">
        <v>1603</v>
      </c>
      <c r="E324" s="5">
        <v>10</v>
      </c>
      <c r="F324" s="5">
        <v>10</v>
      </c>
      <c r="G324" s="3">
        <f t="shared" si="35"/>
        <v>20</v>
      </c>
      <c r="H324" s="3"/>
      <c r="I324" s="3"/>
      <c r="J324" s="5">
        <v>4</v>
      </c>
      <c r="K324" s="3">
        <f t="shared" si="36"/>
        <v>24</v>
      </c>
      <c r="L324" s="7" t="str">
        <f t="shared" si="33"/>
        <v>F</v>
      </c>
      <c r="M324" s="7" t="str">
        <f t="shared" si="34"/>
        <v>Failed</v>
      </c>
      <c r="N324" s="10"/>
      <c r="O324" s="9"/>
      <c r="P324" s="10"/>
    </row>
    <row r="325" spans="1:16" ht="15.6" x14ac:dyDescent="0.3">
      <c r="A325" s="3">
        <f t="shared" si="32"/>
        <v>24</v>
      </c>
      <c r="B325" s="306" t="s">
        <v>450</v>
      </c>
      <c r="C325" s="309" t="s">
        <v>384</v>
      </c>
      <c r="D325" s="5" t="s">
        <v>1604</v>
      </c>
      <c r="E325" s="5">
        <v>10</v>
      </c>
      <c r="F325" s="5">
        <v>21</v>
      </c>
      <c r="G325" s="3">
        <f t="shared" si="35"/>
        <v>31</v>
      </c>
      <c r="H325" s="3"/>
      <c r="I325" s="3"/>
      <c r="J325" s="5">
        <v>8</v>
      </c>
      <c r="K325" s="3">
        <f t="shared" si="36"/>
        <v>39</v>
      </c>
      <c r="L325" s="7" t="str">
        <f t="shared" si="33"/>
        <v>F</v>
      </c>
      <c r="M325" s="7" t="str">
        <f t="shared" si="34"/>
        <v>Failed</v>
      </c>
      <c r="N325" s="10"/>
      <c r="O325" s="9"/>
      <c r="P325" s="10"/>
    </row>
    <row r="326" spans="1:16" ht="15.6" x14ac:dyDescent="0.3">
      <c r="A326" s="3">
        <f t="shared" si="32"/>
        <v>25</v>
      </c>
      <c r="B326" s="306" t="s">
        <v>451</v>
      </c>
      <c r="C326" s="310" t="s">
        <v>385</v>
      </c>
      <c r="D326" s="5" t="s">
        <v>1594</v>
      </c>
      <c r="E326" s="5">
        <v>9</v>
      </c>
      <c r="F326" s="5">
        <v>6</v>
      </c>
      <c r="G326" s="3">
        <f t="shared" si="35"/>
        <v>15</v>
      </c>
      <c r="H326" s="3"/>
      <c r="I326" s="3"/>
      <c r="J326" s="5">
        <v>20</v>
      </c>
      <c r="K326" s="3">
        <f t="shared" si="36"/>
        <v>35</v>
      </c>
      <c r="L326" s="7" t="str">
        <f t="shared" si="33"/>
        <v>F</v>
      </c>
      <c r="M326" s="7" t="str">
        <f t="shared" si="34"/>
        <v>Failed</v>
      </c>
      <c r="N326" s="10"/>
      <c r="O326" s="9"/>
      <c r="P326" s="10"/>
    </row>
    <row r="327" spans="1:16" ht="15.6" x14ac:dyDescent="0.3">
      <c r="A327" s="3">
        <f t="shared" si="32"/>
        <v>26</v>
      </c>
      <c r="B327" s="306" t="s">
        <v>452</v>
      </c>
      <c r="C327" s="310" t="s">
        <v>386</v>
      </c>
      <c r="D327" s="5" t="s">
        <v>1568</v>
      </c>
      <c r="E327" s="5">
        <v>10</v>
      </c>
      <c r="F327" s="5">
        <v>22</v>
      </c>
      <c r="G327" s="3">
        <f t="shared" si="35"/>
        <v>32</v>
      </c>
      <c r="H327" s="3"/>
      <c r="I327" s="3"/>
      <c r="J327" s="5">
        <v>13</v>
      </c>
      <c r="K327" s="3">
        <f t="shared" si="36"/>
        <v>45</v>
      </c>
      <c r="L327" s="7" t="str">
        <f t="shared" si="33"/>
        <v>D+</v>
      </c>
      <c r="M327" s="7" t="str">
        <f t="shared" si="34"/>
        <v>Failed</v>
      </c>
      <c r="N327" s="10"/>
      <c r="O327" s="9"/>
      <c r="P327" s="10"/>
    </row>
    <row r="328" spans="1:16" ht="15.6" x14ac:dyDescent="0.3">
      <c r="A328" s="3">
        <f t="shared" si="32"/>
        <v>27</v>
      </c>
      <c r="B328" s="306" t="s">
        <v>453</v>
      </c>
      <c r="C328" s="309" t="s">
        <v>387</v>
      </c>
      <c r="D328" s="5" t="s">
        <v>1569</v>
      </c>
      <c r="E328" s="5">
        <v>10</v>
      </c>
      <c r="F328" s="5">
        <v>14</v>
      </c>
      <c r="G328" s="3">
        <f t="shared" si="35"/>
        <v>24</v>
      </c>
      <c r="H328" s="3"/>
      <c r="I328" s="3"/>
      <c r="J328" s="5">
        <v>30</v>
      </c>
      <c r="K328" s="3">
        <f t="shared" si="36"/>
        <v>54</v>
      </c>
      <c r="L328" s="7" t="str">
        <f t="shared" si="33"/>
        <v>C</v>
      </c>
      <c r="M328" s="7" t="str">
        <f t="shared" si="34"/>
        <v>Passed</v>
      </c>
      <c r="N328" s="10"/>
      <c r="O328" s="9"/>
      <c r="P328" s="10"/>
    </row>
    <row r="329" spans="1:16" ht="15.6" x14ac:dyDescent="0.3">
      <c r="A329" s="3">
        <f t="shared" si="32"/>
        <v>28</v>
      </c>
      <c r="B329" s="388">
        <v>400123</v>
      </c>
      <c r="C329" s="310" t="s">
        <v>388</v>
      </c>
      <c r="D329" s="5" t="s">
        <v>1559</v>
      </c>
      <c r="E329" s="5">
        <v>8</v>
      </c>
      <c r="F329" s="5">
        <v>9</v>
      </c>
      <c r="G329" s="3">
        <f t="shared" si="35"/>
        <v>17</v>
      </c>
      <c r="H329" s="3"/>
      <c r="I329" s="3"/>
      <c r="J329" s="5">
        <v>16</v>
      </c>
      <c r="K329" s="3">
        <f t="shared" si="36"/>
        <v>33</v>
      </c>
      <c r="L329" s="7" t="str">
        <f t="shared" si="33"/>
        <v>F</v>
      </c>
      <c r="M329" s="7" t="str">
        <f t="shared" si="34"/>
        <v>Failed</v>
      </c>
      <c r="N329" s="10"/>
      <c r="O329" s="9"/>
      <c r="P329" s="10"/>
    </row>
    <row r="330" spans="1:16" ht="15.6" x14ac:dyDescent="0.3">
      <c r="A330" s="3">
        <f t="shared" si="32"/>
        <v>29</v>
      </c>
      <c r="B330" s="306" t="s">
        <v>454</v>
      </c>
      <c r="C330" s="309" t="s">
        <v>771</v>
      </c>
      <c r="D330" s="5" t="s">
        <v>1561</v>
      </c>
      <c r="E330" s="5">
        <v>10</v>
      </c>
      <c r="F330" s="5">
        <v>17</v>
      </c>
      <c r="G330" s="3">
        <f t="shared" si="35"/>
        <v>27</v>
      </c>
      <c r="H330" s="3"/>
      <c r="I330" s="3"/>
      <c r="J330" s="5">
        <v>34</v>
      </c>
      <c r="K330" s="3">
        <f t="shared" si="36"/>
        <v>61</v>
      </c>
      <c r="L330" s="7" t="str">
        <f t="shared" si="33"/>
        <v>B</v>
      </c>
      <c r="M330" s="7" t="str">
        <f t="shared" si="34"/>
        <v>Passed</v>
      </c>
      <c r="N330" s="10"/>
      <c r="O330" s="9"/>
      <c r="P330" s="10"/>
    </row>
    <row r="331" spans="1:16" ht="15.6" x14ac:dyDescent="0.3">
      <c r="A331" s="3">
        <f t="shared" si="32"/>
        <v>30</v>
      </c>
      <c r="B331" s="306" t="s">
        <v>455</v>
      </c>
      <c r="C331" s="307" t="s">
        <v>389</v>
      </c>
      <c r="D331" s="5" t="s">
        <v>1586</v>
      </c>
      <c r="E331" s="5">
        <v>10</v>
      </c>
      <c r="F331" s="5">
        <v>23</v>
      </c>
      <c r="G331" s="3">
        <f t="shared" si="35"/>
        <v>33</v>
      </c>
      <c r="H331" s="3"/>
      <c r="I331" s="3"/>
      <c r="J331" s="5">
        <v>38</v>
      </c>
      <c r="K331" s="3">
        <f t="shared" si="36"/>
        <v>71</v>
      </c>
      <c r="L331" s="7" t="str">
        <f t="shared" si="33"/>
        <v>B+</v>
      </c>
      <c r="M331" s="7" t="str">
        <f t="shared" si="34"/>
        <v>Passed</v>
      </c>
      <c r="N331" s="10"/>
      <c r="O331" s="9"/>
      <c r="P331" s="10"/>
    </row>
    <row r="332" spans="1:16" ht="15.6" x14ac:dyDescent="0.3">
      <c r="A332" s="3">
        <f t="shared" si="32"/>
        <v>31</v>
      </c>
      <c r="B332" s="306" t="s">
        <v>456</v>
      </c>
      <c r="C332" s="310" t="s">
        <v>535</v>
      </c>
      <c r="D332" s="5" t="s">
        <v>1605</v>
      </c>
      <c r="E332" s="5">
        <v>9</v>
      </c>
      <c r="F332" s="5">
        <v>12</v>
      </c>
      <c r="G332" s="3">
        <f t="shared" si="35"/>
        <v>21</v>
      </c>
      <c r="H332" s="3"/>
      <c r="I332" s="3"/>
      <c r="J332" s="5">
        <v>13</v>
      </c>
      <c r="K332" s="3">
        <f t="shared" si="36"/>
        <v>34</v>
      </c>
      <c r="L332" s="7" t="str">
        <f t="shared" si="33"/>
        <v>F</v>
      </c>
      <c r="M332" s="7" t="str">
        <f t="shared" si="34"/>
        <v>Failed</v>
      </c>
      <c r="N332" s="10"/>
      <c r="O332" s="9"/>
      <c r="P332" s="10"/>
    </row>
    <row r="333" spans="1:16" ht="15.6" x14ac:dyDescent="0.3">
      <c r="A333" s="3">
        <f t="shared" si="32"/>
        <v>32</v>
      </c>
      <c r="B333" s="306" t="s">
        <v>457</v>
      </c>
      <c r="C333" s="307" t="s">
        <v>390</v>
      </c>
      <c r="D333" s="5" t="s">
        <v>1580</v>
      </c>
      <c r="E333" s="5">
        <v>9</v>
      </c>
      <c r="F333" s="5">
        <v>10</v>
      </c>
      <c r="G333" s="3">
        <f t="shared" si="35"/>
        <v>19</v>
      </c>
      <c r="H333" s="3"/>
      <c r="I333" s="3"/>
      <c r="J333" s="5">
        <v>35</v>
      </c>
      <c r="K333" s="3">
        <f t="shared" si="36"/>
        <v>54</v>
      </c>
      <c r="L333" s="7" t="str">
        <f t="shared" si="33"/>
        <v>C</v>
      </c>
      <c r="M333" s="7" t="str">
        <f t="shared" si="34"/>
        <v>Passed</v>
      </c>
      <c r="N333" s="10"/>
      <c r="O333" s="9"/>
      <c r="P333" s="10"/>
    </row>
    <row r="334" spans="1:16" ht="15.6" x14ac:dyDescent="0.3">
      <c r="A334" s="3">
        <f t="shared" ref="A334:A355" si="37">ROW(A33)</f>
        <v>33</v>
      </c>
      <c r="B334" s="306" t="s">
        <v>458</v>
      </c>
      <c r="C334" s="307" t="s">
        <v>391</v>
      </c>
      <c r="D334" s="5" t="s">
        <v>1598</v>
      </c>
      <c r="E334" s="5">
        <v>10</v>
      </c>
      <c r="F334" s="5">
        <v>18</v>
      </c>
      <c r="G334" s="3">
        <f t="shared" si="35"/>
        <v>28</v>
      </c>
      <c r="H334" s="3"/>
      <c r="I334" s="3"/>
      <c r="J334" s="5">
        <v>9</v>
      </c>
      <c r="K334" s="3">
        <f t="shared" si="36"/>
        <v>37</v>
      </c>
      <c r="L334" s="7" t="str">
        <f t="shared" si="33"/>
        <v>F</v>
      </c>
      <c r="M334" s="7" t="str">
        <f t="shared" si="34"/>
        <v>Failed</v>
      </c>
      <c r="N334" s="10"/>
      <c r="O334" s="9"/>
      <c r="P334" s="10"/>
    </row>
    <row r="335" spans="1:16" ht="15.6" x14ac:dyDescent="0.3">
      <c r="A335" s="3">
        <f t="shared" si="37"/>
        <v>34</v>
      </c>
      <c r="B335" s="306" t="s">
        <v>459</v>
      </c>
      <c r="C335" s="309" t="s">
        <v>557</v>
      </c>
      <c r="D335" s="5" t="s">
        <v>1602</v>
      </c>
      <c r="E335" s="5">
        <v>10</v>
      </c>
      <c r="F335" s="5">
        <v>21</v>
      </c>
      <c r="G335" s="3">
        <f t="shared" si="35"/>
        <v>31</v>
      </c>
      <c r="H335" s="3"/>
      <c r="I335" s="3"/>
      <c r="J335" s="5">
        <v>14</v>
      </c>
      <c r="K335" s="3">
        <f t="shared" si="36"/>
        <v>45</v>
      </c>
      <c r="L335" s="7" t="str">
        <f t="shared" si="33"/>
        <v>D+</v>
      </c>
      <c r="M335" s="7" t="str">
        <f t="shared" si="34"/>
        <v>Failed</v>
      </c>
      <c r="N335" s="10"/>
      <c r="O335" s="9"/>
      <c r="P335" s="10"/>
    </row>
    <row r="336" spans="1:16" ht="15.6" x14ac:dyDescent="0.3">
      <c r="A336" s="3">
        <f t="shared" si="37"/>
        <v>35</v>
      </c>
      <c r="B336" s="306" t="s">
        <v>460</v>
      </c>
      <c r="C336" s="309" t="s">
        <v>392</v>
      </c>
      <c r="D336" s="5" t="s">
        <v>1599</v>
      </c>
      <c r="E336" s="5">
        <v>10</v>
      </c>
      <c r="F336" s="339">
        <v>19</v>
      </c>
      <c r="G336" s="3">
        <f t="shared" si="35"/>
        <v>29</v>
      </c>
      <c r="H336" s="3"/>
      <c r="I336" s="3"/>
      <c r="J336" s="5">
        <v>21</v>
      </c>
      <c r="K336" s="3">
        <f t="shared" si="36"/>
        <v>50</v>
      </c>
      <c r="L336" s="7" t="str">
        <f t="shared" si="33"/>
        <v>C</v>
      </c>
      <c r="M336" s="7" t="str">
        <f t="shared" si="34"/>
        <v>Passed</v>
      </c>
      <c r="N336" s="10"/>
      <c r="O336" s="9"/>
      <c r="P336" s="10"/>
    </row>
    <row r="337" spans="1:16" ht="15.6" x14ac:dyDescent="0.3">
      <c r="A337" s="3">
        <f t="shared" si="37"/>
        <v>36</v>
      </c>
      <c r="B337" s="306" t="s">
        <v>461</v>
      </c>
      <c r="C337" s="309" t="s">
        <v>393</v>
      </c>
      <c r="D337" s="5" t="s">
        <v>1595</v>
      </c>
      <c r="E337" s="5">
        <v>10</v>
      </c>
      <c r="F337" s="5">
        <v>12</v>
      </c>
      <c r="G337" s="3">
        <f t="shared" si="35"/>
        <v>22</v>
      </c>
      <c r="H337" s="3"/>
      <c r="I337" s="3"/>
      <c r="J337" s="5">
        <v>30</v>
      </c>
      <c r="K337" s="3">
        <f t="shared" si="36"/>
        <v>52</v>
      </c>
      <c r="L337" s="7" t="str">
        <f t="shared" si="33"/>
        <v>C</v>
      </c>
      <c r="M337" s="7" t="str">
        <f t="shared" si="34"/>
        <v>Passed</v>
      </c>
      <c r="N337" s="10"/>
      <c r="O337" s="9"/>
      <c r="P337" s="10"/>
    </row>
    <row r="338" spans="1:16" ht="15.6" x14ac:dyDescent="0.3">
      <c r="A338" s="3">
        <f t="shared" si="37"/>
        <v>37</v>
      </c>
      <c r="B338" s="306" t="s">
        <v>462</v>
      </c>
      <c r="C338" s="309" t="s">
        <v>394</v>
      </c>
      <c r="D338" s="5" t="s">
        <v>1593</v>
      </c>
      <c r="E338" s="5">
        <v>10</v>
      </c>
      <c r="F338" s="5">
        <v>12</v>
      </c>
      <c r="G338" s="3">
        <f t="shared" si="35"/>
        <v>22</v>
      </c>
      <c r="H338" s="3"/>
      <c r="I338" s="3"/>
      <c r="J338" s="5">
        <v>21</v>
      </c>
      <c r="K338" s="3">
        <f t="shared" si="36"/>
        <v>43</v>
      </c>
      <c r="L338" s="7" t="str">
        <f t="shared" si="33"/>
        <v>D</v>
      </c>
      <c r="M338" s="7" t="str">
        <f t="shared" si="34"/>
        <v>Failed</v>
      </c>
      <c r="N338" s="10"/>
      <c r="O338" s="9"/>
      <c r="P338" s="10"/>
    </row>
    <row r="339" spans="1:16" ht="15.6" x14ac:dyDescent="0.3">
      <c r="A339" s="3">
        <f t="shared" si="37"/>
        <v>38</v>
      </c>
      <c r="B339" s="306" t="s">
        <v>463</v>
      </c>
      <c r="C339" s="309" t="s">
        <v>395</v>
      </c>
      <c r="D339" s="5" t="s">
        <v>1563</v>
      </c>
      <c r="E339" s="65">
        <v>7.5</v>
      </c>
      <c r="F339" s="5">
        <v>10</v>
      </c>
      <c r="G339" s="3">
        <f t="shared" si="35"/>
        <v>17.5</v>
      </c>
      <c r="H339" s="3"/>
      <c r="I339" s="3"/>
      <c r="J339" s="5">
        <v>15</v>
      </c>
      <c r="K339" s="6">
        <f t="shared" si="36"/>
        <v>32.5</v>
      </c>
      <c r="L339" s="7" t="str">
        <f t="shared" si="33"/>
        <v>F</v>
      </c>
      <c r="M339" s="7" t="str">
        <f t="shared" si="34"/>
        <v>Failed</v>
      </c>
      <c r="N339" s="10"/>
      <c r="O339" s="9"/>
      <c r="P339" s="10"/>
    </row>
    <row r="340" spans="1:16" ht="15.6" x14ac:dyDescent="0.3">
      <c r="A340" s="3">
        <f t="shared" si="37"/>
        <v>39</v>
      </c>
      <c r="B340" s="306" t="s">
        <v>464</v>
      </c>
      <c r="C340" s="309" t="s">
        <v>396</v>
      </c>
      <c r="D340" s="5" t="s">
        <v>1564</v>
      </c>
      <c r="E340" s="5">
        <v>10</v>
      </c>
      <c r="F340" s="5">
        <v>23</v>
      </c>
      <c r="G340" s="3">
        <f t="shared" si="35"/>
        <v>33</v>
      </c>
      <c r="H340" s="3"/>
      <c r="I340" s="3"/>
      <c r="J340" s="5">
        <v>21</v>
      </c>
      <c r="K340" s="3">
        <f t="shared" si="36"/>
        <v>54</v>
      </c>
      <c r="L340" s="7" t="str">
        <f t="shared" si="33"/>
        <v>C</v>
      </c>
      <c r="M340" s="7" t="str">
        <f t="shared" si="34"/>
        <v>Passed</v>
      </c>
      <c r="N340" s="10"/>
      <c r="O340" s="9"/>
      <c r="P340" s="10"/>
    </row>
    <row r="341" spans="1:16" ht="15.6" x14ac:dyDescent="0.3">
      <c r="A341" s="3">
        <f t="shared" si="37"/>
        <v>40</v>
      </c>
      <c r="B341" s="306" t="s">
        <v>465</v>
      </c>
      <c r="C341" s="309" t="s">
        <v>397</v>
      </c>
      <c r="D341" s="5" t="s">
        <v>1558</v>
      </c>
      <c r="E341" s="5">
        <v>10</v>
      </c>
      <c r="F341" s="5">
        <v>11</v>
      </c>
      <c r="G341" s="3">
        <f t="shared" si="35"/>
        <v>21</v>
      </c>
      <c r="H341" s="3"/>
      <c r="I341" s="3"/>
      <c r="J341" s="5">
        <v>24</v>
      </c>
      <c r="K341" s="3">
        <f t="shared" si="36"/>
        <v>45</v>
      </c>
      <c r="L341" s="7" t="str">
        <f t="shared" si="33"/>
        <v>D+</v>
      </c>
      <c r="M341" s="7" t="str">
        <f t="shared" si="34"/>
        <v>Failed</v>
      </c>
      <c r="N341" s="10"/>
      <c r="O341" s="9"/>
      <c r="P341" s="10"/>
    </row>
    <row r="342" spans="1:16" ht="15.6" x14ac:dyDescent="0.3">
      <c r="A342" s="3">
        <f t="shared" si="37"/>
        <v>41</v>
      </c>
      <c r="B342" s="306" t="s">
        <v>466</v>
      </c>
      <c r="C342" s="307" t="s">
        <v>398</v>
      </c>
      <c r="D342" s="5" t="s">
        <v>1600</v>
      </c>
      <c r="E342" s="5">
        <v>9</v>
      </c>
      <c r="F342" s="5">
        <v>7</v>
      </c>
      <c r="G342" s="3">
        <f t="shared" si="35"/>
        <v>16</v>
      </c>
      <c r="H342" s="3"/>
      <c r="I342" s="3"/>
      <c r="J342" s="5">
        <v>15</v>
      </c>
      <c r="K342" s="3">
        <f t="shared" si="36"/>
        <v>31</v>
      </c>
      <c r="L342" s="7" t="str">
        <f t="shared" si="33"/>
        <v>F</v>
      </c>
      <c r="M342" s="7" t="str">
        <f t="shared" si="34"/>
        <v>Failed</v>
      </c>
      <c r="N342" s="10"/>
      <c r="O342" s="9"/>
      <c r="P342" s="10"/>
    </row>
    <row r="343" spans="1:16" ht="15.6" x14ac:dyDescent="0.3">
      <c r="A343" s="3">
        <f t="shared" si="37"/>
        <v>42</v>
      </c>
      <c r="B343" s="306" t="s">
        <v>467</v>
      </c>
      <c r="C343" s="307" t="s">
        <v>399</v>
      </c>
      <c r="D343" s="5" t="s">
        <v>1578</v>
      </c>
      <c r="E343" s="5">
        <v>10</v>
      </c>
      <c r="F343" s="5">
        <v>17</v>
      </c>
      <c r="G343" s="3">
        <f t="shared" si="35"/>
        <v>27</v>
      </c>
      <c r="H343" s="3"/>
      <c r="I343" s="3"/>
      <c r="J343" s="5">
        <v>32</v>
      </c>
      <c r="K343" s="3">
        <f t="shared" si="36"/>
        <v>59</v>
      </c>
      <c r="L343" s="7" t="str">
        <f t="shared" si="33"/>
        <v>C+</v>
      </c>
      <c r="M343" s="7" t="str">
        <f t="shared" si="34"/>
        <v>Passed</v>
      </c>
      <c r="N343" s="10"/>
      <c r="O343" s="9"/>
      <c r="P343" s="10"/>
    </row>
    <row r="344" spans="1:16" ht="15.6" x14ac:dyDescent="0.3">
      <c r="A344" s="3">
        <f t="shared" si="37"/>
        <v>43</v>
      </c>
      <c r="B344" s="306" t="s">
        <v>468</v>
      </c>
      <c r="C344" s="383" t="s">
        <v>552</v>
      </c>
      <c r="D344" s="5" t="s">
        <v>1591</v>
      </c>
      <c r="E344" s="5">
        <v>10</v>
      </c>
      <c r="F344" s="5">
        <v>11</v>
      </c>
      <c r="G344" s="3">
        <f t="shared" si="35"/>
        <v>21</v>
      </c>
      <c r="H344" s="3"/>
      <c r="I344" s="3"/>
      <c r="J344" s="5">
        <v>20</v>
      </c>
      <c r="K344" s="3">
        <f t="shared" si="36"/>
        <v>41</v>
      </c>
      <c r="L344" s="7" t="str">
        <f t="shared" si="33"/>
        <v>D</v>
      </c>
      <c r="M344" s="7" t="str">
        <f t="shared" si="34"/>
        <v>Failed</v>
      </c>
      <c r="N344" s="10"/>
      <c r="O344" s="9"/>
      <c r="P344" s="10"/>
    </row>
    <row r="345" spans="1:16" ht="15.6" x14ac:dyDescent="0.3">
      <c r="A345" s="3">
        <f t="shared" si="37"/>
        <v>44</v>
      </c>
      <c r="B345" s="306" t="s">
        <v>469</v>
      </c>
      <c r="C345" s="308" t="s">
        <v>400</v>
      </c>
      <c r="D345" s="5" t="s">
        <v>1597</v>
      </c>
      <c r="E345" s="5">
        <v>8</v>
      </c>
      <c r="F345" s="5">
        <v>8</v>
      </c>
      <c r="G345" s="3">
        <f t="shared" si="35"/>
        <v>16</v>
      </c>
      <c r="H345" s="3"/>
      <c r="I345" s="3"/>
      <c r="J345" s="5">
        <v>5</v>
      </c>
      <c r="K345" s="3">
        <f t="shared" si="36"/>
        <v>21</v>
      </c>
      <c r="L345" s="7" t="str">
        <f t="shared" si="33"/>
        <v>F</v>
      </c>
      <c r="M345" s="7" t="str">
        <f t="shared" si="34"/>
        <v>Failed</v>
      </c>
      <c r="N345" s="10"/>
      <c r="O345" s="9"/>
      <c r="P345" s="10"/>
    </row>
    <row r="346" spans="1:16" ht="15.6" x14ac:dyDescent="0.3">
      <c r="A346" s="3">
        <f t="shared" si="37"/>
        <v>45</v>
      </c>
      <c r="B346" s="306" t="s">
        <v>470</v>
      </c>
      <c r="C346" s="307" t="s">
        <v>401</v>
      </c>
      <c r="D346" s="5" t="s">
        <v>1592</v>
      </c>
      <c r="E346" s="5">
        <v>10</v>
      </c>
      <c r="F346" s="5">
        <v>10</v>
      </c>
      <c r="G346" s="3">
        <f t="shared" si="35"/>
        <v>20</v>
      </c>
      <c r="H346" s="3"/>
      <c r="I346" s="3"/>
      <c r="J346" s="5">
        <v>17</v>
      </c>
      <c r="K346" s="3">
        <f t="shared" si="36"/>
        <v>37</v>
      </c>
      <c r="L346" s="7" t="str">
        <f t="shared" si="33"/>
        <v>F</v>
      </c>
      <c r="M346" s="7" t="str">
        <f t="shared" si="34"/>
        <v>Failed</v>
      </c>
      <c r="N346" s="10"/>
      <c r="O346" s="9"/>
      <c r="P346" s="10"/>
    </row>
    <row r="347" spans="1:16" ht="15.6" x14ac:dyDescent="0.3">
      <c r="A347" s="3">
        <f t="shared" si="37"/>
        <v>46</v>
      </c>
      <c r="B347" s="306" t="s">
        <v>471</v>
      </c>
      <c r="C347" s="307" t="s">
        <v>402</v>
      </c>
      <c r="D347" s="5" t="s">
        <v>1608</v>
      </c>
      <c r="E347" s="5">
        <v>10</v>
      </c>
      <c r="F347" s="5">
        <v>16</v>
      </c>
      <c r="G347" s="3">
        <f t="shared" si="35"/>
        <v>26</v>
      </c>
      <c r="H347" s="3"/>
      <c r="I347" s="3"/>
      <c r="J347" s="5">
        <v>30</v>
      </c>
      <c r="K347" s="3">
        <f t="shared" si="36"/>
        <v>56</v>
      </c>
      <c r="L347" s="7" t="str">
        <f t="shared" si="33"/>
        <v>C+</v>
      </c>
      <c r="M347" s="7" t="str">
        <f t="shared" si="34"/>
        <v>Passed</v>
      </c>
      <c r="N347" s="10"/>
      <c r="O347" s="9"/>
      <c r="P347" s="10"/>
    </row>
    <row r="348" spans="1:16" ht="15.6" x14ac:dyDescent="0.3">
      <c r="A348" s="3">
        <f t="shared" si="37"/>
        <v>47</v>
      </c>
      <c r="B348" s="306" t="s">
        <v>472</v>
      </c>
      <c r="C348" s="12" t="s">
        <v>403</v>
      </c>
      <c r="D348" s="5" t="s">
        <v>1606</v>
      </c>
      <c r="E348" s="5">
        <v>10</v>
      </c>
      <c r="F348" s="5">
        <v>12</v>
      </c>
      <c r="G348" s="3">
        <f t="shared" si="35"/>
        <v>22</v>
      </c>
      <c r="H348" s="3"/>
      <c r="I348" s="3"/>
      <c r="J348" s="5">
        <v>18</v>
      </c>
      <c r="K348" s="3">
        <f t="shared" si="36"/>
        <v>40</v>
      </c>
      <c r="L348" s="7" t="str">
        <f t="shared" si="33"/>
        <v>D</v>
      </c>
      <c r="M348" s="7" t="str">
        <f t="shared" si="34"/>
        <v>Failed</v>
      </c>
      <c r="N348" s="10"/>
      <c r="O348" s="9"/>
      <c r="P348" s="10"/>
    </row>
    <row r="349" spans="1:16" ht="15.6" x14ac:dyDescent="0.3">
      <c r="A349" s="3">
        <f t="shared" si="37"/>
        <v>48</v>
      </c>
      <c r="B349" s="12" t="s">
        <v>473</v>
      </c>
      <c r="C349" s="307" t="s">
        <v>404</v>
      </c>
      <c r="D349" s="5" t="s">
        <v>1589</v>
      </c>
      <c r="E349" s="5">
        <v>10</v>
      </c>
      <c r="F349" s="339">
        <v>23</v>
      </c>
      <c r="G349" s="3">
        <f t="shared" si="35"/>
        <v>33</v>
      </c>
      <c r="H349" s="3"/>
      <c r="I349" s="3"/>
      <c r="J349" s="5">
        <v>17</v>
      </c>
      <c r="K349" s="3">
        <f t="shared" si="36"/>
        <v>50</v>
      </c>
      <c r="L349" s="7" t="str">
        <f t="shared" si="33"/>
        <v>C</v>
      </c>
      <c r="M349" s="7" t="str">
        <f t="shared" si="34"/>
        <v>Passed</v>
      </c>
      <c r="N349" s="10"/>
      <c r="O349" s="9"/>
      <c r="P349" s="10"/>
    </row>
    <row r="350" spans="1:16" ht="15.6" x14ac:dyDescent="0.3">
      <c r="A350" s="3">
        <f t="shared" si="37"/>
        <v>49</v>
      </c>
      <c r="B350" s="12" t="s">
        <v>474</v>
      </c>
      <c r="C350" s="307" t="s">
        <v>405</v>
      </c>
      <c r="D350" s="5" t="s">
        <v>1571</v>
      </c>
      <c r="E350" s="5">
        <v>10</v>
      </c>
      <c r="F350" s="5">
        <v>14</v>
      </c>
      <c r="G350" s="3">
        <f t="shared" si="35"/>
        <v>24</v>
      </c>
      <c r="H350" s="3"/>
      <c r="I350" s="3"/>
      <c r="J350" s="5">
        <v>12</v>
      </c>
      <c r="K350" s="3">
        <f t="shared" si="36"/>
        <v>36</v>
      </c>
      <c r="L350" s="7" t="str">
        <f t="shared" si="33"/>
        <v>F</v>
      </c>
      <c r="M350" s="7" t="str">
        <f t="shared" si="34"/>
        <v>Failed</v>
      </c>
      <c r="N350" s="10"/>
      <c r="O350" s="9"/>
      <c r="P350" s="10"/>
    </row>
    <row r="351" spans="1:16" ht="15.6" x14ac:dyDescent="0.3">
      <c r="A351" s="3">
        <f t="shared" si="37"/>
        <v>50</v>
      </c>
      <c r="B351" s="12" t="s">
        <v>475</v>
      </c>
      <c r="C351" s="307" t="s">
        <v>406</v>
      </c>
      <c r="D351" s="5" t="s">
        <v>1576</v>
      </c>
      <c r="E351" s="65">
        <v>7.5</v>
      </c>
      <c r="F351" s="5">
        <v>12</v>
      </c>
      <c r="G351" s="3">
        <f t="shared" si="35"/>
        <v>19.5</v>
      </c>
      <c r="H351" s="3"/>
      <c r="I351" s="3"/>
      <c r="J351" s="5">
        <v>31</v>
      </c>
      <c r="K351" s="6">
        <f t="shared" si="36"/>
        <v>50.5</v>
      </c>
      <c r="L351" s="7" t="str">
        <f t="shared" si="33"/>
        <v>C</v>
      </c>
      <c r="M351" s="7" t="str">
        <f t="shared" si="34"/>
        <v>Passed</v>
      </c>
      <c r="N351" s="10"/>
      <c r="O351" s="9"/>
      <c r="P351" s="10"/>
    </row>
    <row r="352" spans="1:16" ht="15.6" x14ac:dyDescent="0.3">
      <c r="A352" s="3">
        <f t="shared" si="37"/>
        <v>51</v>
      </c>
      <c r="B352" s="12" t="s">
        <v>476</v>
      </c>
      <c r="C352" s="307" t="s">
        <v>407</v>
      </c>
      <c r="D352" s="5" t="s">
        <v>1581</v>
      </c>
      <c r="E352" s="5">
        <v>10</v>
      </c>
      <c r="F352" s="5">
        <v>16</v>
      </c>
      <c r="G352" s="3">
        <f t="shared" si="35"/>
        <v>26</v>
      </c>
      <c r="H352" s="3"/>
      <c r="I352" s="3"/>
      <c r="J352" s="5">
        <v>14</v>
      </c>
      <c r="K352" s="3">
        <f t="shared" si="36"/>
        <v>40</v>
      </c>
      <c r="L352" s="7" t="str">
        <f t="shared" si="33"/>
        <v>D</v>
      </c>
      <c r="M352" s="7" t="str">
        <f t="shared" si="34"/>
        <v>Failed</v>
      </c>
      <c r="N352" s="10"/>
      <c r="O352" s="9"/>
      <c r="P352" s="10"/>
    </row>
    <row r="353" spans="1:16" ht="15.6" x14ac:dyDescent="0.3">
      <c r="A353" s="3">
        <f t="shared" si="37"/>
        <v>52</v>
      </c>
      <c r="B353" s="12" t="s">
        <v>477</v>
      </c>
      <c r="C353" s="307" t="s">
        <v>408</v>
      </c>
      <c r="D353" s="5" t="s">
        <v>1575</v>
      </c>
      <c r="E353" s="5">
        <v>10</v>
      </c>
      <c r="F353" s="5">
        <v>12</v>
      </c>
      <c r="G353" s="3">
        <f t="shared" si="35"/>
        <v>22</v>
      </c>
      <c r="H353" s="3"/>
      <c r="I353" s="3"/>
      <c r="J353" s="5">
        <v>21</v>
      </c>
      <c r="K353" s="3">
        <f t="shared" si="36"/>
        <v>43</v>
      </c>
      <c r="L353" s="7" t="str">
        <f t="shared" si="33"/>
        <v>D</v>
      </c>
      <c r="M353" s="7" t="str">
        <f t="shared" si="34"/>
        <v>Failed</v>
      </c>
      <c r="N353" s="10"/>
      <c r="O353" s="9"/>
      <c r="P353" s="10"/>
    </row>
    <row r="354" spans="1:16" ht="15.6" x14ac:dyDescent="0.3">
      <c r="A354" s="3">
        <f t="shared" si="37"/>
        <v>53</v>
      </c>
      <c r="B354" s="12" t="s">
        <v>478</v>
      </c>
      <c r="C354" s="307" t="s">
        <v>409</v>
      </c>
      <c r="D354" s="5" t="s">
        <v>1568</v>
      </c>
      <c r="E354" s="5">
        <v>10</v>
      </c>
      <c r="F354" s="5">
        <v>13</v>
      </c>
      <c r="G354" s="3">
        <f t="shared" si="35"/>
        <v>23</v>
      </c>
      <c r="H354" s="3"/>
      <c r="I354" s="3"/>
      <c r="J354" s="5">
        <v>13</v>
      </c>
      <c r="K354" s="3">
        <f t="shared" si="36"/>
        <v>36</v>
      </c>
      <c r="L354" s="7" t="str">
        <f t="shared" si="33"/>
        <v>F</v>
      </c>
      <c r="M354" s="7" t="str">
        <f t="shared" si="34"/>
        <v>Failed</v>
      </c>
      <c r="N354" s="10"/>
      <c r="O354" s="9"/>
      <c r="P354" s="10"/>
    </row>
    <row r="355" spans="1:16" ht="15.6" x14ac:dyDescent="0.3">
      <c r="A355" s="3">
        <f t="shared" si="37"/>
        <v>54</v>
      </c>
      <c r="B355" s="12" t="s">
        <v>479</v>
      </c>
      <c r="C355" s="12" t="s">
        <v>410</v>
      </c>
      <c r="D355" s="5" t="s">
        <v>1609</v>
      </c>
      <c r="E355" s="5">
        <v>8</v>
      </c>
      <c r="F355" s="5">
        <v>17</v>
      </c>
      <c r="G355" s="3">
        <f t="shared" si="35"/>
        <v>25</v>
      </c>
      <c r="H355" s="5"/>
      <c r="I355" s="5"/>
      <c r="J355" s="5">
        <v>37</v>
      </c>
      <c r="K355" s="3">
        <f t="shared" si="36"/>
        <v>62</v>
      </c>
      <c r="L355" s="7" t="str">
        <f t="shared" si="33"/>
        <v>B</v>
      </c>
      <c r="M355" s="7" t="str">
        <f t="shared" si="34"/>
        <v>Passed</v>
      </c>
      <c r="N355" s="10"/>
      <c r="O355" s="9"/>
      <c r="P355" s="10"/>
    </row>
    <row r="356" spans="1:16" ht="15.6" x14ac:dyDescent="0.3">
      <c r="A356" s="83"/>
      <c r="B356" s="57"/>
      <c r="C356" s="311"/>
      <c r="D356" s="57"/>
      <c r="E356" s="57"/>
      <c r="F356" s="57"/>
      <c r="G356" s="57"/>
      <c r="H356" s="57"/>
      <c r="I356" s="57"/>
      <c r="J356" s="57"/>
      <c r="K356" s="57"/>
      <c r="L356" s="7"/>
      <c r="M356" s="7"/>
      <c r="N356" s="10"/>
      <c r="O356" s="9"/>
      <c r="P356" s="10"/>
    </row>
    <row r="357" spans="1:16" ht="15.6" x14ac:dyDescent="0.3">
      <c r="A357" s="83"/>
      <c r="B357" s="57"/>
      <c r="C357" s="311"/>
      <c r="D357" s="57"/>
      <c r="E357" s="57"/>
      <c r="F357" s="57"/>
      <c r="G357" s="57"/>
      <c r="H357" s="57"/>
      <c r="I357" s="57"/>
      <c r="J357" s="57"/>
      <c r="K357" s="57"/>
      <c r="L357" s="7"/>
      <c r="M357" s="7"/>
      <c r="N357" s="10"/>
      <c r="O357" s="9"/>
      <c r="P357" s="10"/>
    </row>
    <row r="358" spans="1:16" ht="15.6" x14ac:dyDescent="0.3">
      <c r="A358" s="83"/>
      <c r="B358" s="57"/>
      <c r="C358" s="311"/>
      <c r="D358" s="57"/>
      <c r="E358" s="57"/>
      <c r="F358" s="57"/>
      <c r="G358" s="57"/>
      <c r="H358" s="57"/>
      <c r="I358" s="57"/>
      <c r="J358" s="57"/>
      <c r="K358" s="57"/>
      <c r="L358" s="7"/>
      <c r="M358" s="7"/>
      <c r="N358" s="10"/>
      <c r="O358" s="9"/>
      <c r="P358" s="10"/>
    </row>
    <row r="359" spans="1:16" ht="15.6" x14ac:dyDescent="0.3">
      <c r="A359" s="83"/>
      <c r="B359" s="57"/>
      <c r="C359" s="311"/>
      <c r="D359" s="57"/>
      <c r="E359" s="57"/>
      <c r="F359" s="57"/>
      <c r="G359" s="57"/>
      <c r="H359" s="57"/>
      <c r="I359" s="57"/>
      <c r="J359" s="57"/>
      <c r="K359" s="57"/>
      <c r="L359" s="7"/>
      <c r="M359" s="7"/>
      <c r="N359" s="10"/>
      <c r="O359" s="9"/>
      <c r="P359" s="10"/>
    </row>
    <row r="360" spans="1:16" ht="15.6" x14ac:dyDescent="0.3">
      <c r="A360" s="10"/>
      <c r="B360" s="10"/>
      <c r="C360" s="75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9"/>
      <c r="P360" s="10"/>
    </row>
    <row r="361" spans="1:16" ht="15.6" x14ac:dyDescent="0.3">
      <c r="A361" s="17" t="s">
        <v>0</v>
      </c>
      <c r="B361" s="18"/>
      <c r="C361" s="71"/>
      <c r="D361" s="18"/>
      <c r="E361" s="18"/>
      <c r="F361" s="18"/>
      <c r="G361" s="18"/>
      <c r="H361" s="67"/>
      <c r="I361" s="67"/>
      <c r="J361" s="18"/>
      <c r="K361" s="18"/>
      <c r="L361" s="10"/>
      <c r="M361" s="10"/>
      <c r="N361" s="10"/>
      <c r="O361" s="9"/>
      <c r="P361" s="10"/>
    </row>
    <row r="362" spans="1:16" ht="15.6" x14ac:dyDescent="0.3">
      <c r="A362" s="503" t="s">
        <v>36</v>
      </c>
      <c r="B362" s="504"/>
      <c r="C362" s="504"/>
      <c r="D362" s="504"/>
      <c r="E362" s="504"/>
      <c r="F362" s="504"/>
      <c r="G362" s="504"/>
      <c r="H362" s="504"/>
      <c r="I362" s="67"/>
      <c r="J362" s="18"/>
      <c r="K362" s="18"/>
      <c r="L362" s="10"/>
      <c r="M362" s="10"/>
      <c r="N362" s="10"/>
      <c r="O362" s="9"/>
      <c r="P362" s="10"/>
    </row>
    <row r="363" spans="1:16" ht="15.6" x14ac:dyDescent="0.3">
      <c r="A363" s="503" t="s">
        <v>362</v>
      </c>
      <c r="B363" s="504"/>
      <c r="C363" s="504"/>
      <c r="D363" s="504"/>
      <c r="E363" s="504"/>
      <c r="F363" s="504"/>
      <c r="G363" s="504"/>
      <c r="H363" s="504"/>
      <c r="I363" s="67"/>
      <c r="J363" s="18"/>
      <c r="K363" s="18"/>
      <c r="L363" s="19"/>
      <c r="M363" s="10"/>
      <c r="N363" s="10"/>
      <c r="O363" s="9"/>
      <c r="P363" s="10"/>
    </row>
    <row r="364" spans="1:16" ht="15.6" x14ac:dyDescent="0.3">
      <c r="A364" s="20" t="s">
        <v>1</v>
      </c>
      <c r="B364" s="21"/>
      <c r="C364" s="86" t="s">
        <v>414</v>
      </c>
      <c r="D364" s="87"/>
      <c r="E364" s="87"/>
      <c r="F364" s="87"/>
      <c r="G364" s="87"/>
      <c r="H364" s="87"/>
      <c r="I364" s="87"/>
      <c r="J364" s="87"/>
      <c r="K364" s="18"/>
      <c r="L364" s="19"/>
      <c r="M364" s="10"/>
      <c r="N364" s="10"/>
      <c r="O364" s="9"/>
      <c r="P364" s="10"/>
    </row>
    <row r="365" spans="1:16" ht="15.6" x14ac:dyDescent="0.3">
      <c r="A365" s="20" t="s">
        <v>3</v>
      </c>
      <c r="B365" s="21"/>
      <c r="C365" s="88" t="s">
        <v>56</v>
      </c>
      <c r="D365" s="89"/>
      <c r="E365" s="89"/>
      <c r="F365" s="89"/>
      <c r="G365" s="89"/>
      <c r="H365" s="89"/>
      <c r="I365" s="89"/>
      <c r="J365" s="89"/>
      <c r="K365" s="18"/>
      <c r="L365" s="19"/>
      <c r="M365" s="10"/>
      <c r="N365" s="10"/>
      <c r="O365" s="9"/>
      <c r="P365" s="10"/>
    </row>
    <row r="366" spans="1:16" ht="15.6" x14ac:dyDescent="0.3">
      <c r="A366" s="20" t="s">
        <v>4</v>
      </c>
      <c r="B366" s="21"/>
      <c r="C366" s="86" t="s">
        <v>57</v>
      </c>
      <c r="D366" s="87"/>
      <c r="E366" s="87"/>
      <c r="F366" s="87"/>
      <c r="G366" s="87"/>
      <c r="H366" s="87"/>
      <c r="I366" s="87"/>
      <c r="J366" s="87"/>
      <c r="K366" s="18"/>
      <c r="L366" s="19"/>
      <c r="M366" s="10"/>
      <c r="N366" s="10"/>
      <c r="O366" s="9"/>
      <c r="P366" s="10"/>
    </row>
    <row r="367" spans="1:16" ht="15.6" x14ac:dyDescent="0.3">
      <c r="A367" s="20" t="s">
        <v>5</v>
      </c>
      <c r="B367" s="21"/>
      <c r="C367" s="86">
        <v>2</v>
      </c>
      <c r="D367" s="87"/>
      <c r="E367" s="87"/>
      <c r="F367" s="87"/>
      <c r="G367" s="87"/>
      <c r="H367" s="87"/>
      <c r="I367" s="87"/>
      <c r="J367" s="87"/>
      <c r="K367" s="18"/>
      <c r="L367" s="19"/>
      <c r="M367" s="10"/>
      <c r="N367" s="10"/>
      <c r="O367" s="9"/>
      <c r="P367" s="10"/>
    </row>
    <row r="368" spans="1:16" ht="15.6" x14ac:dyDescent="0.3">
      <c r="A368" s="508" t="s">
        <v>6</v>
      </c>
      <c r="B368" s="509"/>
      <c r="C368" s="301" t="s">
        <v>1933</v>
      </c>
      <c r="D368" s="87"/>
      <c r="E368" s="87"/>
      <c r="F368" s="87"/>
      <c r="G368" s="87"/>
      <c r="H368" s="87"/>
      <c r="I368" s="87"/>
      <c r="J368" s="87"/>
      <c r="K368" s="18"/>
      <c r="L368" s="19"/>
      <c r="M368" s="10"/>
      <c r="N368" s="10"/>
      <c r="O368" s="9"/>
      <c r="P368" s="10"/>
    </row>
    <row r="369" spans="1:16" ht="16.2" x14ac:dyDescent="0.35">
      <c r="A369" s="508" t="s">
        <v>7</v>
      </c>
      <c r="B369" s="509"/>
      <c r="C369" s="72"/>
      <c r="D369" s="18"/>
      <c r="E369" s="22"/>
      <c r="F369" s="18"/>
      <c r="G369" s="18"/>
      <c r="H369" s="67"/>
      <c r="I369" s="67"/>
      <c r="J369" s="18"/>
      <c r="K369" s="18"/>
      <c r="L369" s="19"/>
      <c r="M369" s="10"/>
      <c r="N369" s="10"/>
      <c r="O369" s="9"/>
      <c r="P369" s="10"/>
    </row>
    <row r="370" spans="1:16" ht="68.400000000000006" x14ac:dyDescent="0.3">
      <c r="A370" s="24" t="s">
        <v>8</v>
      </c>
      <c r="B370" s="24" t="s">
        <v>9</v>
      </c>
      <c r="C370" s="73" t="s">
        <v>10</v>
      </c>
      <c r="D370" s="26" t="s">
        <v>11</v>
      </c>
      <c r="E370" s="27" t="s">
        <v>12</v>
      </c>
      <c r="F370" s="27" t="s">
        <v>13</v>
      </c>
      <c r="G370" s="27" t="s">
        <v>14</v>
      </c>
      <c r="H370" s="27" t="s">
        <v>210</v>
      </c>
      <c r="I370" s="27" t="s">
        <v>209</v>
      </c>
      <c r="J370" s="27" t="s">
        <v>15</v>
      </c>
      <c r="K370" s="27" t="s">
        <v>16</v>
      </c>
      <c r="L370" s="19"/>
      <c r="M370" s="10"/>
      <c r="N370" s="10"/>
      <c r="O370" s="9"/>
      <c r="P370" s="10"/>
    </row>
    <row r="371" spans="1:16" ht="15.6" x14ac:dyDescent="0.3">
      <c r="A371" s="24"/>
      <c r="B371" s="24"/>
      <c r="C371" s="74"/>
      <c r="D371" s="3"/>
      <c r="E371" s="3"/>
      <c r="F371" s="3"/>
      <c r="G371" s="3"/>
      <c r="H371" s="3"/>
      <c r="I371" s="3"/>
      <c r="J371" s="3"/>
      <c r="K371" s="3"/>
      <c r="L371" s="23"/>
      <c r="M371" s="10"/>
      <c r="N371" s="10"/>
      <c r="O371" s="9"/>
      <c r="P371" s="10"/>
    </row>
    <row r="372" spans="1:16" ht="15.6" x14ac:dyDescent="0.3">
      <c r="A372" s="3"/>
      <c r="B372" s="10"/>
      <c r="C372" s="75"/>
      <c r="D372" s="10"/>
      <c r="E372" s="10"/>
      <c r="F372" s="10"/>
      <c r="G372" s="10"/>
      <c r="H372" s="10"/>
      <c r="I372" s="10"/>
      <c r="J372" s="10"/>
      <c r="K372" s="10"/>
      <c r="L372" s="34" t="s">
        <v>17</v>
      </c>
      <c r="M372" s="34" t="s">
        <v>18</v>
      </c>
      <c r="N372" s="8"/>
      <c r="O372" s="9"/>
      <c r="P372" s="10"/>
    </row>
    <row r="373" spans="1:16" ht="15.6" x14ac:dyDescent="0.3">
      <c r="A373" s="3">
        <f t="shared" ref="A373:A404" si="38">ROW(A1)</f>
        <v>1</v>
      </c>
      <c r="B373" s="306" t="s">
        <v>431</v>
      </c>
      <c r="C373" s="307" t="s">
        <v>365</v>
      </c>
      <c r="D373" s="5" t="s">
        <v>1168</v>
      </c>
      <c r="E373" s="3">
        <v>10</v>
      </c>
      <c r="F373" s="3">
        <v>28</v>
      </c>
      <c r="G373" s="3">
        <f>SUM(E373:F373)</f>
        <v>38</v>
      </c>
      <c r="H373" s="3"/>
      <c r="I373" s="3"/>
      <c r="J373" s="6">
        <v>45</v>
      </c>
      <c r="K373" s="6">
        <f>SUM(G373:J373)</f>
        <v>83</v>
      </c>
      <c r="L373" s="7" t="str">
        <f t="shared" ref="L373:L426" si="39">IF(K373&gt;=80,"A",IF(K373&gt;=70,"B+",IF(K373&gt;=60,"B",IF(K373&gt;=55,"C+",IF(K373&gt;=50,"C",IF(K373&gt;=45,"D+",IF(K373&gt;=40,"D","F")))))))</f>
        <v>A</v>
      </c>
      <c r="M373" s="7" t="str">
        <f t="shared" ref="M373:M426" si="40">IF(K373&gt;=50,"Passed","Failed")</f>
        <v>Passed</v>
      </c>
      <c r="N373" s="7"/>
      <c r="O373" s="9"/>
      <c r="P373" s="10"/>
    </row>
    <row r="374" spans="1:16" ht="31.2" x14ac:dyDescent="0.3">
      <c r="A374" s="3">
        <f t="shared" si="38"/>
        <v>2</v>
      </c>
      <c r="B374" s="306" t="s">
        <v>586</v>
      </c>
      <c r="C374" s="308" t="s">
        <v>366</v>
      </c>
      <c r="D374" s="5" t="s">
        <v>1199</v>
      </c>
      <c r="E374" s="3">
        <v>10</v>
      </c>
      <c r="F374" s="3">
        <v>29</v>
      </c>
      <c r="G374" s="3">
        <f t="shared" ref="G374:G427" si="41">SUM(E374:F374)</f>
        <v>39</v>
      </c>
      <c r="H374" s="3"/>
      <c r="I374" s="3"/>
      <c r="J374" s="6">
        <v>31</v>
      </c>
      <c r="K374" s="6">
        <f t="shared" ref="K374:K426" si="42">SUM(G374:J374)</f>
        <v>70</v>
      </c>
      <c r="L374" s="7" t="str">
        <f t="shared" si="39"/>
        <v>B+</v>
      </c>
      <c r="M374" s="7" t="str">
        <f t="shared" si="40"/>
        <v>Passed</v>
      </c>
      <c r="N374" s="8" t="s">
        <v>19</v>
      </c>
      <c r="O374" s="9"/>
      <c r="P374" s="10"/>
    </row>
    <row r="375" spans="1:16" ht="15.6" x14ac:dyDescent="0.3">
      <c r="A375" s="3">
        <f t="shared" si="38"/>
        <v>3</v>
      </c>
      <c r="B375" s="306" t="s">
        <v>432</v>
      </c>
      <c r="C375" s="309" t="s">
        <v>367</v>
      </c>
      <c r="D375" s="5" t="s">
        <v>1155</v>
      </c>
      <c r="E375" s="3">
        <v>9</v>
      </c>
      <c r="F375" s="3">
        <v>21</v>
      </c>
      <c r="G375" s="3">
        <f t="shared" si="41"/>
        <v>30</v>
      </c>
      <c r="H375" s="3"/>
      <c r="I375" s="3"/>
      <c r="J375" s="6">
        <v>20</v>
      </c>
      <c r="K375" s="6">
        <f t="shared" si="42"/>
        <v>50</v>
      </c>
      <c r="L375" s="7" t="str">
        <f t="shared" si="39"/>
        <v>C</v>
      </c>
      <c r="M375" s="7" t="str">
        <f t="shared" si="40"/>
        <v>Passed</v>
      </c>
      <c r="N375" s="7" t="s">
        <v>20</v>
      </c>
      <c r="O375" s="9">
        <f>COUNT(G373:G426)</f>
        <v>54</v>
      </c>
      <c r="P375" s="10"/>
    </row>
    <row r="376" spans="1:16" ht="15.6" x14ac:dyDescent="0.3">
      <c r="A376" s="3">
        <f t="shared" si="38"/>
        <v>4</v>
      </c>
      <c r="B376" s="306" t="s">
        <v>433</v>
      </c>
      <c r="C376" s="310" t="s">
        <v>368</v>
      </c>
      <c r="D376" s="5" t="s">
        <v>1194</v>
      </c>
      <c r="E376" s="3">
        <v>10</v>
      </c>
      <c r="F376" s="3">
        <v>16</v>
      </c>
      <c r="G376" s="3">
        <f t="shared" si="41"/>
        <v>26</v>
      </c>
      <c r="H376" s="3"/>
      <c r="I376" s="3"/>
      <c r="J376" s="6">
        <v>37</v>
      </c>
      <c r="K376" s="6">
        <f t="shared" si="42"/>
        <v>63</v>
      </c>
      <c r="L376" s="7" t="str">
        <f t="shared" si="39"/>
        <v>B</v>
      </c>
      <c r="M376" s="7" t="str">
        <f t="shared" si="40"/>
        <v>Passed</v>
      </c>
      <c r="N376" s="7" t="s">
        <v>21</v>
      </c>
      <c r="O376" s="9">
        <f>COUNT(J373:J426)</f>
        <v>54</v>
      </c>
      <c r="P376" s="10"/>
    </row>
    <row r="377" spans="1:16" ht="15.6" x14ac:dyDescent="0.3">
      <c r="A377" s="3">
        <f t="shared" si="38"/>
        <v>5</v>
      </c>
      <c r="B377" s="306" t="s">
        <v>434</v>
      </c>
      <c r="C377" s="310" t="s">
        <v>606</v>
      </c>
      <c r="D377" s="5" t="s">
        <v>1190</v>
      </c>
      <c r="E377" s="3">
        <v>10</v>
      </c>
      <c r="F377" s="3">
        <v>29</v>
      </c>
      <c r="G377" s="3">
        <f t="shared" si="41"/>
        <v>39</v>
      </c>
      <c r="H377" s="3"/>
      <c r="I377" s="3"/>
      <c r="J377" s="6">
        <v>18</v>
      </c>
      <c r="K377" s="6">
        <f t="shared" si="42"/>
        <v>57</v>
      </c>
      <c r="L377" s="7" t="str">
        <f t="shared" si="39"/>
        <v>C+</v>
      </c>
      <c r="M377" s="7" t="str">
        <f t="shared" si="40"/>
        <v>Passed</v>
      </c>
      <c r="N377" s="7" t="s">
        <v>22</v>
      </c>
      <c r="O377" s="9">
        <f>O375-O376</f>
        <v>0</v>
      </c>
      <c r="P377" s="10"/>
    </row>
    <row r="378" spans="1:16" ht="15.6" x14ac:dyDescent="0.3">
      <c r="A378" s="3">
        <f t="shared" si="38"/>
        <v>6</v>
      </c>
      <c r="B378" s="306" t="s">
        <v>544</v>
      </c>
      <c r="C378" s="309" t="s">
        <v>369</v>
      </c>
      <c r="D378" s="5" t="s">
        <v>1178</v>
      </c>
      <c r="E378" s="3">
        <v>10</v>
      </c>
      <c r="F378" s="3">
        <v>24</v>
      </c>
      <c r="G378" s="3">
        <f t="shared" si="41"/>
        <v>34</v>
      </c>
      <c r="H378" s="3"/>
      <c r="I378" s="3"/>
      <c r="J378" s="31">
        <v>46</v>
      </c>
      <c r="K378" s="6">
        <f t="shared" si="42"/>
        <v>80</v>
      </c>
      <c r="L378" s="7" t="str">
        <f t="shared" si="39"/>
        <v>A</v>
      </c>
      <c r="M378" s="7" t="str">
        <f t="shared" si="40"/>
        <v>Passed</v>
      </c>
      <c r="N378" s="7" t="s">
        <v>23</v>
      </c>
      <c r="O378" s="9">
        <f>COUNTIF(M373:M426,"Passed")</f>
        <v>44</v>
      </c>
      <c r="P378" s="10"/>
    </row>
    <row r="379" spans="1:16" ht="15.6" x14ac:dyDescent="0.3">
      <c r="A379" s="3">
        <f t="shared" si="38"/>
        <v>7</v>
      </c>
      <c r="B379" s="306" t="s">
        <v>562</v>
      </c>
      <c r="C379" s="309" t="s">
        <v>370</v>
      </c>
      <c r="D379" s="5" t="s">
        <v>1181</v>
      </c>
      <c r="E379" s="5">
        <v>10</v>
      </c>
      <c r="F379" s="5">
        <v>17</v>
      </c>
      <c r="G379" s="3">
        <f t="shared" si="41"/>
        <v>27</v>
      </c>
      <c r="H379" s="3"/>
      <c r="I379" s="3"/>
      <c r="J379" s="31">
        <v>37</v>
      </c>
      <c r="K379" s="6">
        <f t="shared" si="42"/>
        <v>64</v>
      </c>
      <c r="L379" s="7" t="str">
        <f t="shared" si="39"/>
        <v>B</v>
      </c>
      <c r="M379" s="7" t="str">
        <f t="shared" si="40"/>
        <v>Passed</v>
      </c>
      <c r="N379" s="7" t="s">
        <v>24</v>
      </c>
      <c r="O379" s="29">
        <f>O378/O376%</f>
        <v>81.481481481481481</v>
      </c>
      <c r="P379" s="10"/>
    </row>
    <row r="380" spans="1:16" ht="15.6" x14ac:dyDescent="0.3">
      <c r="A380" s="3">
        <f t="shared" si="38"/>
        <v>8</v>
      </c>
      <c r="B380" s="306" t="s">
        <v>435</v>
      </c>
      <c r="C380" s="310" t="s">
        <v>595</v>
      </c>
      <c r="D380" s="5" t="s">
        <v>1185</v>
      </c>
      <c r="E380" s="5">
        <v>8</v>
      </c>
      <c r="F380" s="5">
        <v>18</v>
      </c>
      <c r="G380" s="3">
        <f t="shared" si="41"/>
        <v>26</v>
      </c>
      <c r="H380" s="3"/>
      <c r="I380" s="3"/>
      <c r="J380" s="31">
        <v>46</v>
      </c>
      <c r="K380" s="6">
        <f t="shared" si="42"/>
        <v>72</v>
      </c>
      <c r="L380" s="7" t="str">
        <f t="shared" si="39"/>
        <v>B+</v>
      </c>
      <c r="M380" s="7" t="str">
        <f t="shared" si="40"/>
        <v>Passed</v>
      </c>
      <c r="N380" s="10" t="s">
        <v>25</v>
      </c>
      <c r="O380" s="9">
        <f>COUNTIF(M373:M426,"failed")</f>
        <v>10</v>
      </c>
      <c r="P380" s="10"/>
    </row>
    <row r="381" spans="1:16" ht="15.6" x14ac:dyDescent="0.3">
      <c r="A381" s="3">
        <f t="shared" si="38"/>
        <v>9</v>
      </c>
      <c r="B381" s="306" t="s">
        <v>436</v>
      </c>
      <c r="C381" s="309" t="s">
        <v>371</v>
      </c>
      <c r="D381" s="5" t="s">
        <v>1161</v>
      </c>
      <c r="E381" s="5">
        <v>10</v>
      </c>
      <c r="F381" s="36">
        <v>27</v>
      </c>
      <c r="G381" s="3">
        <f t="shared" si="41"/>
        <v>37</v>
      </c>
      <c r="H381" s="3"/>
      <c r="I381" s="3"/>
      <c r="J381" s="31">
        <v>48</v>
      </c>
      <c r="K381" s="6">
        <f t="shared" si="42"/>
        <v>85</v>
      </c>
      <c r="L381" s="7" t="str">
        <f t="shared" si="39"/>
        <v>A</v>
      </c>
      <c r="M381" s="7" t="str">
        <f t="shared" si="40"/>
        <v>Passed</v>
      </c>
      <c r="N381" s="10" t="s">
        <v>26</v>
      </c>
      <c r="O381" s="29">
        <f>O380/O376%</f>
        <v>18.518518518518519</v>
      </c>
      <c r="P381" s="10"/>
    </row>
    <row r="382" spans="1:16" ht="15.6" x14ac:dyDescent="0.3">
      <c r="A382" s="3">
        <f t="shared" si="38"/>
        <v>10</v>
      </c>
      <c r="B382" s="306" t="s">
        <v>437</v>
      </c>
      <c r="C382" s="310" t="s">
        <v>372</v>
      </c>
      <c r="D382" s="5" t="s">
        <v>1186</v>
      </c>
      <c r="E382" s="5">
        <v>10</v>
      </c>
      <c r="F382" s="5">
        <v>13</v>
      </c>
      <c r="G382" s="3">
        <f t="shared" si="41"/>
        <v>23</v>
      </c>
      <c r="H382" s="3"/>
      <c r="I382" s="3"/>
      <c r="J382" s="31">
        <v>19</v>
      </c>
      <c r="K382" s="6">
        <f t="shared" si="42"/>
        <v>42</v>
      </c>
      <c r="L382" s="7" t="str">
        <f t="shared" si="39"/>
        <v>D</v>
      </c>
      <c r="M382" s="7" t="str">
        <f t="shared" si="40"/>
        <v>Failed</v>
      </c>
      <c r="N382" s="10" t="s">
        <v>27</v>
      </c>
      <c r="O382" s="29">
        <f>AVERAGE(K373:K426)</f>
        <v>60.620370370370374</v>
      </c>
      <c r="P382" s="10"/>
    </row>
    <row r="383" spans="1:16" ht="15.6" x14ac:dyDescent="0.3">
      <c r="A383" s="3">
        <f t="shared" si="38"/>
        <v>11</v>
      </c>
      <c r="B383" s="306" t="s">
        <v>438</v>
      </c>
      <c r="C383" s="307" t="s">
        <v>373</v>
      </c>
      <c r="D383" s="5" t="s">
        <v>1160</v>
      </c>
      <c r="E383" s="5">
        <v>10</v>
      </c>
      <c r="F383" s="5">
        <v>27</v>
      </c>
      <c r="G383" s="3">
        <f t="shared" si="41"/>
        <v>37</v>
      </c>
      <c r="H383" s="3"/>
      <c r="I383" s="3"/>
      <c r="J383" s="31">
        <v>44</v>
      </c>
      <c r="K383" s="6">
        <f t="shared" si="42"/>
        <v>81</v>
      </c>
      <c r="L383" s="7" t="str">
        <f t="shared" si="39"/>
        <v>A</v>
      </c>
      <c r="M383" s="7" t="str">
        <f t="shared" si="40"/>
        <v>Passed</v>
      </c>
      <c r="N383" s="10"/>
      <c r="O383" s="9"/>
      <c r="P383" s="10"/>
    </row>
    <row r="384" spans="1:16" ht="15.6" x14ac:dyDescent="0.3">
      <c r="A384" s="3">
        <f t="shared" si="38"/>
        <v>12</v>
      </c>
      <c r="B384" s="306" t="s">
        <v>439</v>
      </c>
      <c r="C384" s="307" t="s">
        <v>565</v>
      </c>
      <c r="D384" s="5" t="s">
        <v>1173</v>
      </c>
      <c r="E384" s="5">
        <v>10</v>
      </c>
      <c r="F384" s="5">
        <v>15</v>
      </c>
      <c r="G384" s="3">
        <f t="shared" si="41"/>
        <v>25</v>
      </c>
      <c r="H384" s="3"/>
      <c r="I384" s="3"/>
      <c r="J384" s="31">
        <v>29</v>
      </c>
      <c r="K384" s="6">
        <f t="shared" si="42"/>
        <v>54</v>
      </c>
      <c r="L384" s="7" t="str">
        <f t="shared" si="39"/>
        <v>C</v>
      </c>
      <c r="M384" s="7" t="str">
        <f t="shared" si="40"/>
        <v>Passed</v>
      </c>
      <c r="N384" s="10"/>
      <c r="O384" s="9"/>
      <c r="P384" s="10"/>
    </row>
    <row r="385" spans="1:22" ht="15.6" x14ac:dyDescent="0.3">
      <c r="A385" s="3">
        <f t="shared" si="38"/>
        <v>13</v>
      </c>
      <c r="B385" s="306" t="s">
        <v>440</v>
      </c>
      <c r="C385" s="310" t="s">
        <v>374</v>
      </c>
      <c r="D385" s="5" t="s">
        <v>1193</v>
      </c>
      <c r="E385" s="5">
        <v>9</v>
      </c>
      <c r="F385" s="65">
        <v>25.5</v>
      </c>
      <c r="G385" s="64">
        <f t="shared" si="41"/>
        <v>34.5</v>
      </c>
      <c r="H385" s="3"/>
      <c r="I385" s="3"/>
      <c r="J385" s="31">
        <v>31</v>
      </c>
      <c r="K385" s="6">
        <f t="shared" si="42"/>
        <v>65.5</v>
      </c>
      <c r="L385" s="7" t="str">
        <f t="shared" si="39"/>
        <v>B</v>
      </c>
      <c r="M385" s="7" t="str">
        <f t="shared" si="40"/>
        <v>Passed</v>
      </c>
      <c r="N385" s="10"/>
      <c r="O385" s="9" t="s">
        <v>28</v>
      </c>
      <c r="P385" s="10" t="s">
        <v>29</v>
      </c>
      <c r="Q385" t="s">
        <v>30</v>
      </c>
      <c r="R385" t="s">
        <v>31</v>
      </c>
      <c r="S385" t="s">
        <v>32</v>
      </c>
      <c r="T385" t="s">
        <v>33</v>
      </c>
      <c r="U385" t="s">
        <v>34</v>
      </c>
      <c r="V385" t="s">
        <v>35</v>
      </c>
    </row>
    <row r="386" spans="1:22" ht="15.6" x14ac:dyDescent="0.3">
      <c r="A386" s="3">
        <f t="shared" si="38"/>
        <v>14</v>
      </c>
      <c r="B386" s="306" t="s">
        <v>441</v>
      </c>
      <c r="C386" s="310" t="s">
        <v>375</v>
      </c>
      <c r="D386" s="5" t="s">
        <v>1203</v>
      </c>
      <c r="E386" s="5">
        <v>10</v>
      </c>
      <c r="F386" s="5">
        <v>28</v>
      </c>
      <c r="G386" s="3">
        <f t="shared" si="41"/>
        <v>38</v>
      </c>
      <c r="H386" s="3"/>
      <c r="I386" s="3"/>
      <c r="J386" s="31">
        <v>31</v>
      </c>
      <c r="K386" s="6">
        <f t="shared" si="42"/>
        <v>69</v>
      </c>
      <c r="L386" s="7" t="str">
        <f t="shared" si="39"/>
        <v>B</v>
      </c>
      <c r="M386" s="7" t="str">
        <f t="shared" si="40"/>
        <v>Passed</v>
      </c>
      <c r="N386" s="10"/>
      <c r="O386" s="9">
        <f>COUNTIF(L373:L426,"A")</f>
        <v>8</v>
      </c>
      <c r="P386" s="10">
        <f>COUNTIF(L373:L426,"B+")</f>
        <v>7</v>
      </c>
      <c r="Q386">
        <f>COUNTIF(L373:L426,"B")</f>
        <v>13</v>
      </c>
      <c r="R386">
        <f>COUNTIF(L373:L426,"C+")</f>
        <v>7</v>
      </c>
      <c r="S386">
        <f>COUNTIF(L373:L426,"C")</f>
        <v>9</v>
      </c>
      <c r="T386">
        <f>COUNTIF(L373:L426,"D+")</f>
        <v>3</v>
      </c>
      <c r="U386">
        <f>COUNTIF(L373:L426,"D")</f>
        <v>3</v>
      </c>
      <c r="V386">
        <f>COUNTIF(L373:L426,"F")</f>
        <v>4</v>
      </c>
    </row>
    <row r="387" spans="1:22" ht="15.6" x14ac:dyDescent="0.3">
      <c r="A387" s="3">
        <f t="shared" si="38"/>
        <v>15</v>
      </c>
      <c r="B387" s="306" t="s">
        <v>442</v>
      </c>
      <c r="C387" s="310" t="s">
        <v>376</v>
      </c>
      <c r="D387" s="5" t="s">
        <v>1174</v>
      </c>
      <c r="E387" s="5">
        <v>8</v>
      </c>
      <c r="F387" s="5">
        <v>14</v>
      </c>
      <c r="G387" s="3">
        <f t="shared" si="41"/>
        <v>22</v>
      </c>
      <c r="H387" s="3"/>
      <c r="I387" s="3"/>
      <c r="J387" s="31">
        <v>22</v>
      </c>
      <c r="K387" s="6">
        <f t="shared" si="42"/>
        <v>44</v>
      </c>
      <c r="L387" s="7" t="str">
        <f t="shared" si="39"/>
        <v>D</v>
      </c>
      <c r="M387" s="7" t="str">
        <f t="shared" si="40"/>
        <v>Failed</v>
      </c>
      <c r="N387" s="11"/>
      <c r="O387" s="9"/>
      <c r="P387" s="10"/>
    </row>
    <row r="388" spans="1:22" ht="15.6" x14ac:dyDescent="0.3">
      <c r="A388" s="3">
        <f t="shared" si="38"/>
        <v>16</v>
      </c>
      <c r="B388" s="306" t="s">
        <v>443</v>
      </c>
      <c r="C388" s="307" t="s">
        <v>377</v>
      </c>
      <c r="D388" s="5" t="s">
        <v>1170</v>
      </c>
      <c r="E388" s="5">
        <v>9</v>
      </c>
      <c r="F388" s="5">
        <v>23</v>
      </c>
      <c r="G388" s="3">
        <f t="shared" si="41"/>
        <v>32</v>
      </c>
      <c r="H388" s="3"/>
      <c r="I388" s="3"/>
      <c r="J388" s="31">
        <v>51</v>
      </c>
      <c r="K388" s="6">
        <f t="shared" si="42"/>
        <v>83</v>
      </c>
      <c r="L388" s="7" t="str">
        <f t="shared" si="39"/>
        <v>A</v>
      </c>
      <c r="M388" s="7" t="str">
        <f t="shared" si="40"/>
        <v>Passed</v>
      </c>
      <c r="N388" s="10"/>
      <c r="O388" s="9"/>
      <c r="P388" s="10"/>
    </row>
    <row r="389" spans="1:22" ht="15.6" x14ac:dyDescent="0.3">
      <c r="A389" s="3">
        <f t="shared" si="38"/>
        <v>17</v>
      </c>
      <c r="B389" s="306" t="s">
        <v>444</v>
      </c>
      <c r="C389" s="310" t="s">
        <v>378</v>
      </c>
      <c r="D389" s="5" t="s">
        <v>1175</v>
      </c>
      <c r="E389" s="5">
        <v>10</v>
      </c>
      <c r="F389" s="5">
        <v>13</v>
      </c>
      <c r="G389" s="3">
        <f t="shared" si="41"/>
        <v>23</v>
      </c>
      <c r="H389" s="3"/>
      <c r="I389" s="3"/>
      <c r="J389" s="31">
        <v>34</v>
      </c>
      <c r="K389" s="6">
        <f t="shared" si="42"/>
        <v>57</v>
      </c>
      <c r="L389" s="7" t="str">
        <f t="shared" si="39"/>
        <v>C+</v>
      </c>
      <c r="M389" s="7" t="str">
        <f t="shared" si="40"/>
        <v>Passed</v>
      </c>
      <c r="N389" s="10"/>
      <c r="O389" s="9"/>
      <c r="P389" s="10"/>
    </row>
    <row r="390" spans="1:22" ht="15.6" x14ac:dyDescent="0.3">
      <c r="A390" s="3">
        <f t="shared" si="38"/>
        <v>18</v>
      </c>
      <c r="B390" s="306" t="s">
        <v>445</v>
      </c>
      <c r="C390" s="308" t="s">
        <v>379</v>
      </c>
      <c r="D390" s="5" t="s">
        <v>1207</v>
      </c>
      <c r="E390" s="5">
        <v>10</v>
      </c>
      <c r="F390" s="5">
        <v>27</v>
      </c>
      <c r="G390" s="3">
        <f t="shared" si="41"/>
        <v>37</v>
      </c>
      <c r="H390" s="3"/>
      <c r="I390" s="3"/>
      <c r="J390" s="31">
        <v>35</v>
      </c>
      <c r="K390" s="6">
        <f t="shared" si="42"/>
        <v>72</v>
      </c>
      <c r="L390" s="7" t="str">
        <f t="shared" si="39"/>
        <v>B+</v>
      </c>
      <c r="M390" s="7" t="str">
        <f t="shared" si="40"/>
        <v>Passed</v>
      </c>
      <c r="N390" s="10"/>
      <c r="O390" s="9"/>
      <c r="P390" s="10"/>
    </row>
    <row r="391" spans="1:22" ht="15.6" x14ac:dyDescent="0.3">
      <c r="A391" s="3">
        <f t="shared" si="38"/>
        <v>19</v>
      </c>
      <c r="B391" s="306" t="s">
        <v>446</v>
      </c>
      <c r="C391" s="310" t="s">
        <v>602</v>
      </c>
      <c r="D391" s="5" t="s">
        <v>1162</v>
      </c>
      <c r="E391" s="5">
        <v>10</v>
      </c>
      <c r="F391" s="65">
        <v>22.5</v>
      </c>
      <c r="G391" s="64">
        <f t="shared" si="41"/>
        <v>32.5</v>
      </c>
      <c r="H391" s="3"/>
      <c r="I391" s="3"/>
      <c r="J391" s="31">
        <v>24</v>
      </c>
      <c r="K391" s="6">
        <f t="shared" si="42"/>
        <v>56.5</v>
      </c>
      <c r="L391" s="7" t="str">
        <f t="shared" si="39"/>
        <v>C+</v>
      </c>
      <c r="M391" s="7" t="str">
        <f t="shared" si="40"/>
        <v>Passed</v>
      </c>
      <c r="N391" s="10"/>
      <c r="O391" s="9"/>
      <c r="P391" s="10"/>
    </row>
    <row r="392" spans="1:22" ht="15.6" x14ac:dyDescent="0.3">
      <c r="A392" s="3">
        <f t="shared" si="38"/>
        <v>20</v>
      </c>
      <c r="B392" s="306" t="s">
        <v>448</v>
      </c>
      <c r="C392" s="308" t="s">
        <v>380</v>
      </c>
      <c r="D392" s="5" t="s">
        <v>1202</v>
      </c>
      <c r="E392" s="5">
        <v>10</v>
      </c>
      <c r="F392" s="5">
        <v>21</v>
      </c>
      <c r="G392" s="3">
        <f t="shared" si="41"/>
        <v>31</v>
      </c>
      <c r="H392" s="3"/>
      <c r="I392" s="3"/>
      <c r="J392" s="31">
        <v>35</v>
      </c>
      <c r="K392" s="6">
        <f t="shared" si="42"/>
        <v>66</v>
      </c>
      <c r="L392" s="7" t="str">
        <f t="shared" si="39"/>
        <v>B</v>
      </c>
      <c r="M392" s="7" t="str">
        <f t="shared" si="40"/>
        <v>Passed</v>
      </c>
      <c r="N392" s="10"/>
      <c r="O392" s="9"/>
      <c r="P392" s="10"/>
    </row>
    <row r="393" spans="1:22" ht="15.6" x14ac:dyDescent="0.3">
      <c r="A393" s="3">
        <f t="shared" si="38"/>
        <v>21</v>
      </c>
      <c r="B393" s="306" t="s">
        <v>447</v>
      </c>
      <c r="C393" s="310" t="s">
        <v>381</v>
      </c>
      <c r="D393" s="5" t="s">
        <v>1166</v>
      </c>
      <c r="E393" s="5">
        <v>10</v>
      </c>
      <c r="F393" s="5">
        <v>26</v>
      </c>
      <c r="G393" s="3">
        <f t="shared" si="41"/>
        <v>36</v>
      </c>
      <c r="H393" s="3"/>
      <c r="I393" s="3"/>
      <c r="J393" s="31">
        <v>31</v>
      </c>
      <c r="K393" s="6">
        <f t="shared" si="42"/>
        <v>67</v>
      </c>
      <c r="L393" s="7" t="str">
        <f t="shared" si="39"/>
        <v>B</v>
      </c>
      <c r="M393" s="7" t="str">
        <f t="shared" si="40"/>
        <v>Passed</v>
      </c>
      <c r="N393" s="10"/>
      <c r="O393" s="9"/>
      <c r="P393" s="10"/>
    </row>
    <row r="394" spans="1:22" ht="15.6" x14ac:dyDescent="0.3">
      <c r="A394" s="3">
        <f t="shared" si="38"/>
        <v>22</v>
      </c>
      <c r="B394" s="313" t="s">
        <v>570</v>
      </c>
      <c r="C394" s="309" t="s">
        <v>382</v>
      </c>
      <c r="D394" s="5" t="s">
        <v>1182</v>
      </c>
      <c r="E394" s="5">
        <v>10</v>
      </c>
      <c r="F394" s="5">
        <v>24</v>
      </c>
      <c r="G394" s="3">
        <f t="shared" si="41"/>
        <v>34</v>
      </c>
      <c r="H394" s="3"/>
      <c r="I394" s="3"/>
      <c r="J394" s="31">
        <v>17</v>
      </c>
      <c r="K394" s="6">
        <f t="shared" si="42"/>
        <v>51</v>
      </c>
      <c r="L394" s="7" t="str">
        <f t="shared" si="39"/>
        <v>C</v>
      </c>
      <c r="M394" s="7" t="str">
        <f t="shared" si="40"/>
        <v>Passed</v>
      </c>
      <c r="N394" s="10"/>
      <c r="O394" s="9"/>
      <c r="P394" s="10"/>
    </row>
    <row r="395" spans="1:22" ht="15.6" x14ac:dyDescent="0.3">
      <c r="A395" s="3">
        <f t="shared" si="38"/>
        <v>23</v>
      </c>
      <c r="B395" s="306" t="s">
        <v>449</v>
      </c>
      <c r="C395" s="309" t="s">
        <v>383</v>
      </c>
      <c r="D395" s="5" t="s">
        <v>1176</v>
      </c>
      <c r="E395" s="5">
        <v>9</v>
      </c>
      <c r="F395" s="5">
        <v>25</v>
      </c>
      <c r="G395" s="3">
        <f t="shared" si="41"/>
        <v>34</v>
      </c>
      <c r="H395" s="3"/>
      <c r="I395" s="3"/>
      <c r="J395" s="31">
        <v>40</v>
      </c>
      <c r="K395" s="6">
        <f t="shared" si="42"/>
        <v>74</v>
      </c>
      <c r="L395" s="7" t="str">
        <f t="shared" si="39"/>
        <v>B+</v>
      </c>
      <c r="M395" s="7" t="str">
        <f t="shared" si="40"/>
        <v>Passed</v>
      </c>
      <c r="N395" s="10"/>
      <c r="O395" s="9"/>
      <c r="P395" s="10"/>
    </row>
    <row r="396" spans="1:22" ht="15.6" x14ac:dyDescent="0.3">
      <c r="A396" s="3">
        <f t="shared" si="38"/>
        <v>24</v>
      </c>
      <c r="B396" s="306" t="s">
        <v>450</v>
      </c>
      <c r="C396" s="309" t="s">
        <v>384</v>
      </c>
      <c r="D396" s="5" t="s">
        <v>1204</v>
      </c>
      <c r="E396" s="5">
        <v>9</v>
      </c>
      <c r="F396" s="65">
        <v>17.5</v>
      </c>
      <c r="G396" s="3">
        <f t="shared" si="41"/>
        <v>26.5</v>
      </c>
      <c r="H396" s="3"/>
      <c r="I396" s="3"/>
      <c r="J396" s="31">
        <v>44</v>
      </c>
      <c r="K396" s="6">
        <f t="shared" si="42"/>
        <v>70.5</v>
      </c>
      <c r="L396" s="7" t="str">
        <f t="shared" si="39"/>
        <v>B+</v>
      </c>
      <c r="M396" s="7" t="str">
        <f t="shared" si="40"/>
        <v>Passed</v>
      </c>
      <c r="N396" s="10"/>
      <c r="O396" s="9"/>
      <c r="P396" s="10"/>
    </row>
    <row r="397" spans="1:22" ht="15.6" x14ac:dyDescent="0.3">
      <c r="A397" s="3">
        <f t="shared" si="38"/>
        <v>25</v>
      </c>
      <c r="B397" s="306" t="s">
        <v>451</v>
      </c>
      <c r="C397" s="310" t="s">
        <v>385</v>
      </c>
      <c r="D397" s="5" t="s">
        <v>1165</v>
      </c>
      <c r="E397" s="5">
        <v>10</v>
      </c>
      <c r="F397" s="5">
        <v>21</v>
      </c>
      <c r="G397" s="3">
        <f t="shared" si="41"/>
        <v>31</v>
      </c>
      <c r="H397" s="3"/>
      <c r="I397" s="3"/>
      <c r="J397" s="31">
        <v>15</v>
      </c>
      <c r="K397" s="6">
        <f t="shared" si="42"/>
        <v>46</v>
      </c>
      <c r="L397" s="7" t="str">
        <f t="shared" si="39"/>
        <v>D+</v>
      </c>
      <c r="M397" s="7" t="str">
        <f t="shared" si="40"/>
        <v>Failed</v>
      </c>
      <c r="N397" s="10"/>
      <c r="O397" s="9"/>
      <c r="P397" s="10"/>
    </row>
    <row r="398" spans="1:22" ht="15.6" x14ac:dyDescent="0.3">
      <c r="A398" s="3">
        <f t="shared" si="38"/>
        <v>26</v>
      </c>
      <c r="B398" s="306" t="s">
        <v>452</v>
      </c>
      <c r="C398" s="310" t="s">
        <v>386</v>
      </c>
      <c r="D398" s="5" t="s">
        <v>1163</v>
      </c>
      <c r="E398" s="5">
        <v>10</v>
      </c>
      <c r="F398" s="339">
        <v>22</v>
      </c>
      <c r="G398" s="3">
        <f t="shared" si="41"/>
        <v>32</v>
      </c>
      <c r="H398" s="3"/>
      <c r="I398" s="3"/>
      <c r="J398" s="31">
        <v>18</v>
      </c>
      <c r="K398" s="6">
        <f t="shared" si="42"/>
        <v>50</v>
      </c>
      <c r="L398" s="7" t="str">
        <f t="shared" si="39"/>
        <v>C</v>
      </c>
      <c r="M398" s="7" t="str">
        <f t="shared" si="40"/>
        <v>Passed</v>
      </c>
      <c r="N398" s="10"/>
      <c r="O398" s="9"/>
      <c r="P398" s="10"/>
    </row>
    <row r="399" spans="1:22" ht="15.6" x14ac:dyDescent="0.3">
      <c r="A399" s="3">
        <f t="shared" si="38"/>
        <v>27</v>
      </c>
      <c r="B399" s="306" t="s">
        <v>453</v>
      </c>
      <c r="C399" s="309" t="s">
        <v>387</v>
      </c>
      <c r="D399" s="5" t="s">
        <v>1157</v>
      </c>
      <c r="E399" s="5">
        <v>10</v>
      </c>
      <c r="F399" s="5">
        <v>29</v>
      </c>
      <c r="G399" s="3">
        <f t="shared" si="41"/>
        <v>39</v>
      </c>
      <c r="H399" s="3"/>
      <c r="I399" s="3"/>
      <c r="J399" s="5">
        <v>42</v>
      </c>
      <c r="K399" s="6">
        <f t="shared" si="42"/>
        <v>81</v>
      </c>
      <c r="L399" s="7" t="str">
        <f t="shared" si="39"/>
        <v>A</v>
      </c>
      <c r="M399" s="7" t="str">
        <f t="shared" si="40"/>
        <v>Passed</v>
      </c>
      <c r="N399" s="10"/>
      <c r="O399" s="9"/>
      <c r="P399" s="10"/>
    </row>
    <row r="400" spans="1:22" ht="15.6" x14ac:dyDescent="0.3">
      <c r="A400" s="3">
        <f t="shared" si="38"/>
        <v>28</v>
      </c>
      <c r="B400" s="388">
        <v>400123</v>
      </c>
      <c r="C400" s="310" t="s">
        <v>388</v>
      </c>
      <c r="D400" s="5" t="s">
        <v>1167</v>
      </c>
      <c r="E400" s="5">
        <v>9</v>
      </c>
      <c r="F400" s="5">
        <v>23</v>
      </c>
      <c r="G400" s="3">
        <f t="shared" si="41"/>
        <v>32</v>
      </c>
      <c r="H400" s="3"/>
      <c r="I400" s="3"/>
      <c r="J400" s="5">
        <v>28</v>
      </c>
      <c r="K400" s="6">
        <f t="shared" si="42"/>
        <v>60</v>
      </c>
      <c r="L400" s="7" t="str">
        <f t="shared" si="39"/>
        <v>B</v>
      </c>
      <c r="M400" s="7" t="str">
        <f t="shared" si="40"/>
        <v>Passed</v>
      </c>
      <c r="N400" s="10"/>
      <c r="O400" s="9"/>
      <c r="P400" s="10"/>
    </row>
    <row r="401" spans="1:16" ht="15.6" x14ac:dyDescent="0.3">
      <c r="A401" s="3">
        <f t="shared" si="38"/>
        <v>29</v>
      </c>
      <c r="B401" s="306" t="s">
        <v>454</v>
      </c>
      <c r="C401" s="309" t="s">
        <v>771</v>
      </c>
      <c r="D401" s="5" t="s">
        <v>1183</v>
      </c>
      <c r="E401" s="5">
        <v>10</v>
      </c>
      <c r="F401" s="5">
        <v>27</v>
      </c>
      <c r="G401" s="3">
        <f t="shared" si="41"/>
        <v>37</v>
      </c>
      <c r="H401" s="3"/>
      <c r="I401" s="3"/>
      <c r="J401" s="5">
        <v>22</v>
      </c>
      <c r="K401" s="6">
        <f t="shared" si="42"/>
        <v>59</v>
      </c>
      <c r="L401" s="7" t="str">
        <f t="shared" si="39"/>
        <v>C+</v>
      </c>
      <c r="M401" s="7" t="str">
        <f t="shared" si="40"/>
        <v>Passed</v>
      </c>
      <c r="N401" s="10"/>
      <c r="O401" s="9"/>
      <c r="P401" s="10"/>
    </row>
    <row r="402" spans="1:16" ht="15.6" x14ac:dyDescent="0.3">
      <c r="A402" s="3">
        <f t="shared" si="38"/>
        <v>30</v>
      </c>
      <c r="B402" s="306" t="s">
        <v>455</v>
      </c>
      <c r="C402" s="307" t="s">
        <v>389</v>
      </c>
      <c r="D402" s="5" t="s">
        <v>1195</v>
      </c>
      <c r="E402" s="5">
        <v>9</v>
      </c>
      <c r="F402" s="5">
        <v>29</v>
      </c>
      <c r="G402" s="3">
        <f t="shared" si="41"/>
        <v>38</v>
      </c>
      <c r="H402" s="3"/>
      <c r="I402" s="3"/>
      <c r="J402" s="5">
        <v>47</v>
      </c>
      <c r="K402" s="6">
        <f t="shared" si="42"/>
        <v>85</v>
      </c>
      <c r="L402" s="7" t="str">
        <f t="shared" si="39"/>
        <v>A</v>
      </c>
      <c r="M402" s="7" t="str">
        <f t="shared" si="40"/>
        <v>Passed</v>
      </c>
      <c r="N402" s="10"/>
      <c r="O402" s="9"/>
      <c r="P402" s="10"/>
    </row>
    <row r="403" spans="1:16" ht="15.6" x14ac:dyDescent="0.3">
      <c r="A403" s="3">
        <f t="shared" si="38"/>
        <v>31</v>
      </c>
      <c r="B403" s="306" t="s">
        <v>456</v>
      </c>
      <c r="C403" s="310" t="s">
        <v>535</v>
      </c>
      <c r="D403" s="5" t="s">
        <v>1201</v>
      </c>
      <c r="E403" s="5">
        <v>9</v>
      </c>
      <c r="F403" s="5">
        <v>25</v>
      </c>
      <c r="G403" s="3">
        <f t="shared" si="41"/>
        <v>34</v>
      </c>
      <c r="H403" s="3"/>
      <c r="I403" s="3"/>
      <c r="J403" s="5">
        <v>50</v>
      </c>
      <c r="K403" s="6">
        <f t="shared" si="42"/>
        <v>84</v>
      </c>
      <c r="L403" s="7" t="str">
        <f t="shared" si="39"/>
        <v>A</v>
      </c>
      <c r="M403" s="7" t="str">
        <f t="shared" si="40"/>
        <v>Passed</v>
      </c>
      <c r="N403" s="10"/>
      <c r="O403" s="9"/>
      <c r="P403" s="10"/>
    </row>
    <row r="404" spans="1:16" ht="15.6" x14ac:dyDescent="0.3">
      <c r="A404" s="3">
        <f t="shared" si="38"/>
        <v>32</v>
      </c>
      <c r="B404" s="306" t="s">
        <v>457</v>
      </c>
      <c r="C404" s="307" t="s">
        <v>390</v>
      </c>
      <c r="D404" s="5" t="s">
        <v>1172</v>
      </c>
      <c r="E404" s="5">
        <v>9</v>
      </c>
      <c r="F404" s="5">
        <v>9</v>
      </c>
      <c r="G404" s="3">
        <f t="shared" si="41"/>
        <v>18</v>
      </c>
      <c r="H404" s="3"/>
      <c r="I404" s="3"/>
      <c r="J404" s="5">
        <v>24</v>
      </c>
      <c r="K404" s="6">
        <f t="shared" si="42"/>
        <v>42</v>
      </c>
      <c r="L404" s="7" t="str">
        <f t="shared" si="39"/>
        <v>D</v>
      </c>
      <c r="M404" s="7" t="str">
        <f t="shared" si="40"/>
        <v>Failed</v>
      </c>
      <c r="N404" s="10"/>
      <c r="O404" s="9"/>
      <c r="P404" s="10"/>
    </row>
    <row r="405" spans="1:16" ht="15.6" x14ac:dyDescent="0.3">
      <c r="A405" s="3">
        <f t="shared" ref="A405:A426" si="43">ROW(A33)</f>
        <v>33</v>
      </c>
      <c r="B405" s="306" t="s">
        <v>458</v>
      </c>
      <c r="C405" s="307" t="s">
        <v>391</v>
      </c>
      <c r="D405" s="5" t="s">
        <v>1179</v>
      </c>
      <c r="E405" s="5">
        <v>9</v>
      </c>
      <c r="F405" s="5">
        <v>17</v>
      </c>
      <c r="G405" s="3">
        <f t="shared" si="41"/>
        <v>26</v>
      </c>
      <c r="H405" s="3"/>
      <c r="I405" s="3"/>
      <c r="J405" s="5">
        <v>35</v>
      </c>
      <c r="K405" s="6">
        <f t="shared" si="42"/>
        <v>61</v>
      </c>
      <c r="L405" s="7" t="str">
        <f t="shared" si="39"/>
        <v>B</v>
      </c>
      <c r="M405" s="7" t="str">
        <f t="shared" si="40"/>
        <v>Passed</v>
      </c>
      <c r="N405" s="10"/>
      <c r="O405" s="9"/>
      <c r="P405" s="10"/>
    </row>
    <row r="406" spans="1:16" ht="15.6" x14ac:dyDescent="0.3">
      <c r="A406" s="3">
        <f t="shared" si="43"/>
        <v>34</v>
      </c>
      <c r="B406" s="306" t="s">
        <v>459</v>
      </c>
      <c r="C406" s="309" t="s">
        <v>557</v>
      </c>
      <c r="D406" s="5" t="s">
        <v>1171</v>
      </c>
      <c r="E406" s="5">
        <v>9</v>
      </c>
      <c r="F406" s="5">
        <v>16</v>
      </c>
      <c r="G406" s="3">
        <f t="shared" si="41"/>
        <v>25</v>
      </c>
      <c r="H406" s="3"/>
      <c r="I406" s="3"/>
      <c r="J406" s="5">
        <v>14</v>
      </c>
      <c r="K406" s="6">
        <f t="shared" si="42"/>
        <v>39</v>
      </c>
      <c r="L406" s="7" t="str">
        <f t="shared" si="39"/>
        <v>F</v>
      </c>
      <c r="M406" s="7" t="str">
        <f t="shared" si="40"/>
        <v>Failed</v>
      </c>
      <c r="N406" s="10"/>
      <c r="O406" s="9"/>
      <c r="P406" s="10"/>
    </row>
    <row r="407" spans="1:16" ht="15.6" x14ac:dyDescent="0.3">
      <c r="A407" s="3">
        <f t="shared" si="43"/>
        <v>35</v>
      </c>
      <c r="B407" s="306" t="s">
        <v>460</v>
      </c>
      <c r="C407" s="309" t="s">
        <v>392</v>
      </c>
      <c r="D407" s="5" t="s">
        <v>1158</v>
      </c>
      <c r="E407" s="5">
        <v>10</v>
      </c>
      <c r="F407" s="5">
        <v>20</v>
      </c>
      <c r="G407" s="3">
        <f t="shared" si="41"/>
        <v>30</v>
      </c>
      <c r="H407" s="3"/>
      <c r="I407" s="3"/>
      <c r="J407" s="5">
        <v>34</v>
      </c>
      <c r="K407" s="6">
        <f t="shared" si="42"/>
        <v>64</v>
      </c>
      <c r="L407" s="7" t="str">
        <f t="shared" si="39"/>
        <v>B</v>
      </c>
      <c r="M407" s="7" t="str">
        <f t="shared" si="40"/>
        <v>Passed</v>
      </c>
      <c r="N407" s="10"/>
      <c r="O407" s="9"/>
      <c r="P407" s="10"/>
    </row>
    <row r="408" spans="1:16" ht="15.6" x14ac:dyDescent="0.3">
      <c r="A408" s="3">
        <f t="shared" si="43"/>
        <v>36</v>
      </c>
      <c r="B408" s="306" t="s">
        <v>461</v>
      </c>
      <c r="C408" s="309" t="s">
        <v>393</v>
      </c>
      <c r="D408" s="5" t="s">
        <v>1184</v>
      </c>
      <c r="E408" s="5">
        <v>9</v>
      </c>
      <c r="F408" s="5">
        <v>18</v>
      </c>
      <c r="G408" s="3">
        <f t="shared" si="41"/>
        <v>27</v>
      </c>
      <c r="H408" s="3"/>
      <c r="I408" s="3"/>
      <c r="J408" s="5">
        <v>31</v>
      </c>
      <c r="K408" s="6">
        <f t="shared" si="42"/>
        <v>58</v>
      </c>
      <c r="L408" s="7" t="str">
        <f t="shared" si="39"/>
        <v>C+</v>
      </c>
      <c r="M408" s="7" t="str">
        <f t="shared" si="40"/>
        <v>Passed</v>
      </c>
      <c r="N408" s="10"/>
      <c r="O408" s="9"/>
      <c r="P408" s="10"/>
    </row>
    <row r="409" spans="1:16" ht="15.6" x14ac:dyDescent="0.3">
      <c r="A409" s="3">
        <f t="shared" si="43"/>
        <v>37</v>
      </c>
      <c r="B409" s="306" t="s">
        <v>462</v>
      </c>
      <c r="C409" s="309" t="s">
        <v>394</v>
      </c>
      <c r="D409" s="5" t="s">
        <v>1196</v>
      </c>
      <c r="E409" s="5">
        <v>10</v>
      </c>
      <c r="F409" s="5">
        <v>18</v>
      </c>
      <c r="G409" s="3">
        <f t="shared" si="41"/>
        <v>28</v>
      </c>
      <c r="H409" s="3"/>
      <c r="I409" s="3"/>
      <c r="J409" s="5">
        <v>33</v>
      </c>
      <c r="K409" s="6">
        <f t="shared" si="42"/>
        <v>61</v>
      </c>
      <c r="L409" s="7" t="str">
        <f t="shared" si="39"/>
        <v>B</v>
      </c>
      <c r="M409" s="7" t="str">
        <f t="shared" si="40"/>
        <v>Passed</v>
      </c>
      <c r="N409" s="10"/>
      <c r="O409" s="9"/>
      <c r="P409" s="10"/>
    </row>
    <row r="410" spans="1:16" ht="15.6" x14ac:dyDescent="0.3">
      <c r="A410" s="3">
        <f t="shared" si="43"/>
        <v>38</v>
      </c>
      <c r="B410" s="306" t="s">
        <v>463</v>
      </c>
      <c r="C410" s="309" t="s">
        <v>395</v>
      </c>
      <c r="D410" s="5" t="s">
        <v>1180</v>
      </c>
      <c r="E410" s="5">
        <v>8</v>
      </c>
      <c r="F410" s="5">
        <v>22</v>
      </c>
      <c r="G410" s="3">
        <f t="shared" si="41"/>
        <v>30</v>
      </c>
      <c r="H410" s="3"/>
      <c r="I410" s="3"/>
      <c r="J410" s="5">
        <v>17</v>
      </c>
      <c r="K410" s="6">
        <f t="shared" si="42"/>
        <v>47</v>
      </c>
      <c r="L410" s="7" t="str">
        <f t="shared" si="39"/>
        <v>D+</v>
      </c>
      <c r="M410" s="7" t="str">
        <f t="shared" si="40"/>
        <v>Failed</v>
      </c>
      <c r="N410" s="10"/>
      <c r="O410" s="9"/>
      <c r="P410" s="10"/>
    </row>
    <row r="411" spans="1:16" ht="15.6" x14ac:dyDescent="0.3">
      <c r="A411" s="3">
        <f t="shared" si="43"/>
        <v>39</v>
      </c>
      <c r="B411" s="306" t="s">
        <v>464</v>
      </c>
      <c r="C411" s="309" t="s">
        <v>396</v>
      </c>
      <c r="D411" s="5" t="s">
        <v>1192</v>
      </c>
      <c r="E411" s="5">
        <v>10</v>
      </c>
      <c r="F411" s="5">
        <v>25</v>
      </c>
      <c r="G411" s="3">
        <f t="shared" si="41"/>
        <v>35</v>
      </c>
      <c r="H411" s="3"/>
      <c r="I411" s="3"/>
      <c r="J411" s="5">
        <v>10</v>
      </c>
      <c r="K411" s="6">
        <f t="shared" si="42"/>
        <v>45</v>
      </c>
      <c r="L411" s="7" t="str">
        <f t="shared" si="39"/>
        <v>D+</v>
      </c>
      <c r="M411" s="7" t="str">
        <f t="shared" si="40"/>
        <v>Failed</v>
      </c>
      <c r="N411" s="10"/>
      <c r="O411" s="9"/>
      <c r="P411" s="10"/>
    </row>
    <row r="412" spans="1:16" ht="15.6" x14ac:dyDescent="0.3">
      <c r="A412" s="3">
        <f t="shared" si="43"/>
        <v>40</v>
      </c>
      <c r="B412" s="306" t="s">
        <v>465</v>
      </c>
      <c r="C412" s="309" t="s">
        <v>397</v>
      </c>
      <c r="D412" s="5" t="s">
        <v>1164</v>
      </c>
      <c r="E412" s="5">
        <v>10</v>
      </c>
      <c r="F412" s="5">
        <v>22</v>
      </c>
      <c r="G412" s="3">
        <f t="shared" si="41"/>
        <v>32</v>
      </c>
      <c r="H412" s="3"/>
      <c r="I412" s="3"/>
      <c r="J412" s="5">
        <v>25</v>
      </c>
      <c r="K412" s="6">
        <f t="shared" si="42"/>
        <v>57</v>
      </c>
      <c r="L412" s="7" t="str">
        <f t="shared" si="39"/>
        <v>C+</v>
      </c>
      <c r="M412" s="7" t="str">
        <f t="shared" si="40"/>
        <v>Passed</v>
      </c>
      <c r="N412" s="10"/>
      <c r="O412" s="9"/>
      <c r="P412" s="10"/>
    </row>
    <row r="413" spans="1:16" ht="15.6" x14ac:dyDescent="0.3">
      <c r="A413" s="3">
        <f t="shared" si="43"/>
        <v>41</v>
      </c>
      <c r="B413" s="306" t="s">
        <v>466</v>
      </c>
      <c r="C413" s="307" t="s">
        <v>398</v>
      </c>
      <c r="D413" s="5" t="s">
        <v>1159</v>
      </c>
      <c r="E413" s="5">
        <v>9</v>
      </c>
      <c r="F413" s="356">
        <v>27</v>
      </c>
      <c r="G413" s="3">
        <f t="shared" si="41"/>
        <v>36</v>
      </c>
      <c r="H413" s="3"/>
      <c r="I413" s="3"/>
      <c r="J413" s="5">
        <v>14</v>
      </c>
      <c r="K413" s="6">
        <f t="shared" si="42"/>
        <v>50</v>
      </c>
      <c r="L413" s="7" t="str">
        <f t="shared" si="39"/>
        <v>C</v>
      </c>
      <c r="M413" s="7" t="str">
        <f t="shared" si="40"/>
        <v>Passed</v>
      </c>
      <c r="N413" s="10"/>
      <c r="O413" s="9"/>
      <c r="P413" s="10"/>
    </row>
    <row r="414" spans="1:16" ht="15.6" x14ac:dyDescent="0.3">
      <c r="A414" s="3">
        <f t="shared" si="43"/>
        <v>42</v>
      </c>
      <c r="B414" s="306" t="s">
        <v>467</v>
      </c>
      <c r="C414" s="307" t="s">
        <v>399</v>
      </c>
      <c r="D414" s="5" t="s">
        <v>1155</v>
      </c>
      <c r="E414" s="5">
        <v>10</v>
      </c>
      <c r="F414" s="354">
        <v>20</v>
      </c>
      <c r="G414" s="3">
        <f t="shared" si="41"/>
        <v>30</v>
      </c>
      <c r="H414" s="3"/>
      <c r="I414" s="3"/>
      <c r="J414" s="5">
        <v>20</v>
      </c>
      <c r="K414" s="6">
        <f t="shared" si="42"/>
        <v>50</v>
      </c>
      <c r="L414" s="7" t="str">
        <f t="shared" si="39"/>
        <v>C</v>
      </c>
      <c r="M414" s="7" t="str">
        <f t="shared" si="40"/>
        <v>Passed</v>
      </c>
      <c r="N414" s="10"/>
      <c r="O414" s="9"/>
      <c r="P414" s="10"/>
    </row>
    <row r="415" spans="1:16" ht="15.6" x14ac:dyDescent="0.3">
      <c r="A415" s="3">
        <f t="shared" si="43"/>
        <v>43</v>
      </c>
      <c r="B415" s="306" t="s">
        <v>468</v>
      </c>
      <c r="C415" s="383" t="s">
        <v>552</v>
      </c>
      <c r="D415" s="5" t="s">
        <v>1177</v>
      </c>
      <c r="E415" s="5">
        <v>10</v>
      </c>
      <c r="F415" s="5">
        <v>24</v>
      </c>
      <c r="G415" s="3">
        <f t="shared" si="41"/>
        <v>34</v>
      </c>
      <c r="H415" s="3"/>
      <c r="I415" s="3"/>
      <c r="J415" s="5">
        <v>37</v>
      </c>
      <c r="K415" s="6">
        <f t="shared" si="42"/>
        <v>71</v>
      </c>
      <c r="L415" s="7" t="str">
        <f t="shared" si="39"/>
        <v>B+</v>
      </c>
      <c r="M415" s="7" t="str">
        <f t="shared" si="40"/>
        <v>Passed</v>
      </c>
      <c r="N415" s="10"/>
      <c r="O415" s="9"/>
      <c r="P415" s="10"/>
    </row>
    <row r="416" spans="1:16" ht="15.6" x14ac:dyDescent="0.3">
      <c r="A416" s="3">
        <f t="shared" si="43"/>
        <v>44</v>
      </c>
      <c r="B416" s="306" t="s">
        <v>469</v>
      </c>
      <c r="C416" s="308" t="s">
        <v>400</v>
      </c>
      <c r="D416" s="5" t="s">
        <v>1187</v>
      </c>
      <c r="E416" s="5">
        <v>10</v>
      </c>
      <c r="F416" s="339">
        <v>24</v>
      </c>
      <c r="G416" s="3">
        <f t="shared" si="41"/>
        <v>34</v>
      </c>
      <c r="H416" s="3"/>
      <c r="I416" s="3"/>
      <c r="J416" s="5">
        <v>16</v>
      </c>
      <c r="K416" s="6">
        <f t="shared" si="42"/>
        <v>50</v>
      </c>
      <c r="L416" s="7" t="str">
        <f t="shared" si="39"/>
        <v>C</v>
      </c>
      <c r="M416" s="7" t="str">
        <f t="shared" si="40"/>
        <v>Passed</v>
      </c>
      <c r="N416" s="10"/>
      <c r="O416" s="9"/>
      <c r="P416" s="10"/>
    </row>
    <row r="417" spans="1:16" ht="15.6" x14ac:dyDescent="0.3">
      <c r="A417" s="3">
        <f t="shared" si="43"/>
        <v>45</v>
      </c>
      <c r="B417" s="306" t="s">
        <v>470</v>
      </c>
      <c r="C417" s="307" t="s">
        <v>401</v>
      </c>
      <c r="D417" s="5" t="s">
        <v>1189</v>
      </c>
      <c r="E417" s="5">
        <v>9</v>
      </c>
      <c r="F417" s="5">
        <v>19.5</v>
      </c>
      <c r="G417" s="3">
        <f t="shared" si="41"/>
        <v>28.5</v>
      </c>
      <c r="H417" s="3"/>
      <c r="I417" s="3"/>
      <c r="J417" s="5">
        <v>26</v>
      </c>
      <c r="K417" s="6">
        <f t="shared" si="42"/>
        <v>54.5</v>
      </c>
      <c r="L417" s="7" t="str">
        <f t="shared" si="39"/>
        <v>C</v>
      </c>
      <c r="M417" s="7" t="str">
        <f t="shared" si="40"/>
        <v>Passed</v>
      </c>
      <c r="N417" s="10"/>
      <c r="O417" s="9"/>
      <c r="P417" s="10"/>
    </row>
    <row r="418" spans="1:16" ht="15.6" x14ac:dyDescent="0.3">
      <c r="A418" s="3">
        <f t="shared" si="43"/>
        <v>46</v>
      </c>
      <c r="B418" s="306" t="s">
        <v>471</v>
      </c>
      <c r="C418" s="307" t="s">
        <v>402</v>
      </c>
      <c r="D418" s="5" t="s">
        <v>1206</v>
      </c>
      <c r="E418" s="5">
        <v>9</v>
      </c>
      <c r="F418" s="5">
        <v>17</v>
      </c>
      <c r="G418" s="3">
        <f t="shared" si="41"/>
        <v>26</v>
      </c>
      <c r="H418" s="3"/>
      <c r="I418" s="3"/>
      <c r="J418" s="5">
        <v>24</v>
      </c>
      <c r="K418" s="6">
        <f t="shared" si="42"/>
        <v>50</v>
      </c>
      <c r="L418" s="7" t="str">
        <f t="shared" si="39"/>
        <v>C</v>
      </c>
      <c r="M418" s="7" t="str">
        <f t="shared" si="40"/>
        <v>Passed</v>
      </c>
      <c r="N418" s="10"/>
      <c r="O418" s="9"/>
      <c r="P418" s="10"/>
    </row>
    <row r="419" spans="1:16" ht="15.6" x14ac:dyDescent="0.3">
      <c r="A419" s="3">
        <f t="shared" si="43"/>
        <v>47</v>
      </c>
      <c r="B419" s="306" t="s">
        <v>472</v>
      </c>
      <c r="C419" s="12" t="s">
        <v>403</v>
      </c>
      <c r="D419" s="5" t="s">
        <v>1200</v>
      </c>
      <c r="E419" s="5">
        <v>10</v>
      </c>
      <c r="F419" s="5">
        <v>20</v>
      </c>
      <c r="G419" s="3">
        <f t="shared" si="41"/>
        <v>30</v>
      </c>
      <c r="H419" s="3"/>
      <c r="I419" s="3"/>
      <c r="J419" s="5">
        <v>25</v>
      </c>
      <c r="K419" s="6">
        <f t="shared" si="42"/>
        <v>55</v>
      </c>
      <c r="L419" s="7" t="str">
        <f t="shared" si="39"/>
        <v>C+</v>
      </c>
      <c r="M419" s="7" t="str">
        <f t="shared" si="40"/>
        <v>Passed</v>
      </c>
      <c r="N419" s="10"/>
      <c r="O419" s="9"/>
      <c r="P419" s="10"/>
    </row>
    <row r="420" spans="1:16" ht="15.6" x14ac:dyDescent="0.3">
      <c r="A420" s="3">
        <f t="shared" si="43"/>
        <v>48</v>
      </c>
      <c r="B420" s="12" t="s">
        <v>473</v>
      </c>
      <c r="C420" s="307" t="s">
        <v>404</v>
      </c>
      <c r="D420" s="5" t="s">
        <v>1188</v>
      </c>
      <c r="E420" s="5">
        <v>10</v>
      </c>
      <c r="F420" s="5">
        <v>28</v>
      </c>
      <c r="G420" s="3">
        <f t="shared" si="41"/>
        <v>38</v>
      </c>
      <c r="H420" s="3"/>
      <c r="I420" s="3"/>
      <c r="J420" s="5">
        <v>28</v>
      </c>
      <c r="K420" s="6">
        <f t="shared" si="42"/>
        <v>66</v>
      </c>
      <c r="L420" s="7" t="str">
        <f t="shared" si="39"/>
        <v>B</v>
      </c>
      <c r="M420" s="7" t="str">
        <f t="shared" si="40"/>
        <v>Passed</v>
      </c>
      <c r="N420" s="10"/>
      <c r="O420" s="9"/>
      <c r="P420" s="10"/>
    </row>
    <row r="421" spans="1:16" ht="15.6" x14ac:dyDescent="0.3">
      <c r="A421" s="3">
        <f t="shared" si="43"/>
        <v>49</v>
      </c>
      <c r="B421" s="12" t="s">
        <v>474</v>
      </c>
      <c r="C421" s="307" t="s">
        <v>405</v>
      </c>
      <c r="D421" s="5" t="s">
        <v>1205</v>
      </c>
      <c r="E421" s="5">
        <v>9</v>
      </c>
      <c r="F421" s="5">
        <v>20</v>
      </c>
      <c r="G421" s="3">
        <f t="shared" si="41"/>
        <v>29</v>
      </c>
      <c r="H421" s="3"/>
      <c r="I421" s="3"/>
      <c r="J421" s="5">
        <v>8</v>
      </c>
      <c r="K421" s="6">
        <f t="shared" si="42"/>
        <v>37</v>
      </c>
      <c r="L421" s="7" t="str">
        <f t="shared" si="39"/>
        <v>F</v>
      </c>
      <c r="M421" s="7" t="str">
        <f t="shared" si="40"/>
        <v>Failed</v>
      </c>
      <c r="N421" s="10"/>
      <c r="O421" s="9"/>
      <c r="P421" s="10"/>
    </row>
    <row r="422" spans="1:16" ht="15.6" x14ac:dyDescent="0.3">
      <c r="A422" s="3">
        <f t="shared" si="43"/>
        <v>50</v>
      </c>
      <c r="B422" s="12" t="s">
        <v>475</v>
      </c>
      <c r="C422" s="307" t="s">
        <v>406</v>
      </c>
      <c r="D422" s="5" t="s">
        <v>1198</v>
      </c>
      <c r="E422" s="5">
        <v>10</v>
      </c>
      <c r="F422" s="5">
        <v>24</v>
      </c>
      <c r="G422" s="3">
        <f t="shared" si="41"/>
        <v>34</v>
      </c>
      <c r="H422" s="3"/>
      <c r="I422" s="3"/>
      <c r="J422" s="5">
        <v>38</v>
      </c>
      <c r="K422" s="6">
        <f t="shared" si="42"/>
        <v>72</v>
      </c>
      <c r="L422" s="7" t="str">
        <f t="shared" si="39"/>
        <v>B+</v>
      </c>
      <c r="M422" s="7" t="str">
        <f t="shared" si="40"/>
        <v>Passed</v>
      </c>
      <c r="N422" s="10"/>
      <c r="O422" s="9"/>
      <c r="P422" s="10"/>
    </row>
    <row r="423" spans="1:16" ht="15.6" x14ac:dyDescent="0.3">
      <c r="A423" s="3">
        <f t="shared" si="43"/>
        <v>51</v>
      </c>
      <c r="B423" s="12" t="s">
        <v>476</v>
      </c>
      <c r="C423" s="307" t="s">
        <v>407</v>
      </c>
      <c r="D423" s="5" t="s">
        <v>1191</v>
      </c>
      <c r="E423" s="5">
        <v>10</v>
      </c>
      <c r="F423" s="5">
        <v>13</v>
      </c>
      <c r="G423" s="3">
        <f t="shared" si="41"/>
        <v>23</v>
      </c>
      <c r="H423" s="3"/>
      <c r="I423" s="3"/>
      <c r="J423" s="5">
        <v>16</v>
      </c>
      <c r="K423" s="6">
        <f t="shared" si="42"/>
        <v>39</v>
      </c>
      <c r="L423" s="7" t="str">
        <f t="shared" si="39"/>
        <v>F</v>
      </c>
      <c r="M423" s="7" t="str">
        <f t="shared" si="40"/>
        <v>Failed</v>
      </c>
      <c r="N423" s="10"/>
      <c r="O423" s="9"/>
      <c r="P423" s="10"/>
    </row>
    <row r="424" spans="1:16" ht="15.6" x14ac:dyDescent="0.3">
      <c r="A424" s="3">
        <f t="shared" si="43"/>
        <v>52</v>
      </c>
      <c r="B424" s="12" t="s">
        <v>477</v>
      </c>
      <c r="C424" s="307" t="s">
        <v>408</v>
      </c>
      <c r="D424" s="5" t="s">
        <v>1169</v>
      </c>
      <c r="E424" s="5">
        <v>10</v>
      </c>
      <c r="F424" s="5">
        <v>14</v>
      </c>
      <c r="G424" s="3">
        <f t="shared" si="41"/>
        <v>24</v>
      </c>
      <c r="H424" s="3"/>
      <c r="I424" s="3"/>
      <c r="J424" s="5">
        <v>13</v>
      </c>
      <c r="K424" s="6">
        <f t="shared" si="42"/>
        <v>37</v>
      </c>
      <c r="L424" s="7" t="str">
        <f t="shared" si="39"/>
        <v>F</v>
      </c>
      <c r="M424" s="7" t="str">
        <f t="shared" si="40"/>
        <v>Failed</v>
      </c>
      <c r="N424" s="10"/>
      <c r="O424" s="9"/>
      <c r="P424" s="10"/>
    </row>
    <row r="425" spans="1:16" ht="15.6" x14ac:dyDescent="0.3">
      <c r="A425" s="3">
        <f t="shared" si="43"/>
        <v>53</v>
      </c>
      <c r="B425" s="12" t="s">
        <v>478</v>
      </c>
      <c r="C425" s="307" t="s">
        <v>409</v>
      </c>
      <c r="D425" s="5" t="s">
        <v>1156</v>
      </c>
      <c r="E425" s="5">
        <v>10</v>
      </c>
      <c r="F425" s="65">
        <v>23.5</v>
      </c>
      <c r="G425" s="3">
        <f t="shared" si="41"/>
        <v>33.5</v>
      </c>
      <c r="H425" s="3"/>
      <c r="I425" s="3"/>
      <c r="J425" s="5">
        <v>32</v>
      </c>
      <c r="K425" s="6">
        <f t="shared" si="42"/>
        <v>65.5</v>
      </c>
      <c r="L425" s="7" t="str">
        <f t="shared" si="39"/>
        <v>B</v>
      </c>
      <c r="M425" s="7" t="str">
        <f t="shared" si="40"/>
        <v>Passed</v>
      </c>
      <c r="N425" s="10"/>
      <c r="O425" s="9"/>
      <c r="P425" s="10"/>
    </row>
    <row r="426" spans="1:16" ht="15.6" x14ac:dyDescent="0.3">
      <c r="A426" s="3">
        <f t="shared" si="43"/>
        <v>54</v>
      </c>
      <c r="B426" s="12" t="s">
        <v>479</v>
      </c>
      <c r="C426" s="12" t="s">
        <v>410</v>
      </c>
      <c r="D426" s="5" t="s">
        <v>1197</v>
      </c>
      <c r="E426" s="5">
        <v>10</v>
      </c>
      <c r="F426" s="5">
        <v>21</v>
      </c>
      <c r="G426" s="3">
        <f t="shared" si="41"/>
        <v>31</v>
      </c>
      <c r="H426" s="5"/>
      <c r="I426" s="5"/>
      <c r="J426" s="5">
        <v>30</v>
      </c>
      <c r="K426" s="6">
        <f t="shared" si="42"/>
        <v>61</v>
      </c>
      <c r="L426" s="7" t="str">
        <f t="shared" si="39"/>
        <v>B</v>
      </c>
      <c r="M426" s="7" t="str">
        <f t="shared" si="40"/>
        <v>Passed</v>
      </c>
      <c r="N426" s="10"/>
      <c r="O426" s="9"/>
      <c r="P426" s="10"/>
    </row>
    <row r="427" spans="1:16" ht="15.6" x14ac:dyDescent="0.3">
      <c r="A427" s="339">
        <v>55</v>
      </c>
      <c r="B427" s="340"/>
      <c r="C427" s="363" t="s">
        <v>511</v>
      </c>
      <c r="D427" s="5" t="s">
        <v>1154</v>
      </c>
      <c r="E427" s="339"/>
      <c r="F427" s="351">
        <v>26.5</v>
      </c>
      <c r="G427" s="339">
        <f t="shared" si="41"/>
        <v>26.5</v>
      </c>
      <c r="H427" s="339"/>
      <c r="I427" s="339"/>
      <c r="J427" s="339" t="s">
        <v>1938</v>
      </c>
      <c r="K427" s="348"/>
      <c r="L427" s="7"/>
      <c r="M427" s="7"/>
      <c r="N427" s="10"/>
      <c r="O427" s="9"/>
      <c r="P427" s="10"/>
    </row>
    <row r="428" spans="1:16" ht="15.6" x14ac:dyDescent="0.3">
      <c r="A428" s="83"/>
      <c r="B428" s="56"/>
      <c r="C428" s="56"/>
      <c r="D428" s="57"/>
      <c r="E428" s="57"/>
      <c r="F428" s="57"/>
      <c r="G428" s="83"/>
      <c r="H428" s="57"/>
      <c r="I428" s="57"/>
      <c r="J428" s="57"/>
      <c r="K428" s="322"/>
      <c r="L428" s="7"/>
      <c r="M428" s="7"/>
      <c r="N428" s="10"/>
      <c r="O428" s="9"/>
      <c r="P428" s="10"/>
    </row>
    <row r="429" spans="1:16" ht="15.6" x14ac:dyDescent="0.3">
      <c r="A429" s="83"/>
      <c r="B429" s="56"/>
      <c r="C429" s="56"/>
      <c r="D429" s="57"/>
      <c r="E429" s="57"/>
      <c r="F429" s="57"/>
      <c r="G429" s="83"/>
      <c r="H429" s="57"/>
      <c r="I429" s="57"/>
      <c r="J429" s="57"/>
      <c r="K429" s="322"/>
      <c r="L429" s="7"/>
      <c r="M429" s="7"/>
      <c r="N429" s="10"/>
      <c r="O429" s="9"/>
      <c r="P429" s="10"/>
    </row>
    <row r="430" spans="1:16" ht="15.6" x14ac:dyDescent="0.3">
      <c r="A430" s="83"/>
      <c r="B430" s="56"/>
      <c r="C430" s="56"/>
      <c r="D430" s="57"/>
      <c r="E430" s="57"/>
      <c r="F430" s="57"/>
      <c r="G430" s="83"/>
      <c r="H430" s="57"/>
      <c r="I430" s="57"/>
      <c r="J430" s="57"/>
      <c r="K430" s="322"/>
      <c r="L430" s="7"/>
      <c r="M430" s="7"/>
      <c r="N430" s="10"/>
      <c r="O430" s="9"/>
      <c r="P430" s="10"/>
    </row>
    <row r="431" spans="1:16" ht="15.6" x14ac:dyDescent="0.3">
      <c r="A431" s="83"/>
      <c r="B431" s="56"/>
      <c r="C431" s="56"/>
      <c r="D431" s="57"/>
      <c r="E431" s="57"/>
      <c r="F431" s="57"/>
      <c r="G431" s="83"/>
      <c r="H431" s="57"/>
      <c r="I431" s="57"/>
      <c r="J431" s="57"/>
      <c r="K431" s="322"/>
      <c r="L431" s="7"/>
      <c r="M431" s="7"/>
      <c r="N431" s="10"/>
      <c r="O431" s="9"/>
      <c r="P431" s="10"/>
    </row>
    <row r="432" spans="1:16" ht="15.6" x14ac:dyDescent="0.3">
      <c r="A432" s="83"/>
      <c r="B432" s="56"/>
      <c r="C432" s="56"/>
      <c r="D432" s="57"/>
      <c r="E432" s="57"/>
      <c r="F432" s="57"/>
      <c r="G432" s="83"/>
      <c r="H432" s="57"/>
      <c r="I432" s="57"/>
      <c r="J432" s="57"/>
      <c r="K432" s="322"/>
      <c r="L432" s="7"/>
      <c r="M432" s="7"/>
      <c r="N432" s="10"/>
      <c r="O432" s="9"/>
      <c r="P432" s="10"/>
    </row>
    <row r="433" spans="1:16" ht="15.6" x14ac:dyDescent="0.3">
      <c r="A433" s="83"/>
      <c r="B433" s="56"/>
      <c r="C433" s="56"/>
      <c r="D433" s="57"/>
      <c r="E433" s="57"/>
      <c r="F433" s="57"/>
      <c r="G433" s="83"/>
      <c r="H433" s="57"/>
      <c r="I433" s="57"/>
      <c r="J433" s="57"/>
      <c r="K433" s="322"/>
      <c r="L433" s="7"/>
      <c r="M433" s="7"/>
      <c r="N433" s="10"/>
      <c r="O433" s="9"/>
      <c r="P433" s="10"/>
    </row>
    <row r="434" spans="1:16" ht="15.6" x14ac:dyDescent="0.3">
      <c r="A434" s="83"/>
      <c r="B434" s="56"/>
      <c r="C434" s="56"/>
      <c r="D434" s="57"/>
      <c r="E434" s="57"/>
      <c r="F434" s="57"/>
      <c r="G434" s="83"/>
      <c r="H434" s="57"/>
      <c r="I434" s="57"/>
      <c r="J434" s="57"/>
      <c r="K434" s="322"/>
      <c r="L434" s="7"/>
      <c r="M434" s="7"/>
      <c r="N434" s="10"/>
      <c r="O434" s="9"/>
      <c r="P434" s="10"/>
    </row>
    <row r="435" spans="1:16" ht="15.6" x14ac:dyDescent="0.3">
      <c r="A435" s="83"/>
      <c r="B435" s="56"/>
      <c r="C435" s="56"/>
      <c r="D435" s="57"/>
      <c r="E435" s="57"/>
      <c r="F435" s="57"/>
      <c r="G435" s="83"/>
      <c r="H435" s="57"/>
      <c r="I435" s="57"/>
      <c r="J435" s="57"/>
      <c r="K435" s="322"/>
      <c r="L435" s="7"/>
      <c r="M435" s="7"/>
      <c r="N435" s="10"/>
      <c r="O435" s="9"/>
      <c r="P435" s="10"/>
    </row>
    <row r="436" spans="1:16" ht="15.6" x14ac:dyDescent="0.3">
      <c r="A436" s="83"/>
      <c r="B436" s="56"/>
      <c r="C436" s="56"/>
      <c r="D436" s="57"/>
      <c r="E436" s="57"/>
      <c r="F436" s="57"/>
      <c r="G436" s="83"/>
      <c r="H436" s="57"/>
      <c r="I436" s="57"/>
      <c r="J436" s="57"/>
      <c r="K436" s="322"/>
      <c r="L436" s="7"/>
      <c r="M436" s="7"/>
      <c r="N436" s="10"/>
      <c r="O436" s="9"/>
      <c r="P436" s="10"/>
    </row>
    <row r="437" spans="1:16" ht="15.6" x14ac:dyDescent="0.3">
      <c r="A437" s="57"/>
      <c r="B437" s="56"/>
      <c r="C437" s="76"/>
      <c r="D437" s="57"/>
      <c r="E437" s="57"/>
      <c r="F437" s="57"/>
      <c r="G437" s="57"/>
      <c r="H437" s="57"/>
      <c r="I437" s="57"/>
      <c r="J437" s="57"/>
      <c r="K437" s="57"/>
      <c r="L437" s="10"/>
      <c r="M437" s="10"/>
      <c r="N437" s="10"/>
      <c r="O437" s="9"/>
      <c r="P437" s="10"/>
    </row>
    <row r="438" spans="1:16" ht="15.6" x14ac:dyDescent="0.3">
      <c r="A438" s="10"/>
      <c r="B438" s="10"/>
      <c r="C438" s="75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9"/>
      <c r="P438" s="10"/>
    </row>
    <row r="439" spans="1:16" ht="15.6" x14ac:dyDescent="0.3">
      <c r="A439" s="17" t="s">
        <v>0</v>
      </c>
      <c r="B439" s="18"/>
      <c r="C439" s="71"/>
      <c r="D439" s="18"/>
      <c r="E439" s="18"/>
      <c r="F439" s="18"/>
      <c r="G439" s="18"/>
      <c r="H439" s="67"/>
      <c r="I439" s="67"/>
      <c r="J439" s="18"/>
      <c r="K439" s="18"/>
      <c r="L439" s="10"/>
      <c r="M439" s="10"/>
      <c r="N439" s="10"/>
      <c r="O439" s="9"/>
      <c r="P439" s="10"/>
    </row>
    <row r="440" spans="1:16" ht="15.6" x14ac:dyDescent="0.3">
      <c r="A440" s="503" t="s">
        <v>36</v>
      </c>
      <c r="B440" s="504"/>
      <c r="C440" s="504"/>
      <c r="D440" s="504"/>
      <c r="E440" s="504"/>
      <c r="F440" s="504"/>
      <c r="G440" s="504"/>
      <c r="H440" s="504"/>
      <c r="I440" s="67"/>
      <c r="J440" s="18"/>
      <c r="K440" s="18"/>
      <c r="L440" s="10"/>
      <c r="M440" s="10"/>
      <c r="N440" s="10"/>
      <c r="O440" s="9"/>
      <c r="P440" s="10"/>
    </row>
    <row r="441" spans="1:16" ht="15.6" x14ac:dyDescent="0.3">
      <c r="A441" s="503" t="s">
        <v>362</v>
      </c>
      <c r="B441" s="504"/>
      <c r="C441" s="504"/>
      <c r="D441" s="504"/>
      <c r="E441" s="504"/>
      <c r="F441" s="504"/>
      <c r="G441" s="504"/>
      <c r="H441" s="504"/>
      <c r="I441" s="67"/>
      <c r="J441" s="18"/>
      <c r="K441" s="18"/>
      <c r="L441" s="19"/>
      <c r="M441" s="10"/>
      <c r="N441" s="10"/>
      <c r="O441" s="9"/>
      <c r="P441" s="10"/>
    </row>
    <row r="442" spans="1:16" ht="15.6" x14ac:dyDescent="0.3">
      <c r="A442" s="20" t="s">
        <v>1</v>
      </c>
      <c r="B442" s="21"/>
      <c r="C442" s="86" t="s">
        <v>69</v>
      </c>
      <c r="D442" s="87"/>
      <c r="E442" s="87"/>
      <c r="F442" s="87"/>
      <c r="G442" s="87"/>
      <c r="H442" s="87"/>
      <c r="I442" s="87"/>
      <c r="J442" s="87"/>
      <c r="K442" s="18"/>
      <c r="L442" s="19"/>
      <c r="M442" s="10"/>
      <c r="N442" s="10"/>
      <c r="O442" s="9"/>
      <c r="P442" s="10"/>
    </row>
    <row r="443" spans="1:16" ht="15.6" x14ac:dyDescent="0.3">
      <c r="A443" s="20" t="s">
        <v>3</v>
      </c>
      <c r="B443" s="21"/>
      <c r="C443" s="88" t="s">
        <v>186</v>
      </c>
      <c r="D443" s="89"/>
      <c r="E443" s="89"/>
      <c r="F443" s="89"/>
      <c r="G443" s="89"/>
      <c r="H443" s="89"/>
      <c r="I443" s="89"/>
      <c r="J443" s="89"/>
      <c r="K443" s="18"/>
      <c r="L443" s="19"/>
      <c r="M443" s="10"/>
      <c r="N443" s="10"/>
      <c r="O443" s="9"/>
      <c r="P443" s="10"/>
    </row>
    <row r="444" spans="1:16" ht="15.6" x14ac:dyDescent="0.3">
      <c r="A444" s="20" t="s">
        <v>4</v>
      </c>
      <c r="B444" s="21"/>
      <c r="C444" s="86" t="s">
        <v>185</v>
      </c>
      <c r="D444" s="87"/>
      <c r="E444" s="87"/>
      <c r="F444" s="87"/>
      <c r="G444" s="87"/>
      <c r="H444" s="87"/>
      <c r="I444" s="87"/>
      <c r="J444" s="87"/>
      <c r="K444" s="18"/>
      <c r="L444" s="19"/>
      <c r="M444" s="10"/>
      <c r="N444" s="10"/>
      <c r="O444" s="9"/>
      <c r="P444" s="10"/>
    </row>
    <row r="445" spans="1:16" ht="15.6" x14ac:dyDescent="0.3">
      <c r="A445" s="20" t="s">
        <v>5</v>
      </c>
      <c r="B445" s="21"/>
      <c r="C445" s="86">
        <v>2</v>
      </c>
      <c r="D445" s="87"/>
      <c r="E445" s="87"/>
      <c r="F445" s="87"/>
      <c r="G445" s="87"/>
      <c r="H445" s="87"/>
      <c r="I445" s="87"/>
      <c r="J445" s="87"/>
      <c r="K445" s="18"/>
      <c r="L445" s="19"/>
      <c r="M445" s="10"/>
      <c r="N445" s="10"/>
      <c r="O445" s="9"/>
      <c r="P445" s="10"/>
    </row>
    <row r="446" spans="1:16" ht="15.6" x14ac:dyDescent="0.3">
      <c r="A446" s="508" t="s">
        <v>6</v>
      </c>
      <c r="B446" s="509"/>
      <c r="C446" s="95" t="s">
        <v>1934</v>
      </c>
      <c r="D446" s="94"/>
      <c r="E446" s="94"/>
      <c r="F446" s="94"/>
      <c r="G446" s="94"/>
      <c r="H446" s="94"/>
      <c r="I446" s="94"/>
      <c r="J446" s="94"/>
      <c r="K446" s="18"/>
      <c r="L446" s="19"/>
      <c r="M446" s="10"/>
      <c r="N446" s="10"/>
      <c r="O446" s="9"/>
      <c r="P446" s="10"/>
    </row>
    <row r="447" spans="1:16" ht="16.2" x14ac:dyDescent="0.35">
      <c r="A447" s="508" t="s">
        <v>7</v>
      </c>
      <c r="B447" s="509"/>
      <c r="C447" s="72" t="s">
        <v>545</v>
      </c>
      <c r="D447" s="18"/>
      <c r="E447" s="22"/>
      <c r="F447" s="18"/>
      <c r="G447" s="18"/>
      <c r="H447" s="67"/>
      <c r="I447" s="67"/>
      <c r="J447" s="18"/>
      <c r="K447" s="18"/>
      <c r="L447" s="19"/>
      <c r="M447" s="10"/>
      <c r="N447" s="10"/>
      <c r="O447" s="9"/>
      <c r="P447" s="10"/>
    </row>
    <row r="448" spans="1:16" ht="68.400000000000006" x14ac:dyDescent="0.3">
      <c r="A448" s="24" t="s">
        <v>8</v>
      </c>
      <c r="B448" s="24" t="s">
        <v>9</v>
      </c>
      <c r="C448" s="73" t="s">
        <v>10</v>
      </c>
      <c r="D448" s="26" t="s">
        <v>11</v>
      </c>
      <c r="E448" s="27" t="s">
        <v>12</v>
      </c>
      <c r="F448" s="27" t="s">
        <v>13</v>
      </c>
      <c r="G448" s="27" t="s">
        <v>14</v>
      </c>
      <c r="H448" s="27" t="s">
        <v>208</v>
      </c>
      <c r="I448" s="27" t="s">
        <v>209</v>
      </c>
      <c r="J448" s="27" t="s">
        <v>15</v>
      </c>
      <c r="K448" s="27" t="s">
        <v>16</v>
      </c>
      <c r="L448" s="19"/>
      <c r="M448" s="10"/>
      <c r="N448" s="10"/>
      <c r="O448" s="9"/>
      <c r="P448" s="10"/>
    </row>
    <row r="449" spans="1:22" ht="15.6" x14ac:dyDescent="0.3">
      <c r="A449" s="24"/>
      <c r="B449" s="24"/>
      <c r="C449" s="74"/>
      <c r="D449" s="3"/>
      <c r="E449" s="3"/>
      <c r="F449" s="3"/>
      <c r="G449" s="3"/>
      <c r="H449" s="3"/>
      <c r="I449" s="3"/>
      <c r="J449" s="3"/>
      <c r="K449" s="3"/>
      <c r="L449" s="23"/>
      <c r="M449" s="10"/>
      <c r="N449" s="10"/>
      <c r="O449" s="9"/>
      <c r="P449" s="10"/>
    </row>
    <row r="450" spans="1:22" ht="15.6" x14ac:dyDescent="0.3">
      <c r="A450" s="3"/>
      <c r="B450" s="10"/>
      <c r="C450" s="75"/>
      <c r="D450" s="10"/>
      <c r="E450" s="10"/>
      <c r="F450" s="10"/>
      <c r="G450" s="10"/>
      <c r="H450" s="10"/>
      <c r="I450" s="10"/>
      <c r="J450" s="10"/>
      <c r="K450" s="10"/>
      <c r="L450" s="34" t="s">
        <v>17</v>
      </c>
      <c r="M450" s="34" t="s">
        <v>18</v>
      </c>
      <c r="N450" s="8"/>
      <c r="O450" s="9"/>
      <c r="P450" s="10"/>
    </row>
    <row r="451" spans="1:22" ht="15.6" x14ac:dyDescent="0.3">
      <c r="A451" s="3">
        <f t="shared" ref="A451:A482" si="44">ROW(A1)</f>
        <v>1</v>
      </c>
      <c r="B451" s="306" t="s">
        <v>431</v>
      </c>
      <c r="C451" s="307" t="s">
        <v>365</v>
      </c>
      <c r="D451" s="5" t="s">
        <v>1495</v>
      </c>
      <c r="E451" s="3">
        <v>10</v>
      </c>
      <c r="F451" s="3">
        <v>27</v>
      </c>
      <c r="G451" s="3">
        <f>SUM(E451:F451)</f>
        <v>37</v>
      </c>
      <c r="H451" s="3"/>
      <c r="I451" s="3"/>
      <c r="J451" s="6">
        <v>34</v>
      </c>
      <c r="K451" s="6">
        <f>SUM(G451:J451)</f>
        <v>71</v>
      </c>
      <c r="L451" s="7" t="str">
        <f t="shared" ref="L451:L504" si="45">IF(K451&gt;=80,"A",IF(K451&gt;=70,"B+",IF(K451&gt;=60,"B",IF(K451&gt;=55,"C+",IF(K451&gt;=50,"C",IF(K451&gt;=45,"D+",IF(K451&gt;=40,"D","F")))))))</f>
        <v>B+</v>
      </c>
      <c r="M451" s="7" t="str">
        <f t="shared" ref="M451:M504" si="46">IF(K451&gt;=50,"Passed","Failed")</f>
        <v>Passed</v>
      </c>
      <c r="N451" s="7"/>
      <c r="O451" s="9"/>
      <c r="P451" s="10"/>
    </row>
    <row r="452" spans="1:22" ht="31.2" x14ac:dyDescent="0.3">
      <c r="A452" s="3">
        <f t="shared" si="44"/>
        <v>2</v>
      </c>
      <c r="B452" s="306" t="s">
        <v>586</v>
      </c>
      <c r="C452" s="308" t="s">
        <v>366</v>
      </c>
      <c r="D452" s="5" t="s">
        <v>1469</v>
      </c>
      <c r="E452" s="3">
        <v>10</v>
      </c>
      <c r="F452" s="3">
        <v>24</v>
      </c>
      <c r="G452" s="3">
        <f t="shared" ref="G452:G504" si="47">SUM(E452:F452)</f>
        <v>34</v>
      </c>
      <c r="H452" s="3"/>
      <c r="I452" s="3"/>
      <c r="J452" s="6">
        <v>48</v>
      </c>
      <c r="K452" s="6">
        <f t="shared" ref="K452:K504" si="48">SUM(G452:J452)</f>
        <v>82</v>
      </c>
      <c r="L452" s="7" t="str">
        <f t="shared" si="45"/>
        <v>A</v>
      </c>
      <c r="M452" s="7" t="str">
        <f t="shared" si="46"/>
        <v>Passed</v>
      </c>
      <c r="N452" s="8" t="s">
        <v>19</v>
      </c>
      <c r="O452" s="9"/>
      <c r="P452" s="10"/>
    </row>
    <row r="453" spans="1:22" ht="15.6" x14ac:dyDescent="0.3">
      <c r="A453" s="3">
        <f t="shared" si="44"/>
        <v>3</v>
      </c>
      <c r="B453" s="306" t="s">
        <v>432</v>
      </c>
      <c r="C453" s="309" t="s">
        <v>367</v>
      </c>
      <c r="D453" s="5" t="s">
        <v>1450</v>
      </c>
      <c r="E453" s="3">
        <v>10</v>
      </c>
      <c r="F453" s="3">
        <v>18</v>
      </c>
      <c r="G453" s="3">
        <f t="shared" si="47"/>
        <v>28</v>
      </c>
      <c r="H453" s="3"/>
      <c r="I453" s="3"/>
      <c r="J453" s="6">
        <v>29</v>
      </c>
      <c r="K453" s="6">
        <f t="shared" si="48"/>
        <v>57</v>
      </c>
      <c r="L453" s="7" t="str">
        <f t="shared" si="45"/>
        <v>C+</v>
      </c>
      <c r="M453" s="7" t="str">
        <f t="shared" si="46"/>
        <v>Passed</v>
      </c>
      <c r="N453" s="7" t="s">
        <v>20</v>
      </c>
      <c r="O453" s="9">
        <f>COUNT(G451:G504)</f>
        <v>54</v>
      </c>
      <c r="P453" s="10"/>
    </row>
    <row r="454" spans="1:22" ht="15.6" x14ac:dyDescent="0.3">
      <c r="A454" s="3">
        <f t="shared" si="44"/>
        <v>4</v>
      </c>
      <c r="B454" s="306" t="s">
        <v>433</v>
      </c>
      <c r="C454" s="310" t="s">
        <v>368</v>
      </c>
      <c r="D454" s="5" t="s">
        <v>1461</v>
      </c>
      <c r="E454" s="3">
        <v>9</v>
      </c>
      <c r="F454" s="3">
        <v>24</v>
      </c>
      <c r="G454" s="3">
        <f t="shared" si="47"/>
        <v>33</v>
      </c>
      <c r="H454" s="3"/>
      <c r="I454" s="3"/>
      <c r="J454" s="6">
        <v>40</v>
      </c>
      <c r="K454" s="6">
        <f t="shared" si="48"/>
        <v>73</v>
      </c>
      <c r="L454" s="7" t="str">
        <f t="shared" si="45"/>
        <v>B+</v>
      </c>
      <c r="M454" s="7" t="str">
        <f t="shared" si="46"/>
        <v>Passed</v>
      </c>
      <c r="N454" s="7" t="s">
        <v>21</v>
      </c>
      <c r="O454" s="9">
        <f>COUNT(J451:J504)</f>
        <v>54</v>
      </c>
      <c r="P454" s="10"/>
    </row>
    <row r="455" spans="1:22" ht="15.6" x14ac:dyDescent="0.3">
      <c r="A455" s="3">
        <f t="shared" si="44"/>
        <v>5</v>
      </c>
      <c r="B455" s="306" t="s">
        <v>434</v>
      </c>
      <c r="C455" s="310" t="s">
        <v>606</v>
      </c>
      <c r="D455" s="5" t="s">
        <v>1474</v>
      </c>
      <c r="E455" s="3">
        <v>9</v>
      </c>
      <c r="F455" s="3">
        <v>21</v>
      </c>
      <c r="G455" s="3">
        <f t="shared" si="47"/>
        <v>30</v>
      </c>
      <c r="H455" s="3"/>
      <c r="I455" s="3"/>
      <c r="J455" s="6">
        <v>31</v>
      </c>
      <c r="K455" s="6">
        <f t="shared" si="48"/>
        <v>61</v>
      </c>
      <c r="L455" s="7" t="str">
        <f t="shared" si="45"/>
        <v>B</v>
      </c>
      <c r="M455" s="7" t="str">
        <f t="shared" si="46"/>
        <v>Passed</v>
      </c>
      <c r="N455" s="7" t="s">
        <v>22</v>
      </c>
      <c r="O455" s="9">
        <f>O453-O454</f>
        <v>0</v>
      </c>
      <c r="P455" s="10"/>
    </row>
    <row r="456" spans="1:22" ht="15.6" x14ac:dyDescent="0.3">
      <c r="A456" s="3">
        <f t="shared" si="44"/>
        <v>6</v>
      </c>
      <c r="B456" s="306" t="s">
        <v>544</v>
      </c>
      <c r="C456" s="309" t="s">
        <v>369</v>
      </c>
      <c r="D456" s="5" t="s">
        <v>1454</v>
      </c>
      <c r="E456" s="3">
        <v>10</v>
      </c>
      <c r="F456" s="3">
        <v>26</v>
      </c>
      <c r="G456" s="3">
        <f t="shared" si="47"/>
        <v>36</v>
      </c>
      <c r="H456" s="3"/>
      <c r="I456" s="3"/>
      <c r="J456" s="31">
        <v>47</v>
      </c>
      <c r="K456" s="6">
        <f t="shared" si="48"/>
        <v>83</v>
      </c>
      <c r="L456" s="7" t="str">
        <f t="shared" si="45"/>
        <v>A</v>
      </c>
      <c r="M456" s="7" t="str">
        <f t="shared" si="46"/>
        <v>Passed</v>
      </c>
      <c r="N456" s="7" t="s">
        <v>23</v>
      </c>
      <c r="O456" s="9">
        <f>COUNTIF(M451:M504,"Passed")</f>
        <v>53</v>
      </c>
      <c r="P456" s="10"/>
    </row>
    <row r="457" spans="1:22" ht="15.6" x14ac:dyDescent="0.3">
      <c r="A457" s="3">
        <f t="shared" si="44"/>
        <v>7</v>
      </c>
      <c r="B457" s="306" t="s">
        <v>562</v>
      </c>
      <c r="C457" s="309" t="s">
        <v>370</v>
      </c>
      <c r="D457" s="5" t="s">
        <v>1496</v>
      </c>
      <c r="E457" s="5">
        <v>10</v>
      </c>
      <c r="F457" s="5">
        <v>22</v>
      </c>
      <c r="G457" s="3">
        <f t="shared" si="47"/>
        <v>32</v>
      </c>
      <c r="H457" s="3"/>
      <c r="I457" s="3"/>
      <c r="J457" s="31">
        <v>35</v>
      </c>
      <c r="K457" s="6">
        <f t="shared" si="48"/>
        <v>67</v>
      </c>
      <c r="L457" s="7" t="str">
        <f t="shared" si="45"/>
        <v>B</v>
      </c>
      <c r="M457" s="7" t="str">
        <f t="shared" si="46"/>
        <v>Passed</v>
      </c>
      <c r="N457" s="7" t="s">
        <v>24</v>
      </c>
      <c r="O457" s="29">
        <f>O456/O454%</f>
        <v>98.148148148148138</v>
      </c>
      <c r="P457" s="10"/>
    </row>
    <row r="458" spans="1:22" ht="15.6" x14ac:dyDescent="0.3">
      <c r="A458" s="3">
        <f t="shared" si="44"/>
        <v>8</v>
      </c>
      <c r="B458" s="306" t="s">
        <v>435</v>
      </c>
      <c r="C458" s="310" t="s">
        <v>595</v>
      </c>
      <c r="D458" s="5" t="s">
        <v>1491</v>
      </c>
      <c r="E458" s="5">
        <v>9</v>
      </c>
      <c r="F458" s="5">
        <v>23</v>
      </c>
      <c r="G458" s="3">
        <f t="shared" si="47"/>
        <v>32</v>
      </c>
      <c r="H458" s="3"/>
      <c r="I458" s="3"/>
      <c r="J458" s="31">
        <v>29</v>
      </c>
      <c r="K458" s="6">
        <f t="shared" si="48"/>
        <v>61</v>
      </c>
      <c r="L458" s="7" t="str">
        <f t="shared" si="45"/>
        <v>B</v>
      </c>
      <c r="M458" s="7" t="str">
        <f t="shared" si="46"/>
        <v>Passed</v>
      </c>
      <c r="N458" s="10" t="s">
        <v>25</v>
      </c>
      <c r="O458" s="9">
        <f>COUNTIF(M451:M504,"failed")</f>
        <v>1</v>
      </c>
      <c r="P458" s="10"/>
    </row>
    <row r="459" spans="1:22" ht="15.6" x14ac:dyDescent="0.3">
      <c r="A459" s="3">
        <f t="shared" si="44"/>
        <v>9</v>
      </c>
      <c r="B459" s="306" t="s">
        <v>436</v>
      </c>
      <c r="C459" s="309" t="s">
        <v>371</v>
      </c>
      <c r="D459" s="5" t="s">
        <v>1447</v>
      </c>
      <c r="E459" s="5">
        <v>10</v>
      </c>
      <c r="F459" s="36">
        <v>29</v>
      </c>
      <c r="G459" s="3">
        <f t="shared" si="47"/>
        <v>39</v>
      </c>
      <c r="H459" s="3"/>
      <c r="I459" s="3"/>
      <c r="J459" s="31">
        <v>50</v>
      </c>
      <c r="K459" s="6">
        <f t="shared" si="48"/>
        <v>89</v>
      </c>
      <c r="L459" s="7" t="str">
        <f t="shared" si="45"/>
        <v>A</v>
      </c>
      <c r="M459" s="7" t="str">
        <f t="shared" si="46"/>
        <v>Passed</v>
      </c>
      <c r="N459" s="10" t="s">
        <v>26</v>
      </c>
      <c r="O459" s="29">
        <f>O458/O454%</f>
        <v>1.8518518518518516</v>
      </c>
      <c r="P459" s="10"/>
    </row>
    <row r="460" spans="1:22" ht="15.6" x14ac:dyDescent="0.3">
      <c r="A460" s="3">
        <f t="shared" si="44"/>
        <v>10</v>
      </c>
      <c r="B460" s="306" t="s">
        <v>437</v>
      </c>
      <c r="C460" s="310" t="s">
        <v>372</v>
      </c>
      <c r="D460" s="5" t="s">
        <v>1472</v>
      </c>
      <c r="E460" s="5">
        <v>10</v>
      </c>
      <c r="F460" s="5">
        <v>19</v>
      </c>
      <c r="G460" s="3">
        <f t="shared" si="47"/>
        <v>29</v>
      </c>
      <c r="H460" s="3"/>
      <c r="I460" s="3"/>
      <c r="J460" s="31">
        <v>18</v>
      </c>
      <c r="K460" s="6">
        <f t="shared" si="48"/>
        <v>47</v>
      </c>
      <c r="L460" s="7" t="str">
        <f t="shared" si="45"/>
        <v>D+</v>
      </c>
      <c r="M460" s="7" t="str">
        <f t="shared" si="46"/>
        <v>Failed</v>
      </c>
      <c r="N460" s="10" t="s">
        <v>27</v>
      </c>
      <c r="O460" s="29">
        <f>AVERAGE(K451:K504)</f>
        <v>63.148148148148145</v>
      </c>
      <c r="P460" s="10"/>
    </row>
    <row r="461" spans="1:22" ht="15.6" x14ac:dyDescent="0.3">
      <c r="A461" s="3">
        <f t="shared" si="44"/>
        <v>11</v>
      </c>
      <c r="B461" s="306" t="s">
        <v>438</v>
      </c>
      <c r="C461" s="307" t="s">
        <v>373</v>
      </c>
      <c r="D461" s="5" t="s">
        <v>1446</v>
      </c>
      <c r="E461" s="5">
        <v>10</v>
      </c>
      <c r="F461" s="5">
        <v>29</v>
      </c>
      <c r="G461" s="3">
        <f t="shared" si="47"/>
        <v>39</v>
      </c>
      <c r="H461" s="3"/>
      <c r="I461" s="3"/>
      <c r="J461" s="31">
        <v>46</v>
      </c>
      <c r="K461" s="6">
        <f t="shared" si="48"/>
        <v>85</v>
      </c>
      <c r="L461" s="7" t="str">
        <f t="shared" si="45"/>
        <v>A</v>
      </c>
      <c r="M461" s="7" t="str">
        <f t="shared" si="46"/>
        <v>Passed</v>
      </c>
      <c r="N461" s="10"/>
      <c r="P461" s="10"/>
    </row>
    <row r="462" spans="1:22" ht="15.6" x14ac:dyDescent="0.3">
      <c r="A462" s="3">
        <f t="shared" si="44"/>
        <v>12</v>
      </c>
      <c r="B462" s="306" t="s">
        <v>439</v>
      </c>
      <c r="C462" s="307" t="s">
        <v>565</v>
      </c>
      <c r="D462" s="5" t="s">
        <v>1489</v>
      </c>
      <c r="E462" s="5">
        <v>10</v>
      </c>
      <c r="F462" s="5">
        <v>29</v>
      </c>
      <c r="G462" s="3">
        <f t="shared" si="47"/>
        <v>39</v>
      </c>
      <c r="H462" s="3"/>
      <c r="I462" s="3"/>
      <c r="J462" s="31">
        <v>39</v>
      </c>
      <c r="K462" s="6">
        <f t="shared" si="48"/>
        <v>78</v>
      </c>
      <c r="L462" s="7" t="str">
        <f t="shared" si="45"/>
        <v>B+</v>
      </c>
      <c r="M462" s="7" t="str">
        <f t="shared" si="46"/>
        <v>Passed</v>
      </c>
      <c r="N462" s="10"/>
      <c r="P462" s="10"/>
    </row>
    <row r="463" spans="1:22" ht="15.6" x14ac:dyDescent="0.3">
      <c r="A463" s="3">
        <f t="shared" si="44"/>
        <v>13</v>
      </c>
      <c r="B463" s="306" t="s">
        <v>440</v>
      </c>
      <c r="C463" s="310" t="s">
        <v>374</v>
      </c>
      <c r="D463" s="5" t="s">
        <v>1498</v>
      </c>
      <c r="E463" s="5">
        <v>10</v>
      </c>
      <c r="F463" s="5">
        <v>26</v>
      </c>
      <c r="G463" s="3">
        <f t="shared" si="47"/>
        <v>36</v>
      </c>
      <c r="H463" s="3"/>
      <c r="I463" s="3"/>
      <c r="J463" s="31">
        <v>46</v>
      </c>
      <c r="K463" s="6">
        <f t="shared" si="48"/>
        <v>82</v>
      </c>
      <c r="L463" s="7" t="str">
        <f t="shared" si="45"/>
        <v>A</v>
      </c>
      <c r="M463" s="7" t="str">
        <f t="shared" si="46"/>
        <v>Passed</v>
      </c>
      <c r="N463" s="10"/>
      <c r="P463" s="10"/>
    </row>
    <row r="464" spans="1:22" ht="15.6" x14ac:dyDescent="0.3">
      <c r="A464" s="3">
        <f t="shared" si="44"/>
        <v>14</v>
      </c>
      <c r="B464" s="306" t="s">
        <v>441</v>
      </c>
      <c r="C464" s="310" t="s">
        <v>375</v>
      </c>
      <c r="D464" s="5" t="s">
        <v>1493</v>
      </c>
      <c r="E464" s="5">
        <v>9</v>
      </c>
      <c r="F464" s="5">
        <v>19</v>
      </c>
      <c r="G464" s="3">
        <f t="shared" si="47"/>
        <v>28</v>
      </c>
      <c r="H464" s="3"/>
      <c r="I464" s="3"/>
      <c r="J464" s="31">
        <v>29</v>
      </c>
      <c r="K464" s="6">
        <f t="shared" si="48"/>
        <v>57</v>
      </c>
      <c r="L464" s="7" t="str">
        <f t="shared" si="45"/>
        <v>C+</v>
      </c>
      <c r="M464" s="7" t="str">
        <f t="shared" si="46"/>
        <v>Passed</v>
      </c>
      <c r="N464" s="10"/>
      <c r="O464" s="9" t="s">
        <v>28</v>
      </c>
      <c r="P464" s="10" t="s">
        <v>29</v>
      </c>
      <c r="Q464" t="s">
        <v>30</v>
      </c>
      <c r="R464" t="s">
        <v>31</v>
      </c>
      <c r="S464" t="s">
        <v>32</v>
      </c>
      <c r="T464" t="s">
        <v>33</v>
      </c>
      <c r="U464" t="s">
        <v>34</v>
      </c>
      <c r="V464" t="s">
        <v>35</v>
      </c>
    </row>
    <row r="465" spans="1:22" ht="15.6" x14ac:dyDescent="0.3">
      <c r="A465" s="3">
        <f t="shared" si="44"/>
        <v>15</v>
      </c>
      <c r="B465" s="306" t="s">
        <v>442</v>
      </c>
      <c r="C465" s="310" t="s">
        <v>376</v>
      </c>
      <c r="D465" s="5" t="s">
        <v>1467</v>
      </c>
      <c r="E465" s="5">
        <v>9</v>
      </c>
      <c r="F465" s="5">
        <v>23</v>
      </c>
      <c r="G465" s="3">
        <f t="shared" si="47"/>
        <v>32</v>
      </c>
      <c r="H465" s="3"/>
      <c r="I465" s="3"/>
      <c r="J465" s="31">
        <v>26</v>
      </c>
      <c r="K465" s="6">
        <f t="shared" si="48"/>
        <v>58</v>
      </c>
      <c r="L465" s="7" t="str">
        <f t="shared" si="45"/>
        <v>C+</v>
      </c>
      <c r="M465" s="7" t="str">
        <f t="shared" si="46"/>
        <v>Passed</v>
      </c>
      <c r="N465" s="11"/>
      <c r="O465" s="9">
        <f>COUNTIF(L451:L504,"A")</f>
        <v>6</v>
      </c>
      <c r="P465" s="10">
        <f>COUNTIF(L451:L504,"B+")</f>
        <v>7</v>
      </c>
      <c r="Q465">
        <f>COUNTIF(L451:L504,"B")</f>
        <v>16</v>
      </c>
      <c r="R465">
        <f>COUNTIF(L451:L504,"C+")</f>
        <v>10</v>
      </c>
      <c r="S465">
        <f>COUNTIF(L451:L504,"C")</f>
        <v>14</v>
      </c>
      <c r="T465">
        <f>COUNTIF(L451:L504,"D+")</f>
        <v>1</v>
      </c>
      <c r="U465">
        <f>COUNTIF(L451:L504,"D")</f>
        <v>0</v>
      </c>
      <c r="V465">
        <f>COUNTIF(L451:L504,"F")</f>
        <v>0</v>
      </c>
    </row>
    <row r="466" spans="1:22" ht="15.6" x14ac:dyDescent="0.3">
      <c r="A466" s="3">
        <f t="shared" si="44"/>
        <v>16</v>
      </c>
      <c r="B466" s="306" t="s">
        <v>443</v>
      </c>
      <c r="C466" s="307" t="s">
        <v>377</v>
      </c>
      <c r="D466" s="5" t="s">
        <v>1448</v>
      </c>
      <c r="E466" s="5">
        <v>10</v>
      </c>
      <c r="F466" s="5">
        <v>24</v>
      </c>
      <c r="G466" s="3">
        <f t="shared" si="47"/>
        <v>34</v>
      </c>
      <c r="H466" s="3"/>
      <c r="I466" s="3"/>
      <c r="J466" s="31">
        <v>26</v>
      </c>
      <c r="K466" s="6">
        <f t="shared" si="48"/>
        <v>60</v>
      </c>
      <c r="L466" s="7" t="str">
        <f t="shared" si="45"/>
        <v>B</v>
      </c>
      <c r="M466" s="7" t="str">
        <f t="shared" si="46"/>
        <v>Passed</v>
      </c>
      <c r="N466" s="10"/>
      <c r="O466" s="9"/>
      <c r="P466" s="10"/>
    </row>
    <row r="467" spans="1:22" ht="15.6" x14ac:dyDescent="0.3">
      <c r="A467" s="3">
        <f t="shared" si="44"/>
        <v>17</v>
      </c>
      <c r="B467" s="306" t="s">
        <v>444</v>
      </c>
      <c r="C467" s="310" t="s">
        <v>378</v>
      </c>
      <c r="D467" s="5" t="s">
        <v>1463</v>
      </c>
      <c r="E467" s="5">
        <v>10</v>
      </c>
      <c r="F467" s="5">
        <v>24</v>
      </c>
      <c r="G467" s="3">
        <f t="shared" si="47"/>
        <v>34</v>
      </c>
      <c r="H467" s="3"/>
      <c r="I467" s="3"/>
      <c r="J467" s="31">
        <v>29</v>
      </c>
      <c r="K467" s="6">
        <f t="shared" si="48"/>
        <v>63</v>
      </c>
      <c r="L467" s="7" t="str">
        <f t="shared" si="45"/>
        <v>B</v>
      </c>
      <c r="M467" s="7" t="str">
        <f t="shared" si="46"/>
        <v>Passed</v>
      </c>
      <c r="N467" s="10"/>
      <c r="O467" s="9"/>
      <c r="P467" s="10"/>
    </row>
    <row r="468" spans="1:22" ht="15.6" x14ac:dyDescent="0.3">
      <c r="A468" s="3">
        <f t="shared" si="44"/>
        <v>18</v>
      </c>
      <c r="B468" s="306" t="s">
        <v>445</v>
      </c>
      <c r="C468" s="308" t="s">
        <v>379</v>
      </c>
      <c r="D468" s="5" t="s">
        <v>1460</v>
      </c>
      <c r="E468" s="5">
        <v>10</v>
      </c>
      <c r="F468" s="5">
        <v>30</v>
      </c>
      <c r="G468" s="3">
        <f t="shared" si="47"/>
        <v>40</v>
      </c>
      <c r="H468" s="3"/>
      <c r="I468" s="3"/>
      <c r="J468" s="31">
        <v>49</v>
      </c>
      <c r="K468" s="6">
        <f t="shared" si="48"/>
        <v>89</v>
      </c>
      <c r="L468" s="7" t="str">
        <f t="shared" si="45"/>
        <v>A</v>
      </c>
      <c r="M468" s="7" t="str">
        <f t="shared" si="46"/>
        <v>Passed</v>
      </c>
      <c r="N468" s="10"/>
      <c r="O468" s="9"/>
      <c r="P468" s="10"/>
    </row>
    <row r="469" spans="1:22" ht="15.6" x14ac:dyDescent="0.3">
      <c r="A469" s="3">
        <f t="shared" si="44"/>
        <v>19</v>
      </c>
      <c r="B469" s="306" t="s">
        <v>446</v>
      </c>
      <c r="C469" s="310" t="s">
        <v>602</v>
      </c>
      <c r="D469" s="5" t="s">
        <v>1457</v>
      </c>
      <c r="E469" s="5">
        <v>10</v>
      </c>
      <c r="F469" s="5">
        <v>24</v>
      </c>
      <c r="G469" s="3">
        <f t="shared" si="47"/>
        <v>34</v>
      </c>
      <c r="H469" s="3"/>
      <c r="I469" s="3"/>
      <c r="J469" s="31">
        <v>35</v>
      </c>
      <c r="K469" s="6">
        <f t="shared" si="48"/>
        <v>69</v>
      </c>
      <c r="L469" s="7" t="str">
        <f t="shared" si="45"/>
        <v>B</v>
      </c>
      <c r="M469" s="7" t="str">
        <f t="shared" si="46"/>
        <v>Passed</v>
      </c>
      <c r="N469" s="10"/>
      <c r="O469" s="9"/>
      <c r="P469" s="10"/>
    </row>
    <row r="470" spans="1:22" ht="15.6" x14ac:dyDescent="0.3">
      <c r="A470" s="3">
        <f t="shared" si="44"/>
        <v>20</v>
      </c>
      <c r="B470" s="306" t="s">
        <v>448</v>
      </c>
      <c r="C470" s="308" t="s">
        <v>380</v>
      </c>
      <c r="D470" s="5" t="s">
        <v>1486</v>
      </c>
      <c r="E470" s="5">
        <v>10</v>
      </c>
      <c r="F470" s="5">
        <v>18</v>
      </c>
      <c r="G470" s="3">
        <f t="shared" si="47"/>
        <v>28</v>
      </c>
      <c r="H470" s="3"/>
      <c r="I470" s="3"/>
      <c r="J470" s="31">
        <v>25</v>
      </c>
      <c r="K470" s="6">
        <f t="shared" si="48"/>
        <v>53</v>
      </c>
      <c r="L470" s="7" t="str">
        <f t="shared" si="45"/>
        <v>C</v>
      </c>
      <c r="M470" s="7" t="str">
        <f t="shared" si="46"/>
        <v>Passed</v>
      </c>
      <c r="N470" s="10"/>
      <c r="O470" s="9"/>
      <c r="P470" s="10"/>
    </row>
    <row r="471" spans="1:22" ht="15.6" x14ac:dyDescent="0.3">
      <c r="A471" s="3">
        <f t="shared" si="44"/>
        <v>21</v>
      </c>
      <c r="B471" s="306" t="s">
        <v>447</v>
      </c>
      <c r="C471" s="310" t="s">
        <v>381</v>
      </c>
      <c r="D471" s="5" t="s">
        <v>1476</v>
      </c>
      <c r="E471" s="5">
        <v>10</v>
      </c>
      <c r="F471" s="5">
        <v>23</v>
      </c>
      <c r="G471" s="3">
        <f t="shared" si="47"/>
        <v>33</v>
      </c>
      <c r="H471" s="3"/>
      <c r="I471" s="3"/>
      <c r="J471" s="31">
        <v>35</v>
      </c>
      <c r="K471" s="6">
        <f t="shared" si="48"/>
        <v>68</v>
      </c>
      <c r="L471" s="7" t="str">
        <f t="shared" si="45"/>
        <v>B</v>
      </c>
      <c r="M471" s="7" t="str">
        <f t="shared" si="46"/>
        <v>Passed</v>
      </c>
      <c r="N471" s="10"/>
      <c r="O471" s="9"/>
      <c r="P471" s="10"/>
    </row>
    <row r="472" spans="1:22" ht="15.6" x14ac:dyDescent="0.3">
      <c r="A472" s="3">
        <f t="shared" si="44"/>
        <v>22</v>
      </c>
      <c r="B472" s="313" t="s">
        <v>570</v>
      </c>
      <c r="C472" s="309" t="s">
        <v>382</v>
      </c>
      <c r="D472" s="5" t="s">
        <v>1478</v>
      </c>
      <c r="E472" s="5">
        <v>10</v>
      </c>
      <c r="F472" s="5">
        <v>17</v>
      </c>
      <c r="G472" s="3">
        <f t="shared" si="47"/>
        <v>27</v>
      </c>
      <c r="H472" s="3"/>
      <c r="I472" s="3"/>
      <c r="J472" s="31">
        <v>27</v>
      </c>
      <c r="K472" s="6">
        <f t="shared" si="48"/>
        <v>54</v>
      </c>
      <c r="L472" s="7" t="str">
        <f t="shared" si="45"/>
        <v>C</v>
      </c>
      <c r="M472" s="7" t="str">
        <f t="shared" si="46"/>
        <v>Passed</v>
      </c>
      <c r="N472" s="10"/>
      <c r="O472" s="9"/>
      <c r="P472" s="10"/>
    </row>
    <row r="473" spans="1:22" ht="15.6" x14ac:dyDescent="0.3">
      <c r="A473" s="3">
        <f t="shared" si="44"/>
        <v>23</v>
      </c>
      <c r="B473" s="306" t="s">
        <v>449</v>
      </c>
      <c r="C473" s="309" t="s">
        <v>383</v>
      </c>
      <c r="D473" s="5" t="s">
        <v>1464</v>
      </c>
      <c r="E473" s="5">
        <v>10</v>
      </c>
      <c r="F473" s="5">
        <v>23</v>
      </c>
      <c r="G473" s="3">
        <f t="shared" si="47"/>
        <v>33</v>
      </c>
      <c r="H473" s="3"/>
      <c r="I473" s="3"/>
      <c r="J473" s="31">
        <v>26</v>
      </c>
      <c r="K473" s="6">
        <f t="shared" si="48"/>
        <v>59</v>
      </c>
      <c r="L473" s="7" t="str">
        <f t="shared" si="45"/>
        <v>C+</v>
      </c>
      <c r="M473" s="7" t="str">
        <f t="shared" si="46"/>
        <v>Passed</v>
      </c>
      <c r="N473" s="10"/>
      <c r="O473" s="9"/>
      <c r="P473" s="10"/>
    </row>
    <row r="474" spans="1:22" ht="15.6" x14ac:dyDescent="0.3">
      <c r="A474" s="3">
        <f t="shared" si="44"/>
        <v>24</v>
      </c>
      <c r="B474" s="306" t="s">
        <v>450</v>
      </c>
      <c r="C474" s="309" t="s">
        <v>384</v>
      </c>
      <c r="D474" s="5" t="s">
        <v>1459</v>
      </c>
      <c r="E474" s="5">
        <v>9</v>
      </c>
      <c r="F474" s="5">
        <v>17</v>
      </c>
      <c r="G474" s="3">
        <f t="shared" si="47"/>
        <v>26</v>
      </c>
      <c r="H474" s="3"/>
      <c r="I474" s="3"/>
      <c r="J474" s="31">
        <v>26</v>
      </c>
      <c r="K474" s="6">
        <f t="shared" si="48"/>
        <v>52</v>
      </c>
      <c r="L474" s="7" t="str">
        <f t="shared" si="45"/>
        <v>C</v>
      </c>
      <c r="M474" s="7" t="str">
        <f t="shared" si="46"/>
        <v>Passed</v>
      </c>
      <c r="N474" s="10"/>
      <c r="P474" s="10"/>
    </row>
    <row r="475" spans="1:22" ht="15.6" x14ac:dyDescent="0.3">
      <c r="A475" s="3">
        <f t="shared" si="44"/>
        <v>25</v>
      </c>
      <c r="B475" s="306" t="s">
        <v>451</v>
      </c>
      <c r="C475" s="310" t="s">
        <v>385</v>
      </c>
      <c r="D475" s="5" t="s">
        <v>1455</v>
      </c>
      <c r="E475" s="5">
        <v>10</v>
      </c>
      <c r="F475" s="5">
        <v>25</v>
      </c>
      <c r="G475" s="3">
        <f t="shared" si="47"/>
        <v>35</v>
      </c>
      <c r="H475" s="3"/>
      <c r="I475" s="3"/>
      <c r="J475" s="31">
        <v>43</v>
      </c>
      <c r="K475" s="6">
        <f t="shared" si="48"/>
        <v>78</v>
      </c>
      <c r="L475" s="7" t="str">
        <f t="shared" si="45"/>
        <v>B+</v>
      </c>
      <c r="M475" s="7" t="str">
        <f t="shared" si="46"/>
        <v>Passed</v>
      </c>
      <c r="N475" s="10"/>
      <c r="P475" s="10"/>
    </row>
    <row r="476" spans="1:22" ht="15.6" x14ac:dyDescent="0.3">
      <c r="A476" s="3">
        <f t="shared" si="44"/>
        <v>26</v>
      </c>
      <c r="B476" s="306" t="s">
        <v>452</v>
      </c>
      <c r="C476" s="310" t="s">
        <v>386</v>
      </c>
      <c r="D476" s="5" t="s">
        <v>1470</v>
      </c>
      <c r="E476" s="5">
        <v>10</v>
      </c>
      <c r="F476" s="5">
        <v>18</v>
      </c>
      <c r="G476" s="3">
        <f t="shared" si="47"/>
        <v>28</v>
      </c>
      <c r="H476" s="3"/>
      <c r="I476" s="3"/>
      <c r="J476" s="31">
        <v>33</v>
      </c>
      <c r="K476" s="6">
        <f t="shared" si="48"/>
        <v>61</v>
      </c>
      <c r="L476" s="7" t="str">
        <f t="shared" si="45"/>
        <v>B</v>
      </c>
      <c r="M476" s="7" t="str">
        <f t="shared" si="46"/>
        <v>Passed</v>
      </c>
      <c r="N476" s="10"/>
      <c r="P476" s="10"/>
    </row>
    <row r="477" spans="1:22" ht="15.6" x14ac:dyDescent="0.3">
      <c r="A477" s="3">
        <f t="shared" si="44"/>
        <v>27</v>
      </c>
      <c r="B477" s="306" t="s">
        <v>453</v>
      </c>
      <c r="C477" s="309" t="s">
        <v>387</v>
      </c>
      <c r="D477" s="5" t="s">
        <v>1479</v>
      </c>
      <c r="E477" s="5">
        <v>10</v>
      </c>
      <c r="F477" s="5">
        <v>27</v>
      </c>
      <c r="G477" s="3">
        <f t="shared" si="47"/>
        <v>37</v>
      </c>
      <c r="H477" s="3"/>
      <c r="I477" s="3"/>
      <c r="J477" s="5">
        <v>29</v>
      </c>
      <c r="K477" s="6">
        <f t="shared" si="48"/>
        <v>66</v>
      </c>
      <c r="L477" s="7" t="str">
        <f t="shared" si="45"/>
        <v>B</v>
      </c>
      <c r="M477" s="7" t="str">
        <f t="shared" si="46"/>
        <v>Passed</v>
      </c>
      <c r="N477" s="10"/>
      <c r="P477" s="10"/>
    </row>
    <row r="478" spans="1:22" ht="15.6" x14ac:dyDescent="0.3">
      <c r="A478" s="3">
        <f t="shared" si="44"/>
        <v>28</v>
      </c>
      <c r="B478" s="388">
        <v>400123</v>
      </c>
      <c r="C478" s="310" t="s">
        <v>388</v>
      </c>
      <c r="D478" s="5" t="s">
        <v>1471</v>
      </c>
      <c r="E478" s="5">
        <v>10</v>
      </c>
      <c r="F478" s="5">
        <v>20</v>
      </c>
      <c r="G478" s="3">
        <f t="shared" si="47"/>
        <v>30</v>
      </c>
      <c r="H478" s="3"/>
      <c r="I478" s="3"/>
      <c r="J478" s="5">
        <v>28</v>
      </c>
      <c r="K478" s="6">
        <f t="shared" si="48"/>
        <v>58</v>
      </c>
      <c r="L478" s="7" t="str">
        <f t="shared" si="45"/>
        <v>C+</v>
      </c>
      <c r="M478" s="7" t="str">
        <f t="shared" si="46"/>
        <v>Passed</v>
      </c>
      <c r="N478" s="10"/>
      <c r="O478" s="9"/>
      <c r="P478" s="10"/>
    </row>
    <row r="479" spans="1:22" ht="15.6" x14ac:dyDescent="0.3">
      <c r="A479" s="3">
        <f t="shared" si="44"/>
        <v>29</v>
      </c>
      <c r="B479" s="306" t="s">
        <v>454</v>
      </c>
      <c r="C479" s="309" t="s">
        <v>771</v>
      </c>
      <c r="D479" s="5" t="s">
        <v>1473</v>
      </c>
      <c r="E479" s="5">
        <v>10</v>
      </c>
      <c r="F479" s="5">
        <v>23</v>
      </c>
      <c r="G479" s="3">
        <f t="shared" si="47"/>
        <v>33</v>
      </c>
      <c r="H479" s="3"/>
      <c r="I479" s="3"/>
      <c r="J479" s="5">
        <v>22</v>
      </c>
      <c r="K479" s="6">
        <f t="shared" si="48"/>
        <v>55</v>
      </c>
      <c r="L479" s="7" t="str">
        <f t="shared" si="45"/>
        <v>C+</v>
      </c>
      <c r="M479" s="7" t="str">
        <f t="shared" si="46"/>
        <v>Passed</v>
      </c>
      <c r="N479" s="10"/>
      <c r="O479" s="9"/>
      <c r="P479" s="10"/>
    </row>
    <row r="480" spans="1:22" ht="15.6" x14ac:dyDescent="0.3">
      <c r="A480" s="3">
        <f t="shared" si="44"/>
        <v>30</v>
      </c>
      <c r="B480" s="306" t="s">
        <v>455</v>
      </c>
      <c r="C480" s="307" t="s">
        <v>389</v>
      </c>
      <c r="D480" s="5" t="s">
        <v>1490</v>
      </c>
      <c r="E480" s="5">
        <v>10</v>
      </c>
      <c r="F480" s="5">
        <v>26</v>
      </c>
      <c r="G480" s="3">
        <f t="shared" si="47"/>
        <v>36</v>
      </c>
      <c r="H480" s="3"/>
      <c r="I480" s="3"/>
      <c r="J480" s="5">
        <v>40</v>
      </c>
      <c r="K480" s="6">
        <f t="shared" si="48"/>
        <v>76</v>
      </c>
      <c r="L480" s="7" t="str">
        <f t="shared" si="45"/>
        <v>B+</v>
      </c>
      <c r="M480" s="7" t="str">
        <f t="shared" si="46"/>
        <v>Passed</v>
      </c>
      <c r="N480" s="10"/>
      <c r="O480" s="9"/>
      <c r="P480" s="10"/>
    </row>
    <row r="481" spans="1:16" ht="15.6" x14ac:dyDescent="0.3">
      <c r="A481" s="3">
        <f t="shared" si="44"/>
        <v>31</v>
      </c>
      <c r="B481" s="306" t="s">
        <v>456</v>
      </c>
      <c r="C481" s="310" t="s">
        <v>535</v>
      </c>
      <c r="D481" s="5" t="s">
        <v>1449</v>
      </c>
      <c r="E481" s="5">
        <v>8</v>
      </c>
      <c r="F481" s="5">
        <v>25</v>
      </c>
      <c r="G481" s="3">
        <f t="shared" si="47"/>
        <v>33</v>
      </c>
      <c r="H481" s="3"/>
      <c r="I481" s="3"/>
      <c r="J481" s="5">
        <v>45</v>
      </c>
      <c r="K481" s="6">
        <f t="shared" si="48"/>
        <v>78</v>
      </c>
      <c r="L481" s="7" t="str">
        <f t="shared" si="45"/>
        <v>B+</v>
      </c>
      <c r="M481" s="7" t="str">
        <f t="shared" si="46"/>
        <v>Passed</v>
      </c>
      <c r="N481" s="10"/>
      <c r="O481" s="9"/>
      <c r="P481" s="10"/>
    </row>
    <row r="482" spans="1:16" ht="15.6" x14ac:dyDescent="0.3">
      <c r="A482" s="3">
        <f t="shared" si="44"/>
        <v>32</v>
      </c>
      <c r="B482" s="306" t="s">
        <v>457</v>
      </c>
      <c r="C482" s="307" t="s">
        <v>390</v>
      </c>
      <c r="D482" s="5" t="s">
        <v>1466</v>
      </c>
      <c r="E482" s="5">
        <v>10</v>
      </c>
      <c r="F482" s="5">
        <v>23</v>
      </c>
      <c r="G482" s="3">
        <f t="shared" si="47"/>
        <v>33</v>
      </c>
      <c r="H482" s="3"/>
      <c r="I482" s="3"/>
      <c r="J482" s="5">
        <v>32</v>
      </c>
      <c r="K482" s="6">
        <f t="shared" si="48"/>
        <v>65</v>
      </c>
      <c r="L482" s="7" t="str">
        <f t="shared" si="45"/>
        <v>B</v>
      </c>
      <c r="M482" s="7" t="str">
        <f t="shared" si="46"/>
        <v>Passed</v>
      </c>
      <c r="N482" s="10"/>
      <c r="O482" s="9"/>
      <c r="P482" s="10"/>
    </row>
    <row r="483" spans="1:16" ht="15.6" x14ac:dyDescent="0.3">
      <c r="A483" s="3">
        <f t="shared" ref="A483:A504" si="49">ROW(A33)</f>
        <v>33</v>
      </c>
      <c r="B483" s="306" t="s">
        <v>458</v>
      </c>
      <c r="C483" s="307" t="s">
        <v>391</v>
      </c>
      <c r="D483" s="5" t="s">
        <v>1485</v>
      </c>
      <c r="E483" s="5">
        <v>9</v>
      </c>
      <c r="F483" s="5">
        <v>23</v>
      </c>
      <c r="G483" s="3">
        <f t="shared" si="47"/>
        <v>32</v>
      </c>
      <c r="H483" s="3"/>
      <c r="I483" s="3"/>
      <c r="J483" s="5">
        <v>21</v>
      </c>
      <c r="K483" s="6">
        <f t="shared" si="48"/>
        <v>53</v>
      </c>
      <c r="L483" s="7" t="str">
        <f t="shared" si="45"/>
        <v>C</v>
      </c>
      <c r="M483" s="7" t="str">
        <f t="shared" si="46"/>
        <v>Passed</v>
      </c>
      <c r="N483" s="10"/>
      <c r="O483" s="9"/>
      <c r="P483" s="10"/>
    </row>
    <row r="484" spans="1:16" ht="15.6" x14ac:dyDescent="0.3">
      <c r="A484" s="3">
        <f t="shared" si="49"/>
        <v>34</v>
      </c>
      <c r="B484" s="306" t="s">
        <v>459</v>
      </c>
      <c r="C484" s="309" t="s">
        <v>557</v>
      </c>
      <c r="D484" s="5" t="s">
        <v>1483</v>
      </c>
      <c r="E484" s="5">
        <v>10</v>
      </c>
      <c r="F484" s="5">
        <v>22</v>
      </c>
      <c r="G484" s="3">
        <f t="shared" si="47"/>
        <v>32</v>
      </c>
      <c r="H484" s="3"/>
      <c r="I484" s="3"/>
      <c r="J484" s="5">
        <v>27</v>
      </c>
      <c r="K484" s="6">
        <f t="shared" si="48"/>
        <v>59</v>
      </c>
      <c r="L484" s="7" t="str">
        <f t="shared" si="45"/>
        <v>C+</v>
      </c>
      <c r="M484" s="7" t="str">
        <f t="shared" si="46"/>
        <v>Passed</v>
      </c>
      <c r="N484" s="10"/>
      <c r="O484" s="9"/>
      <c r="P484" s="10"/>
    </row>
    <row r="485" spans="1:16" ht="15.6" x14ac:dyDescent="0.3">
      <c r="A485" s="3">
        <f t="shared" si="49"/>
        <v>35</v>
      </c>
      <c r="B485" s="306" t="s">
        <v>460</v>
      </c>
      <c r="C485" s="309" t="s">
        <v>392</v>
      </c>
      <c r="D485" s="5" t="s">
        <v>1482</v>
      </c>
      <c r="E485" s="5">
        <v>10</v>
      </c>
      <c r="F485" s="5">
        <v>22</v>
      </c>
      <c r="G485" s="3">
        <f t="shared" si="47"/>
        <v>32</v>
      </c>
      <c r="H485" s="3"/>
      <c r="I485" s="3"/>
      <c r="J485" s="5">
        <v>33</v>
      </c>
      <c r="K485" s="6">
        <f t="shared" si="48"/>
        <v>65</v>
      </c>
      <c r="L485" s="7" t="str">
        <f t="shared" si="45"/>
        <v>B</v>
      </c>
      <c r="M485" s="7" t="str">
        <f t="shared" si="46"/>
        <v>Passed</v>
      </c>
      <c r="N485" s="10"/>
      <c r="O485" s="9"/>
      <c r="P485" s="10"/>
    </row>
    <row r="486" spans="1:16" ht="15.6" x14ac:dyDescent="0.3">
      <c r="A486" s="3">
        <f t="shared" si="49"/>
        <v>36</v>
      </c>
      <c r="B486" s="306" t="s">
        <v>461</v>
      </c>
      <c r="C486" s="309" t="s">
        <v>393</v>
      </c>
      <c r="D486" s="5" t="s">
        <v>1465</v>
      </c>
      <c r="E486" s="5">
        <v>8</v>
      </c>
      <c r="F486" s="5">
        <v>20</v>
      </c>
      <c r="G486" s="3">
        <f t="shared" si="47"/>
        <v>28</v>
      </c>
      <c r="H486" s="3"/>
      <c r="I486" s="3"/>
      <c r="J486" s="5">
        <v>26</v>
      </c>
      <c r="K486" s="6">
        <f t="shared" si="48"/>
        <v>54</v>
      </c>
      <c r="L486" s="7" t="str">
        <f t="shared" si="45"/>
        <v>C</v>
      </c>
      <c r="M486" s="7" t="str">
        <f t="shared" si="46"/>
        <v>Passed</v>
      </c>
      <c r="N486" s="10"/>
      <c r="O486" s="9"/>
      <c r="P486" s="10"/>
    </row>
    <row r="487" spans="1:16" ht="15.6" x14ac:dyDescent="0.3">
      <c r="A487" s="3">
        <f t="shared" si="49"/>
        <v>37</v>
      </c>
      <c r="B487" s="306" t="s">
        <v>462</v>
      </c>
      <c r="C487" s="309" t="s">
        <v>394</v>
      </c>
      <c r="D487" s="5" t="s">
        <v>1497</v>
      </c>
      <c r="E487" s="5">
        <v>10</v>
      </c>
      <c r="F487" s="5">
        <v>22</v>
      </c>
      <c r="G487" s="3">
        <f t="shared" si="47"/>
        <v>32</v>
      </c>
      <c r="H487" s="3"/>
      <c r="I487" s="3"/>
      <c r="J487" s="5">
        <v>32</v>
      </c>
      <c r="K487" s="6">
        <f t="shared" si="48"/>
        <v>64</v>
      </c>
      <c r="L487" s="7" t="str">
        <f t="shared" si="45"/>
        <v>B</v>
      </c>
      <c r="M487" s="7" t="str">
        <f t="shared" si="46"/>
        <v>Passed</v>
      </c>
      <c r="N487" s="10"/>
      <c r="O487" s="9"/>
      <c r="P487" s="10"/>
    </row>
    <row r="488" spans="1:16" ht="15.6" x14ac:dyDescent="0.3">
      <c r="A488" s="3">
        <f t="shared" si="49"/>
        <v>38</v>
      </c>
      <c r="B488" s="306" t="s">
        <v>463</v>
      </c>
      <c r="C488" s="309" t="s">
        <v>395</v>
      </c>
      <c r="D488" s="5" t="s">
        <v>1480</v>
      </c>
      <c r="E488" s="5">
        <v>9</v>
      </c>
      <c r="F488" s="5">
        <v>17</v>
      </c>
      <c r="G488" s="3">
        <f t="shared" si="47"/>
        <v>26</v>
      </c>
      <c r="H488" s="3"/>
      <c r="I488" s="3"/>
      <c r="J488" s="5">
        <v>25</v>
      </c>
      <c r="K488" s="6">
        <f t="shared" si="48"/>
        <v>51</v>
      </c>
      <c r="L488" s="7" t="str">
        <f t="shared" si="45"/>
        <v>C</v>
      </c>
      <c r="M488" s="7" t="str">
        <f t="shared" si="46"/>
        <v>Passed</v>
      </c>
      <c r="N488" s="10"/>
      <c r="O488" s="9"/>
      <c r="P488" s="10"/>
    </row>
    <row r="489" spans="1:16" ht="15.6" x14ac:dyDescent="0.3">
      <c r="A489" s="3">
        <f t="shared" si="49"/>
        <v>39</v>
      </c>
      <c r="B489" s="306" t="s">
        <v>464</v>
      </c>
      <c r="C489" s="309" t="s">
        <v>396</v>
      </c>
      <c r="D489" s="5" t="s">
        <v>1488</v>
      </c>
      <c r="E489" s="5">
        <v>9</v>
      </c>
      <c r="F489" s="5">
        <v>21</v>
      </c>
      <c r="G489" s="3">
        <f t="shared" si="47"/>
        <v>30</v>
      </c>
      <c r="H489" s="3"/>
      <c r="I489" s="3"/>
      <c r="J489" s="5">
        <v>30</v>
      </c>
      <c r="K489" s="6">
        <f t="shared" si="48"/>
        <v>60</v>
      </c>
      <c r="L489" s="7" t="str">
        <f t="shared" si="45"/>
        <v>B</v>
      </c>
      <c r="M489" s="7" t="str">
        <f t="shared" si="46"/>
        <v>Passed</v>
      </c>
      <c r="N489" s="10"/>
      <c r="O489" s="9"/>
      <c r="P489" s="10"/>
    </row>
    <row r="490" spans="1:16" ht="15.6" x14ac:dyDescent="0.3">
      <c r="A490" s="3">
        <f t="shared" si="49"/>
        <v>40</v>
      </c>
      <c r="B490" s="306" t="s">
        <v>465</v>
      </c>
      <c r="C490" s="309" t="s">
        <v>397</v>
      </c>
      <c r="D490" s="5" t="s">
        <v>1492</v>
      </c>
      <c r="E490" s="5">
        <v>10</v>
      </c>
      <c r="F490" s="5">
        <v>22</v>
      </c>
      <c r="G490" s="3">
        <f t="shared" si="47"/>
        <v>32</v>
      </c>
      <c r="H490" s="3"/>
      <c r="I490" s="3"/>
      <c r="J490" s="5">
        <v>23</v>
      </c>
      <c r="K490" s="6">
        <f t="shared" si="48"/>
        <v>55</v>
      </c>
      <c r="L490" s="7" t="str">
        <f t="shared" si="45"/>
        <v>C+</v>
      </c>
      <c r="M490" s="7" t="str">
        <f t="shared" si="46"/>
        <v>Passed</v>
      </c>
      <c r="N490" s="10"/>
      <c r="O490" s="9"/>
      <c r="P490" s="10"/>
    </row>
    <row r="491" spans="1:16" ht="15.6" x14ac:dyDescent="0.3">
      <c r="A491" s="3">
        <f t="shared" si="49"/>
        <v>41</v>
      </c>
      <c r="B491" s="306" t="s">
        <v>466</v>
      </c>
      <c r="C491" s="307" t="s">
        <v>398</v>
      </c>
      <c r="D491" s="5" t="s">
        <v>1453</v>
      </c>
      <c r="E491" s="5">
        <v>10</v>
      </c>
      <c r="F491" s="5">
        <v>20</v>
      </c>
      <c r="G491" s="3">
        <f t="shared" si="47"/>
        <v>30</v>
      </c>
      <c r="H491" s="3"/>
      <c r="I491" s="3"/>
      <c r="J491" s="5">
        <v>22</v>
      </c>
      <c r="K491" s="6">
        <f t="shared" si="48"/>
        <v>52</v>
      </c>
      <c r="L491" s="7" t="str">
        <f t="shared" si="45"/>
        <v>C</v>
      </c>
      <c r="M491" s="7" t="str">
        <f t="shared" si="46"/>
        <v>Passed</v>
      </c>
      <c r="N491" s="10"/>
      <c r="O491" s="9"/>
      <c r="P491" s="10"/>
    </row>
    <row r="492" spans="1:16" ht="15.6" x14ac:dyDescent="0.3">
      <c r="A492" s="3">
        <f t="shared" si="49"/>
        <v>42</v>
      </c>
      <c r="B492" s="306" t="s">
        <v>467</v>
      </c>
      <c r="C492" s="307" t="s">
        <v>399</v>
      </c>
      <c r="D492" s="5" t="s">
        <v>1468</v>
      </c>
      <c r="E492" s="5">
        <v>10</v>
      </c>
      <c r="F492" s="5">
        <v>22</v>
      </c>
      <c r="G492" s="3">
        <f t="shared" si="47"/>
        <v>32</v>
      </c>
      <c r="H492" s="3"/>
      <c r="I492" s="3"/>
      <c r="J492" s="5">
        <v>40</v>
      </c>
      <c r="K492" s="6">
        <f t="shared" si="48"/>
        <v>72</v>
      </c>
      <c r="L492" s="7" t="str">
        <f t="shared" si="45"/>
        <v>B+</v>
      </c>
      <c r="M492" s="7" t="str">
        <f t="shared" si="46"/>
        <v>Passed</v>
      </c>
      <c r="N492" s="10"/>
      <c r="O492" s="9"/>
      <c r="P492" s="10"/>
    </row>
    <row r="493" spans="1:16" ht="15.6" x14ac:dyDescent="0.3">
      <c r="A493" s="3">
        <f t="shared" si="49"/>
        <v>43</v>
      </c>
      <c r="B493" s="306" t="s">
        <v>468</v>
      </c>
      <c r="C493" s="383" t="s">
        <v>552</v>
      </c>
      <c r="D493" s="5" t="s">
        <v>1487</v>
      </c>
      <c r="E493" s="5">
        <v>10</v>
      </c>
      <c r="F493" s="5">
        <v>23</v>
      </c>
      <c r="G493" s="3">
        <f t="shared" si="47"/>
        <v>33</v>
      </c>
      <c r="H493" s="3"/>
      <c r="I493" s="3"/>
      <c r="J493" s="5">
        <v>21</v>
      </c>
      <c r="K493" s="6">
        <f t="shared" si="48"/>
        <v>54</v>
      </c>
      <c r="L493" s="7" t="str">
        <f t="shared" si="45"/>
        <v>C</v>
      </c>
      <c r="M493" s="7" t="str">
        <f t="shared" si="46"/>
        <v>Passed</v>
      </c>
      <c r="N493" s="10"/>
      <c r="O493" s="9"/>
      <c r="P493" s="10"/>
    </row>
    <row r="494" spans="1:16" ht="15.6" x14ac:dyDescent="0.3">
      <c r="A494" s="3">
        <f t="shared" si="49"/>
        <v>44</v>
      </c>
      <c r="B494" s="306" t="s">
        <v>469</v>
      </c>
      <c r="C494" s="308" t="s">
        <v>400</v>
      </c>
      <c r="D494" s="5" t="s">
        <v>1462</v>
      </c>
      <c r="E494" s="5">
        <v>10</v>
      </c>
      <c r="F494" s="5">
        <v>23</v>
      </c>
      <c r="G494" s="3">
        <f t="shared" si="47"/>
        <v>33</v>
      </c>
      <c r="H494" s="3"/>
      <c r="I494" s="3"/>
      <c r="J494" s="5">
        <v>21</v>
      </c>
      <c r="K494" s="6">
        <f t="shared" si="48"/>
        <v>54</v>
      </c>
      <c r="L494" s="7" t="str">
        <f t="shared" si="45"/>
        <v>C</v>
      </c>
      <c r="M494" s="7" t="str">
        <f t="shared" si="46"/>
        <v>Passed</v>
      </c>
      <c r="N494" s="10"/>
      <c r="O494" s="9"/>
      <c r="P494" s="10"/>
    </row>
    <row r="495" spans="1:16" ht="15.6" x14ac:dyDescent="0.3">
      <c r="A495" s="3">
        <f t="shared" si="49"/>
        <v>45</v>
      </c>
      <c r="B495" s="306" t="s">
        <v>470</v>
      </c>
      <c r="C495" s="307" t="s">
        <v>401</v>
      </c>
      <c r="D495" s="5" t="s">
        <v>1484</v>
      </c>
      <c r="E495" s="5">
        <v>9</v>
      </c>
      <c r="F495" s="5">
        <v>21</v>
      </c>
      <c r="G495" s="3">
        <f t="shared" si="47"/>
        <v>30</v>
      </c>
      <c r="H495" s="3"/>
      <c r="I495" s="3"/>
      <c r="J495" s="5">
        <v>23</v>
      </c>
      <c r="K495" s="6">
        <f t="shared" si="48"/>
        <v>53</v>
      </c>
      <c r="L495" s="7" t="str">
        <f t="shared" si="45"/>
        <v>C</v>
      </c>
      <c r="M495" s="7" t="str">
        <f t="shared" si="46"/>
        <v>Passed</v>
      </c>
      <c r="N495" s="10"/>
      <c r="O495" s="9"/>
      <c r="P495" s="10"/>
    </row>
    <row r="496" spans="1:16" ht="15.6" x14ac:dyDescent="0.3">
      <c r="A496" s="3">
        <f t="shared" si="49"/>
        <v>46</v>
      </c>
      <c r="B496" s="306" t="s">
        <v>471</v>
      </c>
      <c r="C496" s="307" t="s">
        <v>402</v>
      </c>
      <c r="D496" s="5" t="s">
        <v>1456</v>
      </c>
      <c r="E496" s="5">
        <v>10</v>
      </c>
      <c r="F496" s="5">
        <v>18</v>
      </c>
      <c r="G496" s="3">
        <f t="shared" si="47"/>
        <v>28</v>
      </c>
      <c r="H496" s="3"/>
      <c r="I496" s="3"/>
      <c r="J496" s="5">
        <v>23</v>
      </c>
      <c r="K496" s="6">
        <f t="shared" si="48"/>
        <v>51</v>
      </c>
      <c r="L496" s="7" t="str">
        <f t="shared" si="45"/>
        <v>C</v>
      </c>
      <c r="M496" s="7" t="str">
        <f t="shared" si="46"/>
        <v>Passed</v>
      </c>
      <c r="N496" s="10"/>
      <c r="O496" s="9"/>
      <c r="P496" s="10"/>
    </row>
    <row r="497" spans="1:16" ht="15.6" x14ac:dyDescent="0.3">
      <c r="A497" s="3">
        <f t="shared" si="49"/>
        <v>47</v>
      </c>
      <c r="B497" s="306" t="s">
        <v>472</v>
      </c>
      <c r="C497" s="12" t="s">
        <v>403</v>
      </c>
      <c r="D497" s="5" t="s">
        <v>1458</v>
      </c>
      <c r="E497" s="5">
        <v>10</v>
      </c>
      <c r="F497" s="5">
        <v>20</v>
      </c>
      <c r="G497" s="3">
        <f t="shared" si="47"/>
        <v>30</v>
      </c>
      <c r="H497" s="3"/>
      <c r="I497" s="3"/>
      <c r="J497" s="5">
        <v>21</v>
      </c>
      <c r="K497" s="6">
        <f t="shared" si="48"/>
        <v>51</v>
      </c>
      <c r="L497" s="7" t="str">
        <f t="shared" si="45"/>
        <v>C</v>
      </c>
      <c r="M497" s="7" t="str">
        <f t="shared" si="46"/>
        <v>Passed</v>
      </c>
      <c r="N497" s="10"/>
      <c r="O497" s="9"/>
      <c r="P497" s="10"/>
    </row>
    <row r="498" spans="1:16" ht="15.6" x14ac:dyDescent="0.3">
      <c r="A498" s="3">
        <f t="shared" si="49"/>
        <v>48</v>
      </c>
      <c r="B498" s="12" t="s">
        <v>473</v>
      </c>
      <c r="C498" s="307" t="s">
        <v>404</v>
      </c>
      <c r="D498" s="5" t="s">
        <v>1494</v>
      </c>
      <c r="E498" s="5">
        <v>10</v>
      </c>
      <c r="F498" s="5">
        <v>23</v>
      </c>
      <c r="G498" s="3">
        <f t="shared" si="47"/>
        <v>33</v>
      </c>
      <c r="H498" s="3"/>
      <c r="I498" s="3"/>
      <c r="J498" s="5">
        <v>28</v>
      </c>
      <c r="K498" s="6">
        <f t="shared" si="48"/>
        <v>61</v>
      </c>
      <c r="L498" s="7" t="str">
        <f t="shared" si="45"/>
        <v>B</v>
      </c>
      <c r="M498" s="7" t="str">
        <f t="shared" si="46"/>
        <v>Passed</v>
      </c>
      <c r="N498" s="10"/>
      <c r="O498" s="9"/>
      <c r="P498" s="10"/>
    </row>
    <row r="499" spans="1:16" ht="15.6" x14ac:dyDescent="0.3">
      <c r="A499" s="3">
        <f t="shared" si="49"/>
        <v>49</v>
      </c>
      <c r="B499" s="12" t="s">
        <v>474</v>
      </c>
      <c r="C499" s="307" t="s">
        <v>405</v>
      </c>
      <c r="D499" s="5" t="s">
        <v>1481</v>
      </c>
      <c r="E499" s="5">
        <v>10</v>
      </c>
      <c r="F499" s="5">
        <v>16</v>
      </c>
      <c r="G499" s="3">
        <f t="shared" si="47"/>
        <v>26</v>
      </c>
      <c r="H499" s="3"/>
      <c r="I499" s="3"/>
      <c r="J499" s="5">
        <v>26</v>
      </c>
      <c r="K499" s="6">
        <f t="shared" si="48"/>
        <v>52</v>
      </c>
      <c r="L499" s="7" t="str">
        <f t="shared" si="45"/>
        <v>C</v>
      </c>
      <c r="M499" s="7" t="str">
        <f t="shared" si="46"/>
        <v>Passed</v>
      </c>
      <c r="N499" s="10"/>
      <c r="O499" s="9"/>
      <c r="P499" s="10"/>
    </row>
    <row r="500" spans="1:16" ht="15.6" x14ac:dyDescent="0.3">
      <c r="A500" s="3">
        <f t="shared" si="49"/>
        <v>50</v>
      </c>
      <c r="B500" s="12" t="s">
        <v>475</v>
      </c>
      <c r="C500" s="307" t="s">
        <v>406</v>
      </c>
      <c r="D500" s="5" t="s">
        <v>1445</v>
      </c>
      <c r="E500" s="5">
        <v>10</v>
      </c>
      <c r="F500" s="5">
        <v>19</v>
      </c>
      <c r="G500" s="3">
        <f t="shared" si="47"/>
        <v>29</v>
      </c>
      <c r="H500" s="3"/>
      <c r="I500" s="3"/>
      <c r="J500" s="5">
        <v>30</v>
      </c>
      <c r="K500" s="6">
        <f t="shared" si="48"/>
        <v>59</v>
      </c>
      <c r="L500" s="7" t="str">
        <f t="shared" si="45"/>
        <v>C+</v>
      </c>
      <c r="M500" s="7" t="str">
        <f t="shared" si="46"/>
        <v>Passed</v>
      </c>
      <c r="N500" s="10"/>
      <c r="O500" s="9"/>
      <c r="P500" s="10"/>
    </row>
    <row r="501" spans="1:16" ht="15.6" x14ac:dyDescent="0.3">
      <c r="A501" s="3">
        <f t="shared" si="49"/>
        <v>51</v>
      </c>
      <c r="B501" s="12" t="s">
        <v>476</v>
      </c>
      <c r="C501" s="307" t="s">
        <v>407</v>
      </c>
      <c r="D501" s="5" t="s">
        <v>1475</v>
      </c>
      <c r="E501" s="5">
        <v>10</v>
      </c>
      <c r="F501" s="5">
        <v>21</v>
      </c>
      <c r="G501" s="3">
        <f t="shared" si="47"/>
        <v>31</v>
      </c>
      <c r="H501" s="3"/>
      <c r="I501" s="3"/>
      <c r="J501" s="5">
        <v>30</v>
      </c>
      <c r="K501" s="6">
        <f t="shared" si="48"/>
        <v>61</v>
      </c>
      <c r="L501" s="7" t="str">
        <f t="shared" si="45"/>
        <v>B</v>
      </c>
      <c r="M501" s="7" t="str">
        <f t="shared" si="46"/>
        <v>Passed</v>
      </c>
      <c r="N501" s="10"/>
      <c r="O501" s="9"/>
      <c r="P501" s="10"/>
    </row>
    <row r="502" spans="1:16" ht="15.6" x14ac:dyDescent="0.3">
      <c r="A502" s="3">
        <f t="shared" si="49"/>
        <v>52</v>
      </c>
      <c r="B502" s="12" t="s">
        <v>477</v>
      </c>
      <c r="C502" s="307" t="s">
        <v>408</v>
      </c>
      <c r="D502" s="5" t="s">
        <v>1452</v>
      </c>
      <c r="E502" s="5">
        <v>9</v>
      </c>
      <c r="F502" s="5">
        <v>20</v>
      </c>
      <c r="G502" s="3">
        <f t="shared" si="47"/>
        <v>29</v>
      </c>
      <c r="H502" s="3"/>
      <c r="I502" s="3"/>
      <c r="J502" s="5">
        <v>21</v>
      </c>
      <c r="K502" s="6">
        <f t="shared" si="48"/>
        <v>50</v>
      </c>
      <c r="L502" s="7" t="str">
        <f t="shared" si="45"/>
        <v>C</v>
      </c>
      <c r="M502" s="7" t="str">
        <f t="shared" si="46"/>
        <v>Passed</v>
      </c>
      <c r="N502" s="10"/>
      <c r="O502" s="9"/>
      <c r="P502" s="10"/>
    </row>
    <row r="503" spans="1:16" ht="15.6" x14ac:dyDescent="0.3">
      <c r="A503" s="3">
        <f t="shared" si="49"/>
        <v>53</v>
      </c>
      <c r="B503" s="12" t="s">
        <v>478</v>
      </c>
      <c r="C503" s="307" t="s">
        <v>409</v>
      </c>
      <c r="D503" s="5" t="s">
        <v>1477</v>
      </c>
      <c r="E503" s="5">
        <v>10</v>
      </c>
      <c r="F503" s="5">
        <v>22</v>
      </c>
      <c r="G503" s="3">
        <f t="shared" si="47"/>
        <v>32</v>
      </c>
      <c r="H503" s="3"/>
      <c r="I503" s="3"/>
      <c r="J503" s="5">
        <v>24</v>
      </c>
      <c r="K503" s="6">
        <f t="shared" si="48"/>
        <v>56</v>
      </c>
      <c r="L503" s="7" t="str">
        <f t="shared" si="45"/>
        <v>C+</v>
      </c>
      <c r="M503" s="7" t="str">
        <f t="shared" si="46"/>
        <v>Passed</v>
      </c>
      <c r="N503" s="10"/>
      <c r="O503" s="9"/>
      <c r="P503" s="10"/>
    </row>
    <row r="504" spans="1:16" ht="15.6" x14ac:dyDescent="0.3">
      <c r="A504" s="3">
        <f t="shared" si="49"/>
        <v>54</v>
      </c>
      <c r="B504" s="12" t="s">
        <v>479</v>
      </c>
      <c r="C504" s="12" t="s">
        <v>410</v>
      </c>
      <c r="D504" s="5" t="s">
        <v>1451</v>
      </c>
      <c r="E504" s="5">
        <v>9</v>
      </c>
      <c r="F504" s="5">
        <v>21</v>
      </c>
      <c r="G504" s="3">
        <f t="shared" si="47"/>
        <v>30</v>
      </c>
      <c r="H504" s="5"/>
      <c r="I504" s="5"/>
      <c r="J504" s="5">
        <v>38</v>
      </c>
      <c r="K504" s="6">
        <f t="shared" si="48"/>
        <v>68</v>
      </c>
      <c r="L504" s="7" t="str">
        <f t="shared" si="45"/>
        <v>B</v>
      </c>
      <c r="M504" s="7" t="str">
        <f t="shared" si="46"/>
        <v>Passed</v>
      </c>
      <c r="N504" s="10"/>
      <c r="O504" s="9"/>
      <c r="P504" s="10"/>
    </row>
    <row r="505" spans="1:16" ht="15.6" x14ac:dyDescent="0.3">
      <c r="A505" s="10"/>
      <c r="B505" s="10"/>
      <c r="C505" s="75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9"/>
      <c r="P505" s="10"/>
    </row>
    <row r="506" spans="1:16" ht="15.6" x14ac:dyDescent="0.3">
      <c r="A506" s="10"/>
      <c r="B506" s="10"/>
      <c r="C506" s="75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9"/>
      <c r="P506" s="10"/>
    </row>
    <row r="507" spans="1:16" ht="15.6" x14ac:dyDescent="0.3">
      <c r="A507" s="10"/>
      <c r="B507" s="10"/>
      <c r="C507" s="75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9"/>
      <c r="P507" s="10"/>
    </row>
    <row r="508" spans="1:16" ht="15.6" x14ac:dyDescent="0.3">
      <c r="A508" s="10"/>
      <c r="B508" s="10"/>
      <c r="C508" s="75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9"/>
      <c r="P508" s="10"/>
    </row>
    <row r="509" spans="1:16" ht="15.6" x14ac:dyDescent="0.3">
      <c r="A509" s="10"/>
      <c r="B509" s="10"/>
      <c r="C509" s="75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9"/>
      <c r="P509" s="10"/>
    </row>
    <row r="510" spans="1:16" ht="15.6" x14ac:dyDescent="0.3">
      <c r="A510" s="10"/>
      <c r="B510" s="10"/>
      <c r="C510" s="75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9"/>
      <c r="P510" s="10"/>
    </row>
    <row r="511" spans="1:16" ht="15.6" x14ac:dyDescent="0.3">
      <c r="A511" s="10"/>
      <c r="B511" s="10"/>
      <c r="C511" s="75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9"/>
      <c r="P511" s="10"/>
    </row>
    <row r="512" spans="1:16" ht="15.6" x14ac:dyDescent="0.3">
      <c r="A512" s="10"/>
      <c r="B512" s="10"/>
      <c r="C512" s="75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9"/>
      <c r="P512" s="10"/>
    </row>
    <row r="513" spans="1:16" ht="15.6" x14ac:dyDescent="0.3">
      <c r="A513" s="10"/>
      <c r="B513" s="10"/>
      <c r="C513" s="75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9"/>
      <c r="P513" s="10"/>
    </row>
    <row r="514" spans="1:16" ht="15.6" x14ac:dyDescent="0.3">
      <c r="A514" s="10"/>
      <c r="B514" s="10"/>
      <c r="C514" s="75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9"/>
      <c r="P514" s="10"/>
    </row>
    <row r="515" spans="1:16" ht="15.6" x14ac:dyDescent="0.3">
      <c r="A515" s="17" t="s">
        <v>0</v>
      </c>
      <c r="B515" s="18"/>
      <c r="C515" s="71"/>
      <c r="D515" s="18"/>
      <c r="E515" s="18"/>
      <c r="F515" s="18"/>
      <c r="G515" s="18"/>
      <c r="H515" s="67"/>
      <c r="I515" s="67"/>
      <c r="J515" s="18"/>
      <c r="K515" s="18"/>
      <c r="L515" s="10"/>
      <c r="M515" s="10"/>
      <c r="N515" s="10"/>
      <c r="O515" s="9"/>
      <c r="P515" s="10"/>
    </row>
    <row r="516" spans="1:16" ht="15.6" x14ac:dyDescent="0.3">
      <c r="A516" s="503" t="s">
        <v>36</v>
      </c>
      <c r="B516" s="504"/>
      <c r="C516" s="504"/>
      <c r="D516" s="504"/>
      <c r="E516" s="504"/>
      <c r="F516" s="504"/>
      <c r="G516" s="504"/>
      <c r="H516" s="504"/>
      <c r="I516" s="504"/>
      <c r="J516" s="18"/>
      <c r="K516" s="18"/>
      <c r="L516" s="10"/>
      <c r="M516" s="10"/>
      <c r="N516" s="10"/>
      <c r="O516" s="9"/>
      <c r="P516" s="10"/>
    </row>
    <row r="517" spans="1:16" ht="15.6" x14ac:dyDescent="0.3">
      <c r="A517" s="81" t="s">
        <v>143</v>
      </c>
      <c r="B517" s="82"/>
      <c r="C517" s="82" t="s">
        <v>416</v>
      </c>
      <c r="D517" s="82"/>
      <c r="E517" s="82"/>
      <c r="F517" s="82"/>
      <c r="G517" s="80"/>
      <c r="H517" s="80"/>
      <c r="I517" s="80"/>
      <c r="J517" s="18"/>
      <c r="K517" s="18"/>
      <c r="L517" s="19"/>
      <c r="M517" s="10"/>
      <c r="N517" s="10"/>
      <c r="O517" s="9"/>
      <c r="P517" s="10"/>
    </row>
    <row r="518" spans="1:16" ht="15.6" x14ac:dyDescent="0.3">
      <c r="A518" s="20" t="s">
        <v>1</v>
      </c>
      <c r="B518" s="21"/>
      <c r="C518" s="84" t="s">
        <v>414</v>
      </c>
      <c r="D518" s="85"/>
      <c r="E518" s="85"/>
      <c r="F518" s="85"/>
      <c r="G518" s="85"/>
      <c r="H518" s="85"/>
      <c r="I518" s="85"/>
      <c r="J518" s="85"/>
      <c r="K518" s="18"/>
      <c r="L518" s="19"/>
      <c r="M518" s="10"/>
      <c r="N518" s="10"/>
      <c r="O518" s="9"/>
      <c r="P518" s="10"/>
    </row>
    <row r="519" spans="1:16" ht="15.6" x14ac:dyDescent="0.3">
      <c r="A519" s="20" t="s">
        <v>3</v>
      </c>
      <c r="B519" s="21"/>
      <c r="C519" s="90" t="s">
        <v>58</v>
      </c>
      <c r="D519" s="91"/>
      <c r="E519" s="91"/>
      <c r="F519" s="91"/>
      <c r="G519" s="91"/>
      <c r="H519" s="91"/>
      <c r="I519" s="91"/>
      <c r="J519" s="91"/>
      <c r="K519" s="18"/>
      <c r="L519" s="19"/>
      <c r="M519" s="10"/>
      <c r="N519" s="10"/>
      <c r="O519" s="9"/>
      <c r="P519" s="10"/>
    </row>
    <row r="520" spans="1:16" ht="15.6" x14ac:dyDescent="0.3">
      <c r="A520" s="20" t="s">
        <v>4</v>
      </c>
      <c r="B520" s="21"/>
      <c r="C520" s="96" t="s">
        <v>213</v>
      </c>
      <c r="D520" s="97"/>
      <c r="E520" s="97"/>
      <c r="F520" s="97"/>
      <c r="G520" s="97"/>
      <c r="H520" s="97"/>
      <c r="I520" s="97"/>
      <c r="J520" s="97"/>
      <c r="K520" s="18"/>
      <c r="L520" s="19"/>
      <c r="M520" s="10"/>
      <c r="N520" s="10"/>
      <c r="O520" s="9"/>
      <c r="P520" s="10"/>
    </row>
    <row r="521" spans="1:16" ht="15.6" x14ac:dyDescent="0.3">
      <c r="A521" s="20" t="s">
        <v>5</v>
      </c>
      <c r="B521" s="21"/>
      <c r="C521" s="86">
        <v>2</v>
      </c>
      <c r="D521" s="87"/>
      <c r="E521" s="87"/>
      <c r="F521" s="87"/>
      <c r="G521" s="87"/>
      <c r="H521" s="87"/>
      <c r="I521" s="87"/>
      <c r="J521" s="87"/>
      <c r="K521" s="18"/>
      <c r="L521" s="19"/>
      <c r="M521" s="10"/>
      <c r="N521" s="10"/>
      <c r="O521" s="9"/>
      <c r="P521" s="10"/>
    </row>
    <row r="522" spans="1:16" ht="15.6" x14ac:dyDescent="0.3">
      <c r="A522" s="508" t="s">
        <v>6</v>
      </c>
      <c r="B522" s="509"/>
      <c r="C522" s="301" t="s">
        <v>417</v>
      </c>
      <c r="D522" s="87"/>
      <c r="E522" s="87"/>
      <c r="F522" s="87"/>
      <c r="G522" s="87"/>
      <c r="H522" s="87"/>
      <c r="I522" s="87"/>
      <c r="J522" s="87"/>
      <c r="K522" s="18"/>
      <c r="L522" s="19"/>
      <c r="M522" s="10"/>
      <c r="N522" s="10"/>
      <c r="O522" s="9"/>
      <c r="P522" s="10"/>
    </row>
    <row r="523" spans="1:16" ht="16.2" x14ac:dyDescent="0.35">
      <c r="A523" s="508" t="s">
        <v>7</v>
      </c>
      <c r="B523" s="509"/>
      <c r="C523" s="72"/>
      <c r="D523" s="18"/>
      <c r="E523" s="22"/>
      <c r="F523" s="18"/>
      <c r="G523" s="18"/>
      <c r="H523" s="67"/>
      <c r="I523" s="67"/>
      <c r="J523" s="18"/>
      <c r="K523" s="18"/>
      <c r="L523" s="19"/>
      <c r="M523" s="10"/>
      <c r="N523" s="10"/>
      <c r="O523" s="9"/>
      <c r="P523" s="10"/>
    </row>
    <row r="524" spans="1:16" ht="65.400000000000006" x14ac:dyDescent="0.3">
      <c r="A524" s="24" t="s">
        <v>8</v>
      </c>
      <c r="B524" s="24" t="s">
        <v>9</v>
      </c>
      <c r="C524" s="73" t="s">
        <v>10</v>
      </c>
      <c r="D524" s="26" t="s">
        <v>41</v>
      </c>
      <c r="E524" s="27" t="s">
        <v>12</v>
      </c>
      <c r="F524" s="27" t="s">
        <v>13</v>
      </c>
      <c r="G524" s="27" t="s">
        <v>14</v>
      </c>
      <c r="H524" s="27" t="s">
        <v>208</v>
      </c>
      <c r="I524" s="27" t="s">
        <v>209</v>
      </c>
      <c r="J524" s="27" t="s">
        <v>15</v>
      </c>
      <c r="K524" s="27" t="s">
        <v>39</v>
      </c>
      <c r="L524" s="19"/>
      <c r="M524" s="10"/>
      <c r="N524" s="10"/>
      <c r="O524" s="9"/>
      <c r="P524" s="10"/>
    </row>
    <row r="525" spans="1:16" ht="15.6" x14ac:dyDescent="0.3">
      <c r="A525" s="24" t="s">
        <v>42</v>
      </c>
      <c r="B525" s="24"/>
      <c r="C525" s="74"/>
      <c r="D525" s="3"/>
      <c r="E525" s="3"/>
      <c r="F525" s="3"/>
      <c r="G525" s="3"/>
      <c r="H525" s="3"/>
      <c r="I525" s="3"/>
      <c r="J525" s="3"/>
      <c r="K525" s="3"/>
      <c r="L525" s="23"/>
      <c r="M525" s="10"/>
      <c r="N525" s="10"/>
      <c r="O525" s="9"/>
      <c r="P525" s="10"/>
    </row>
    <row r="526" spans="1:16" ht="15.6" x14ac:dyDescent="0.3">
      <c r="A526" s="3"/>
      <c r="B526" s="10"/>
      <c r="C526" s="75"/>
      <c r="D526" s="10"/>
      <c r="E526" s="10"/>
      <c r="F526" s="10"/>
      <c r="G526" s="10"/>
      <c r="H526" s="10"/>
      <c r="I526" s="10"/>
      <c r="J526" s="10"/>
      <c r="K526" s="10"/>
      <c r="L526" s="34" t="s">
        <v>17</v>
      </c>
      <c r="M526" s="34" t="s">
        <v>18</v>
      </c>
      <c r="N526" s="8"/>
      <c r="O526" s="9"/>
      <c r="P526" s="10"/>
    </row>
    <row r="527" spans="1:16" ht="15.6" x14ac:dyDescent="0.3">
      <c r="A527" s="3">
        <f t="shared" ref="A527:A558" si="50">ROW(A1)</f>
        <v>1</v>
      </c>
      <c r="B527" s="306" t="s">
        <v>431</v>
      </c>
      <c r="C527" s="307" t="s">
        <v>365</v>
      </c>
      <c r="D527" s="5" t="s">
        <v>1439</v>
      </c>
      <c r="E527" s="3">
        <v>10</v>
      </c>
      <c r="F527" s="3">
        <v>21</v>
      </c>
      <c r="G527" s="6">
        <f>SUM(E527:F527)</f>
        <v>31</v>
      </c>
      <c r="H527" s="6"/>
      <c r="I527" s="6"/>
      <c r="J527" s="3">
        <v>34</v>
      </c>
      <c r="K527" s="6">
        <f>SUM(G527:J527)</f>
        <v>65</v>
      </c>
      <c r="L527" s="7" t="str">
        <f t="shared" ref="L527:L580" si="51">IF(K527&gt;=80,"A",IF(K527&gt;=70,"B+",IF(K527&gt;=60,"B",IF(K527&gt;=55,"C+",IF(K527&gt;=50,"C",IF(K527&gt;=45,"D+",IF(K527&gt;=40,"D","F")))))))</f>
        <v>B</v>
      </c>
      <c r="M527" s="7" t="str">
        <f t="shared" ref="M527:M580" si="52">IF(K527&gt;=50,"Passed","Failed")</f>
        <v>Passed</v>
      </c>
      <c r="N527" s="7"/>
      <c r="O527" s="9"/>
      <c r="P527" s="10"/>
    </row>
    <row r="528" spans="1:16" ht="31.2" x14ac:dyDescent="0.3">
      <c r="A528" s="3">
        <f t="shared" si="50"/>
        <v>2</v>
      </c>
      <c r="B528" s="306" t="s">
        <v>586</v>
      </c>
      <c r="C528" s="308" t="s">
        <v>366</v>
      </c>
      <c r="D528" s="5" t="s">
        <v>1436</v>
      </c>
      <c r="E528" s="6">
        <v>10</v>
      </c>
      <c r="F528" s="3">
        <v>24</v>
      </c>
      <c r="G528" s="6">
        <f t="shared" ref="G528:G579" si="53">SUM(E528:F528)</f>
        <v>34</v>
      </c>
      <c r="H528" s="6"/>
      <c r="I528" s="6"/>
      <c r="J528" s="3">
        <v>35</v>
      </c>
      <c r="K528" s="6">
        <f t="shared" ref="K528:K581" si="54">SUM(G528:J528)</f>
        <v>69</v>
      </c>
      <c r="L528" s="7" t="str">
        <f t="shared" si="51"/>
        <v>B</v>
      </c>
      <c r="M528" s="7" t="str">
        <f t="shared" si="52"/>
        <v>Passed</v>
      </c>
      <c r="N528" s="8" t="s">
        <v>19</v>
      </c>
      <c r="O528" s="9"/>
      <c r="P528" s="10"/>
    </row>
    <row r="529" spans="1:22" ht="15.6" x14ac:dyDescent="0.3">
      <c r="A529" s="3">
        <f t="shared" si="50"/>
        <v>3</v>
      </c>
      <c r="B529" s="306" t="s">
        <v>432</v>
      </c>
      <c r="C529" s="309" t="s">
        <v>367</v>
      </c>
      <c r="D529" s="5" t="s">
        <v>1391</v>
      </c>
      <c r="E529" s="6">
        <v>10</v>
      </c>
      <c r="F529" s="3">
        <v>9.5</v>
      </c>
      <c r="G529" s="64">
        <f t="shared" si="53"/>
        <v>19.5</v>
      </c>
      <c r="H529" s="6"/>
      <c r="I529" s="6"/>
      <c r="J529" s="3">
        <v>31</v>
      </c>
      <c r="K529" s="6">
        <f t="shared" si="54"/>
        <v>50.5</v>
      </c>
      <c r="L529" s="7" t="str">
        <f t="shared" si="51"/>
        <v>C</v>
      </c>
      <c r="M529" s="7" t="str">
        <f t="shared" si="52"/>
        <v>Passed</v>
      </c>
      <c r="N529" s="7" t="s">
        <v>20</v>
      </c>
      <c r="O529" s="9">
        <f>COUNT(G527:G582)</f>
        <v>56</v>
      </c>
      <c r="P529" s="10"/>
    </row>
    <row r="530" spans="1:22" ht="15.6" x14ac:dyDescent="0.3">
      <c r="A530" s="3">
        <f t="shared" si="50"/>
        <v>4</v>
      </c>
      <c r="B530" s="306" t="s">
        <v>433</v>
      </c>
      <c r="C530" s="310" t="s">
        <v>368</v>
      </c>
      <c r="D530" s="5" t="s">
        <v>1392</v>
      </c>
      <c r="E530" s="6">
        <v>10</v>
      </c>
      <c r="F530" s="3">
        <v>17</v>
      </c>
      <c r="G530" s="6">
        <f t="shared" si="53"/>
        <v>27</v>
      </c>
      <c r="H530" s="6"/>
      <c r="I530" s="6"/>
      <c r="J530" s="3">
        <v>25</v>
      </c>
      <c r="K530" s="6">
        <f t="shared" si="54"/>
        <v>52</v>
      </c>
      <c r="L530" s="7" t="str">
        <f t="shared" si="51"/>
        <v>C</v>
      </c>
      <c r="M530" s="7" t="str">
        <f t="shared" si="52"/>
        <v>Passed</v>
      </c>
      <c r="N530" s="7" t="s">
        <v>21</v>
      </c>
      <c r="O530" s="9">
        <f>COUNT(J527:J582)</f>
        <v>55</v>
      </c>
      <c r="P530" s="10"/>
    </row>
    <row r="531" spans="1:22" ht="15.6" x14ac:dyDescent="0.3">
      <c r="A531" s="3">
        <f t="shared" si="50"/>
        <v>5</v>
      </c>
      <c r="B531" s="306" t="s">
        <v>434</v>
      </c>
      <c r="C531" s="310" t="s">
        <v>606</v>
      </c>
      <c r="D531" s="5" t="s">
        <v>1420</v>
      </c>
      <c r="E531" s="6">
        <v>9</v>
      </c>
      <c r="F531" s="3">
        <v>20</v>
      </c>
      <c r="G531" s="6">
        <f t="shared" si="53"/>
        <v>29</v>
      </c>
      <c r="H531" s="6"/>
      <c r="I531" s="6"/>
      <c r="J531" s="3">
        <v>21</v>
      </c>
      <c r="K531" s="6">
        <f t="shared" si="54"/>
        <v>50</v>
      </c>
      <c r="L531" s="7" t="str">
        <f t="shared" si="51"/>
        <v>C</v>
      </c>
      <c r="M531" s="7" t="str">
        <f t="shared" si="52"/>
        <v>Passed</v>
      </c>
      <c r="N531" s="7" t="s">
        <v>22</v>
      </c>
      <c r="O531" s="9">
        <f>O529-O530</f>
        <v>1</v>
      </c>
      <c r="P531" s="10"/>
    </row>
    <row r="532" spans="1:22" ht="15.6" x14ac:dyDescent="0.3">
      <c r="A532" s="3">
        <f t="shared" si="50"/>
        <v>6</v>
      </c>
      <c r="B532" s="306" t="s">
        <v>544</v>
      </c>
      <c r="C532" s="309" t="s">
        <v>369</v>
      </c>
      <c r="D532" s="5" t="s">
        <v>1424</v>
      </c>
      <c r="E532" s="6">
        <v>10</v>
      </c>
      <c r="F532" s="3">
        <v>24</v>
      </c>
      <c r="G532" s="6">
        <f t="shared" si="53"/>
        <v>34</v>
      </c>
      <c r="H532" s="64"/>
      <c r="I532" s="64"/>
      <c r="J532" s="5">
        <v>37</v>
      </c>
      <c r="K532" s="6">
        <f t="shared" si="54"/>
        <v>71</v>
      </c>
      <c r="L532" s="7" t="str">
        <f t="shared" si="51"/>
        <v>B+</v>
      </c>
      <c r="M532" s="7" t="str">
        <f t="shared" si="52"/>
        <v>Passed</v>
      </c>
      <c r="N532" s="7" t="s">
        <v>23</v>
      </c>
      <c r="O532" s="9">
        <f>COUNTIF(M527:M582,"Passed")</f>
        <v>43</v>
      </c>
      <c r="P532" s="10"/>
    </row>
    <row r="533" spans="1:22" ht="15.6" x14ac:dyDescent="0.3">
      <c r="A533" s="3">
        <f t="shared" si="50"/>
        <v>7</v>
      </c>
      <c r="B533" s="306" t="s">
        <v>562</v>
      </c>
      <c r="C533" s="309" t="s">
        <v>370</v>
      </c>
      <c r="D533" s="5" t="s">
        <v>1404</v>
      </c>
      <c r="E533" s="31">
        <v>10</v>
      </c>
      <c r="F533" s="5">
        <v>26</v>
      </c>
      <c r="G533" s="6">
        <f t="shared" si="53"/>
        <v>36</v>
      </c>
      <c r="H533" s="64"/>
      <c r="I533" s="64"/>
      <c r="J533" s="5">
        <v>44</v>
      </c>
      <c r="K533" s="6">
        <f t="shared" si="54"/>
        <v>80</v>
      </c>
      <c r="L533" s="7" t="str">
        <f t="shared" si="51"/>
        <v>A</v>
      </c>
      <c r="M533" s="7" t="str">
        <f t="shared" si="52"/>
        <v>Passed</v>
      </c>
      <c r="N533" s="7" t="s">
        <v>24</v>
      </c>
      <c r="O533" s="29">
        <f>O532/O530%</f>
        <v>78.181818181818173</v>
      </c>
      <c r="P533" s="10"/>
    </row>
    <row r="534" spans="1:22" ht="15.6" x14ac:dyDescent="0.3">
      <c r="A534" s="3">
        <f t="shared" si="50"/>
        <v>8</v>
      </c>
      <c r="B534" s="306" t="s">
        <v>435</v>
      </c>
      <c r="C534" s="310" t="s">
        <v>595</v>
      </c>
      <c r="D534" s="5" t="s">
        <v>1440</v>
      </c>
      <c r="E534" s="31">
        <v>9</v>
      </c>
      <c r="F534" s="5">
        <v>23</v>
      </c>
      <c r="G534" s="6">
        <f t="shared" si="53"/>
        <v>32</v>
      </c>
      <c r="H534" s="64"/>
      <c r="I534" s="64"/>
      <c r="J534" s="5">
        <v>31</v>
      </c>
      <c r="K534" s="6">
        <f t="shared" si="54"/>
        <v>63</v>
      </c>
      <c r="L534" s="7" t="str">
        <f t="shared" si="51"/>
        <v>B</v>
      </c>
      <c r="M534" s="7" t="str">
        <f t="shared" si="52"/>
        <v>Passed</v>
      </c>
      <c r="N534" s="10" t="s">
        <v>25</v>
      </c>
      <c r="O534" s="9">
        <f>COUNTIF(M527:M582,"failed")</f>
        <v>12</v>
      </c>
      <c r="P534" s="10"/>
    </row>
    <row r="535" spans="1:22" ht="15.6" x14ac:dyDescent="0.3">
      <c r="A535" s="3">
        <f t="shared" si="50"/>
        <v>9</v>
      </c>
      <c r="B535" s="306" t="s">
        <v>436</v>
      </c>
      <c r="C535" s="309" t="s">
        <v>371</v>
      </c>
      <c r="D535" s="5" t="s">
        <v>1399</v>
      </c>
      <c r="E535" s="31">
        <v>10</v>
      </c>
      <c r="F535" s="65">
        <v>26.5</v>
      </c>
      <c r="G535" s="64">
        <f t="shared" si="53"/>
        <v>36.5</v>
      </c>
      <c r="H535" s="64"/>
      <c r="I535" s="64"/>
      <c r="J535" s="5">
        <v>46</v>
      </c>
      <c r="K535" s="6">
        <f t="shared" si="54"/>
        <v>82.5</v>
      </c>
      <c r="L535" s="7" t="str">
        <f t="shared" si="51"/>
        <v>A</v>
      </c>
      <c r="M535" s="7" t="str">
        <f t="shared" si="52"/>
        <v>Passed</v>
      </c>
      <c r="N535" s="10" t="s">
        <v>26</v>
      </c>
      <c r="O535" s="29">
        <f>O534/O530%</f>
        <v>21.818181818181817</v>
      </c>
      <c r="P535" s="10"/>
    </row>
    <row r="536" spans="1:22" ht="15.6" x14ac:dyDescent="0.3">
      <c r="A536" s="3">
        <f t="shared" si="50"/>
        <v>10</v>
      </c>
      <c r="B536" s="306" t="s">
        <v>437</v>
      </c>
      <c r="C536" s="310" t="s">
        <v>372</v>
      </c>
      <c r="D536" s="5" t="s">
        <v>1434</v>
      </c>
      <c r="E536" s="31">
        <v>10</v>
      </c>
      <c r="F536" s="5">
        <v>17</v>
      </c>
      <c r="G536" s="6">
        <f t="shared" si="53"/>
        <v>27</v>
      </c>
      <c r="H536" s="64"/>
      <c r="I536" s="64"/>
      <c r="J536" s="5">
        <v>16</v>
      </c>
      <c r="K536" s="6">
        <f t="shared" si="54"/>
        <v>43</v>
      </c>
      <c r="L536" s="7" t="str">
        <f t="shared" si="51"/>
        <v>D</v>
      </c>
      <c r="M536" s="7" t="str">
        <f t="shared" si="52"/>
        <v>Failed</v>
      </c>
      <c r="N536" s="10" t="s">
        <v>27</v>
      </c>
      <c r="O536" s="29">
        <f>AVERAGE(K527:K582)</f>
        <v>57.936363636363637</v>
      </c>
      <c r="P536" s="10"/>
    </row>
    <row r="537" spans="1:22" ht="15.6" x14ac:dyDescent="0.3">
      <c r="A537" s="3">
        <f t="shared" si="50"/>
        <v>11</v>
      </c>
      <c r="B537" s="306" t="s">
        <v>438</v>
      </c>
      <c r="C537" s="307" t="s">
        <v>373</v>
      </c>
      <c r="D537" s="5" t="s">
        <v>1405</v>
      </c>
      <c r="E537" s="31">
        <v>10</v>
      </c>
      <c r="F537" s="5">
        <v>23</v>
      </c>
      <c r="G537" s="6">
        <f t="shared" si="53"/>
        <v>33</v>
      </c>
      <c r="H537" s="64"/>
      <c r="I537" s="64"/>
      <c r="J537" s="5">
        <v>42</v>
      </c>
      <c r="K537" s="6">
        <f t="shared" si="54"/>
        <v>75</v>
      </c>
      <c r="L537" s="7" t="str">
        <f t="shared" si="51"/>
        <v>B+</v>
      </c>
      <c r="M537" s="7" t="str">
        <f t="shared" si="52"/>
        <v>Passed</v>
      </c>
      <c r="N537" s="10"/>
      <c r="O537" s="9"/>
      <c r="P537" s="10"/>
    </row>
    <row r="538" spans="1:22" ht="15.6" x14ac:dyDescent="0.3">
      <c r="A538" s="3">
        <f t="shared" si="50"/>
        <v>12</v>
      </c>
      <c r="B538" s="306" t="s">
        <v>439</v>
      </c>
      <c r="C538" s="307" t="s">
        <v>565</v>
      </c>
      <c r="D538" s="5" t="s">
        <v>1426</v>
      </c>
      <c r="E538" s="31">
        <v>10</v>
      </c>
      <c r="F538" s="5">
        <v>13</v>
      </c>
      <c r="G538" s="6">
        <f t="shared" si="53"/>
        <v>23</v>
      </c>
      <c r="H538" s="64"/>
      <c r="I538" s="64"/>
      <c r="J538" s="5">
        <v>30</v>
      </c>
      <c r="K538" s="6">
        <f t="shared" si="54"/>
        <v>53</v>
      </c>
      <c r="L538" s="7" t="str">
        <f t="shared" si="51"/>
        <v>C</v>
      </c>
      <c r="M538" s="7" t="str">
        <f t="shared" si="52"/>
        <v>Passed</v>
      </c>
      <c r="N538" s="10"/>
      <c r="O538" s="9"/>
      <c r="P538" s="10"/>
    </row>
    <row r="539" spans="1:22" ht="15.6" x14ac:dyDescent="0.3">
      <c r="A539" s="3">
        <f t="shared" si="50"/>
        <v>13</v>
      </c>
      <c r="B539" s="306" t="s">
        <v>440</v>
      </c>
      <c r="C539" s="310" t="s">
        <v>374</v>
      </c>
      <c r="D539" s="5" t="s">
        <v>1433</v>
      </c>
      <c r="E539" s="31">
        <v>10</v>
      </c>
      <c r="F539" s="65">
        <v>23.5</v>
      </c>
      <c r="G539" s="64">
        <f t="shared" si="53"/>
        <v>33.5</v>
      </c>
      <c r="H539" s="64"/>
      <c r="I539" s="64"/>
      <c r="J539" s="5">
        <v>60</v>
      </c>
      <c r="K539" s="6">
        <f t="shared" si="54"/>
        <v>93.5</v>
      </c>
      <c r="L539" s="7" t="str">
        <f t="shared" si="51"/>
        <v>A</v>
      </c>
      <c r="M539" s="7" t="str">
        <f t="shared" si="52"/>
        <v>Passed</v>
      </c>
      <c r="N539" s="10"/>
      <c r="O539" s="9"/>
      <c r="P539" s="10"/>
    </row>
    <row r="540" spans="1:22" ht="15.6" x14ac:dyDescent="0.3">
      <c r="A540" s="3">
        <f t="shared" si="50"/>
        <v>14</v>
      </c>
      <c r="B540" s="306" t="s">
        <v>441</v>
      </c>
      <c r="C540" s="310" t="s">
        <v>375</v>
      </c>
      <c r="D540" s="5" t="s">
        <v>1435</v>
      </c>
      <c r="E540" s="31">
        <v>10</v>
      </c>
      <c r="F540" s="5">
        <v>23</v>
      </c>
      <c r="G540" s="6">
        <f t="shared" si="53"/>
        <v>33</v>
      </c>
      <c r="H540" s="64"/>
      <c r="I540" s="64"/>
      <c r="J540" s="5">
        <v>18</v>
      </c>
      <c r="K540" s="6">
        <f t="shared" si="54"/>
        <v>51</v>
      </c>
      <c r="L540" s="7" t="str">
        <f t="shared" si="51"/>
        <v>C</v>
      </c>
      <c r="M540" s="7" t="str">
        <f t="shared" si="52"/>
        <v>Passed</v>
      </c>
      <c r="N540" s="10"/>
      <c r="O540" s="9" t="s">
        <v>28</v>
      </c>
      <c r="P540" s="10" t="s">
        <v>29</v>
      </c>
      <c r="Q540" t="s">
        <v>30</v>
      </c>
      <c r="R540" t="s">
        <v>31</v>
      </c>
      <c r="S540" t="s">
        <v>32</v>
      </c>
      <c r="T540" t="s">
        <v>33</v>
      </c>
      <c r="U540" t="s">
        <v>34</v>
      </c>
      <c r="V540" t="s">
        <v>35</v>
      </c>
    </row>
    <row r="541" spans="1:22" ht="15.6" x14ac:dyDescent="0.3">
      <c r="A541" s="3">
        <f t="shared" si="50"/>
        <v>15</v>
      </c>
      <c r="B541" s="306" t="s">
        <v>442</v>
      </c>
      <c r="C541" s="310" t="s">
        <v>376</v>
      </c>
      <c r="D541" s="5" t="s">
        <v>1411</v>
      </c>
      <c r="E541" s="31">
        <v>10</v>
      </c>
      <c r="F541" s="5">
        <v>21</v>
      </c>
      <c r="G541" s="6">
        <f t="shared" si="53"/>
        <v>31</v>
      </c>
      <c r="H541" s="64"/>
      <c r="I541" s="64"/>
      <c r="J541" s="5">
        <v>9</v>
      </c>
      <c r="K541" s="6">
        <f t="shared" si="54"/>
        <v>40</v>
      </c>
      <c r="L541" s="7" t="str">
        <f t="shared" si="51"/>
        <v>D</v>
      </c>
      <c r="M541" s="7" t="str">
        <f t="shared" si="52"/>
        <v>Failed</v>
      </c>
      <c r="N541" s="11"/>
      <c r="O541" s="9">
        <f>COUNTIF(L527:L582,"A")</f>
        <v>5</v>
      </c>
      <c r="P541" s="10">
        <f>COUNTIF(L527:L582,"B+")</f>
        <v>7</v>
      </c>
      <c r="Q541">
        <f>COUNTIF(L527:L582,"B")</f>
        <v>14</v>
      </c>
      <c r="R541">
        <f>COUNTIF(L527:L582,"C+")</f>
        <v>6</v>
      </c>
      <c r="S541">
        <f>COUNTIF(L527:L582,"C")</f>
        <v>11</v>
      </c>
      <c r="T541">
        <f>COUNTIF(L527:L582,"D+")</f>
        <v>1</v>
      </c>
      <c r="U541">
        <f>COUNTIF(L527:L582,"D")</f>
        <v>4</v>
      </c>
      <c r="V541">
        <f>COUNTIF(L527:L582,"F")</f>
        <v>7</v>
      </c>
    </row>
    <row r="542" spans="1:22" ht="15.6" x14ac:dyDescent="0.3">
      <c r="A542" s="3">
        <f t="shared" si="50"/>
        <v>16</v>
      </c>
      <c r="B542" s="306" t="s">
        <v>443</v>
      </c>
      <c r="C542" s="307" t="s">
        <v>377</v>
      </c>
      <c r="D542" s="5" t="s">
        <v>1402</v>
      </c>
      <c r="E542" s="31">
        <v>10</v>
      </c>
      <c r="F542" s="5">
        <v>23</v>
      </c>
      <c r="G542" s="6">
        <f t="shared" si="53"/>
        <v>33</v>
      </c>
      <c r="H542" s="64"/>
      <c r="I542" s="64"/>
      <c r="J542" s="5">
        <v>50</v>
      </c>
      <c r="K542" s="6">
        <f t="shared" si="54"/>
        <v>83</v>
      </c>
      <c r="L542" s="7" t="str">
        <f t="shared" si="51"/>
        <v>A</v>
      </c>
      <c r="M542" s="7" t="str">
        <f t="shared" si="52"/>
        <v>Passed</v>
      </c>
      <c r="N542" s="10"/>
      <c r="O542" s="9"/>
      <c r="P542" s="10"/>
    </row>
    <row r="543" spans="1:22" ht="15.6" x14ac:dyDescent="0.3">
      <c r="A543" s="3">
        <f t="shared" si="50"/>
        <v>17</v>
      </c>
      <c r="B543" s="306" t="s">
        <v>444</v>
      </c>
      <c r="C543" s="310" t="s">
        <v>378</v>
      </c>
      <c r="D543" s="5" t="s">
        <v>1414</v>
      </c>
      <c r="E543" s="31">
        <v>10</v>
      </c>
      <c r="F543" s="65">
        <v>16.5</v>
      </c>
      <c r="G543" s="64">
        <f t="shared" si="53"/>
        <v>26.5</v>
      </c>
      <c r="H543" s="64"/>
      <c r="I543" s="64"/>
      <c r="J543" s="5">
        <v>30</v>
      </c>
      <c r="K543" s="6">
        <f t="shared" si="54"/>
        <v>56.5</v>
      </c>
      <c r="L543" s="7" t="str">
        <f t="shared" si="51"/>
        <v>C+</v>
      </c>
      <c r="M543" s="7" t="str">
        <f t="shared" si="52"/>
        <v>Passed</v>
      </c>
      <c r="N543" s="10"/>
      <c r="O543" s="9"/>
      <c r="P543" s="10"/>
    </row>
    <row r="544" spans="1:22" ht="15.6" x14ac:dyDescent="0.3">
      <c r="A544" s="3">
        <f t="shared" si="50"/>
        <v>18</v>
      </c>
      <c r="B544" s="306" t="s">
        <v>445</v>
      </c>
      <c r="C544" s="308" t="s">
        <v>379</v>
      </c>
      <c r="D544" s="5" t="s">
        <v>1393</v>
      </c>
      <c r="E544" s="31">
        <v>10</v>
      </c>
      <c r="F544" s="65">
        <v>22.5</v>
      </c>
      <c r="G544" s="64">
        <f t="shared" si="53"/>
        <v>32.5</v>
      </c>
      <c r="H544" s="64"/>
      <c r="I544" s="64"/>
      <c r="J544" s="5">
        <v>41</v>
      </c>
      <c r="K544" s="6">
        <f t="shared" si="54"/>
        <v>73.5</v>
      </c>
      <c r="L544" s="7" t="str">
        <f t="shared" si="51"/>
        <v>B+</v>
      </c>
      <c r="M544" s="7" t="str">
        <f t="shared" si="52"/>
        <v>Passed</v>
      </c>
      <c r="N544" s="10"/>
      <c r="O544" s="9"/>
      <c r="P544" s="10"/>
    </row>
    <row r="545" spans="1:16" ht="15.6" x14ac:dyDescent="0.3">
      <c r="A545" s="3">
        <f t="shared" si="50"/>
        <v>19</v>
      </c>
      <c r="B545" s="306" t="s">
        <v>446</v>
      </c>
      <c r="C545" s="310" t="s">
        <v>602</v>
      </c>
      <c r="D545" s="5" t="s">
        <v>1422</v>
      </c>
      <c r="E545" s="31">
        <v>10</v>
      </c>
      <c r="F545" s="5">
        <v>18</v>
      </c>
      <c r="G545" s="6">
        <f t="shared" si="53"/>
        <v>28</v>
      </c>
      <c r="H545" s="64"/>
      <c r="I545" s="64"/>
      <c r="J545" s="5">
        <v>45</v>
      </c>
      <c r="K545" s="6">
        <f t="shared" si="54"/>
        <v>73</v>
      </c>
      <c r="L545" s="7" t="str">
        <f t="shared" si="51"/>
        <v>B+</v>
      </c>
      <c r="M545" s="7" t="str">
        <f t="shared" si="52"/>
        <v>Passed</v>
      </c>
      <c r="N545" s="10"/>
      <c r="O545" s="9"/>
      <c r="P545" s="10"/>
    </row>
    <row r="546" spans="1:16" ht="15.6" x14ac:dyDescent="0.3">
      <c r="A546" s="3">
        <f t="shared" si="50"/>
        <v>20</v>
      </c>
      <c r="B546" s="306" t="s">
        <v>448</v>
      </c>
      <c r="C546" s="308" t="s">
        <v>380</v>
      </c>
      <c r="D546" s="5" t="s">
        <v>1416</v>
      </c>
      <c r="E546" s="31">
        <v>10</v>
      </c>
      <c r="F546" s="348">
        <v>16</v>
      </c>
      <c r="G546" s="6">
        <f t="shared" si="53"/>
        <v>26</v>
      </c>
      <c r="H546" s="64"/>
      <c r="I546" s="64"/>
      <c r="J546" s="5">
        <v>24</v>
      </c>
      <c r="K546" s="6">
        <f t="shared" si="54"/>
        <v>50</v>
      </c>
      <c r="L546" s="7" t="str">
        <f t="shared" si="51"/>
        <v>C</v>
      </c>
      <c r="M546" s="7" t="str">
        <f t="shared" si="52"/>
        <v>Passed</v>
      </c>
      <c r="N546" s="10"/>
      <c r="O546" s="9"/>
      <c r="P546" s="10"/>
    </row>
    <row r="547" spans="1:16" ht="15.6" x14ac:dyDescent="0.3">
      <c r="A547" s="3">
        <f t="shared" si="50"/>
        <v>21</v>
      </c>
      <c r="B547" s="306" t="s">
        <v>447</v>
      </c>
      <c r="C547" s="310" t="s">
        <v>381</v>
      </c>
      <c r="D547" s="5" t="s">
        <v>1431</v>
      </c>
      <c r="E547" s="31">
        <v>10</v>
      </c>
      <c r="F547" s="5">
        <v>20</v>
      </c>
      <c r="G547" s="6">
        <f t="shared" si="53"/>
        <v>30</v>
      </c>
      <c r="H547" s="64"/>
      <c r="I547" s="64"/>
      <c r="J547" s="5">
        <v>30</v>
      </c>
      <c r="K547" s="6">
        <f t="shared" si="54"/>
        <v>60</v>
      </c>
      <c r="L547" s="7" t="str">
        <f t="shared" si="51"/>
        <v>B</v>
      </c>
      <c r="M547" s="7" t="str">
        <f t="shared" si="52"/>
        <v>Passed</v>
      </c>
      <c r="N547" s="10"/>
      <c r="O547" s="9"/>
      <c r="P547" s="10"/>
    </row>
    <row r="548" spans="1:16" ht="15.6" x14ac:dyDescent="0.3">
      <c r="A548" s="3">
        <f t="shared" si="50"/>
        <v>22</v>
      </c>
      <c r="B548" s="313" t="s">
        <v>570</v>
      </c>
      <c r="C548" s="309" t="s">
        <v>382</v>
      </c>
      <c r="D548" s="5" t="s">
        <v>1417</v>
      </c>
      <c r="E548" s="31">
        <v>10</v>
      </c>
      <c r="F548" s="65">
        <v>22.5</v>
      </c>
      <c r="G548" s="64">
        <f t="shared" si="53"/>
        <v>32.5</v>
      </c>
      <c r="H548" s="64"/>
      <c r="I548" s="64"/>
      <c r="J548" s="5">
        <v>4</v>
      </c>
      <c r="K548" s="6">
        <f t="shared" si="54"/>
        <v>36.5</v>
      </c>
      <c r="L548" s="7" t="str">
        <f t="shared" si="51"/>
        <v>F</v>
      </c>
      <c r="M548" s="7" t="str">
        <f t="shared" si="52"/>
        <v>Failed</v>
      </c>
      <c r="N548" s="10"/>
      <c r="O548" s="9"/>
      <c r="P548" s="10"/>
    </row>
    <row r="549" spans="1:16" ht="15.6" x14ac:dyDescent="0.3">
      <c r="A549" s="3">
        <f t="shared" si="50"/>
        <v>23</v>
      </c>
      <c r="B549" s="306" t="s">
        <v>449</v>
      </c>
      <c r="C549" s="309" t="s">
        <v>383</v>
      </c>
      <c r="D549" s="5" t="s">
        <v>1396</v>
      </c>
      <c r="E549" s="31">
        <v>8</v>
      </c>
      <c r="F549" s="5">
        <v>23</v>
      </c>
      <c r="G549" s="6">
        <f t="shared" si="53"/>
        <v>31</v>
      </c>
      <c r="H549" s="64"/>
      <c r="I549" s="64"/>
      <c r="J549" s="5">
        <v>26</v>
      </c>
      <c r="K549" s="6">
        <f t="shared" si="54"/>
        <v>57</v>
      </c>
      <c r="L549" s="7" t="str">
        <f t="shared" si="51"/>
        <v>C+</v>
      </c>
      <c r="M549" s="7" t="str">
        <f t="shared" si="52"/>
        <v>Passed</v>
      </c>
      <c r="N549" s="10"/>
      <c r="O549" s="9"/>
      <c r="P549" s="10"/>
    </row>
    <row r="550" spans="1:16" ht="15.6" x14ac:dyDescent="0.3">
      <c r="A550" s="3">
        <f t="shared" si="50"/>
        <v>24</v>
      </c>
      <c r="B550" s="306" t="s">
        <v>450</v>
      </c>
      <c r="C550" s="309" t="s">
        <v>384</v>
      </c>
      <c r="D550" s="5" t="s">
        <v>1395</v>
      </c>
      <c r="E550" s="31">
        <v>10</v>
      </c>
      <c r="F550" s="5">
        <v>19</v>
      </c>
      <c r="G550" s="6">
        <f t="shared" si="53"/>
        <v>29</v>
      </c>
      <c r="H550" s="64"/>
      <c r="I550" s="64"/>
      <c r="J550" s="5">
        <v>34</v>
      </c>
      <c r="K550" s="6">
        <f t="shared" si="54"/>
        <v>63</v>
      </c>
      <c r="L550" s="7" t="str">
        <f t="shared" si="51"/>
        <v>B</v>
      </c>
      <c r="M550" s="7" t="str">
        <f t="shared" si="52"/>
        <v>Passed</v>
      </c>
      <c r="N550" s="10"/>
      <c r="O550" s="9"/>
      <c r="P550" s="10"/>
    </row>
    <row r="551" spans="1:16" ht="15.6" x14ac:dyDescent="0.3">
      <c r="A551" s="3">
        <f t="shared" si="50"/>
        <v>25</v>
      </c>
      <c r="B551" s="306" t="s">
        <v>451</v>
      </c>
      <c r="C551" s="310" t="s">
        <v>385</v>
      </c>
      <c r="D551" s="5" t="s">
        <v>1397</v>
      </c>
      <c r="E551" s="31">
        <v>10</v>
      </c>
      <c r="F551" s="65">
        <v>27.5</v>
      </c>
      <c r="G551" s="64">
        <f t="shared" si="53"/>
        <v>37.5</v>
      </c>
      <c r="H551" s="64"/>
      <c r="I551" s="64"/>
      <c r="J551" s="5">
        <v>38</v>
      </c>
      <c r="K551" s="6">
        <f t="shared" si="54"/>
        <v>75.5</v>
      </c>
      <c r="L551" s="7" t="str">
        <f t="shared" si="51"/>
        <v>B+</v>
      </c>
      <c r="M551" s="7" t="str">
        <f t="shared" si="52"/>
        <v>Passed</v>
      </c>
      <c r="N551" s="10"/>
      <c r="O551" s="9"/>
      <c r="P551" s="10"/>
    </row>
    <row r="552" spans="1:16" ht="15.6" x14ac:dyDescent="0.3">
      <c r="A552" s="3">
        <f t="shared" si="50"/>
        <v>26</v>
      </c>
      <c r="B552" s="306" t="s">
        <v>452</v>
      </c>
      <c r="C552" s="310" t="s">
        <v>386</v>
      </c>
      <c r="D552" s="5" t="s">
        <v>1430</v>
      </c>
      <c r="E552" s="31">
        <v>10</v>
      </c>
      <c r="F552" s="5">
        <v>20</v>
      </c>
      <c r="G552" s="6">
        <f t="shared" si="53"/>
        <v>30</v>
      </c>
      <c r="H552" s="64"/>
      <c r="I552" s="64"/>
      <c r="J552" s="5">
        <v>40</v>
      </c>
      <c r="K552" s="6">
        <f t="shared" si="54"/>
        <v>70</v>
      </c>
      <c r="L552" s="7" t="str">
        <f t="shared" si="51"/>
        <v>B+</v>
      </c>
      <c r="M552" s="7" t="str">
        <f t="shared" si="52"/>
        <v>Passed</v>
      </c>
      <c r="N552" s="10"/>
      <c r="O552" s="9"/>
      <c r="P552" s="10"/>
    </row>
    <row r="553" spans="1:16" ht="15.6" x14ac:dyDescent="0.3">
      <c r="A553" s="3">
        <f t="shared" si="50"/>
        <v>27</v>
      </c>
      <c r="B553" s="306" t="s">
        <v>453</v>
      </c>
      <c r="C553" s="309" t="s">
        <v>387</v>
      </c>
      <c r="D553" s="5" t="s">
        <v>1421</v>
      </c>
      <c r="E553" s="5">
        <v>10</v>
      </c>
      <c r="F553" s="5">
        <v>23</v>
      </c>
      <c r="G553" s="6">
        <f t="shared" si="53"/>
        <v>33</v>
      </c>
      <c r="H553" s="64"/>
      <c r="I553" s="64"/>
      <c r="J553" s="5">
        <v>49</v>
      </c>
      <c r="K553" s="6">
        <f t="shared" si="54"/>
        <v>82</v>
      </c>
      <c r="L553" s="7" t="str">
        <f t="shared" si="51"/>
        <v>A</v>
      </c>
      <c r="M553" s="7" t="str">
        <f t="shared" si="52"/>
        <v>Passed</v>
      </c>
      <c r="N553" s="10"/>
      <c r="O553" s="9"/>
      <c r="P553" s="10"/>
    </row>
    <row r="554" spans="1:16" ht="15.6" x14ac:dyDescent="0.3">
      <c r="A554" s="3">
        <f t="shared" si="50"/>
        <v>28</v>
      </c>
      <c r="B554" s="388">
        <v>400123</v>
      </c>
      <c r="C554" s="310" t="s">
        <v>388</v>
      </c>
      <c r="D554" s="5" t="s">
        <v>1412</v>
      </c>
      <c r="E554" s="5">
        <v>8</v>
      </c>
      <c r="F554" s="5">
        <v>20</v>
      </c>
      <c r="G554" s="6">
        <f t="shared" si="53"/>
        <v>28</v>
      </c>
      <c r="H554" s="64"/>
      <c r="I554" s="64"/>
      <c r="J554" s="5">
        <v>49</v>
      </c>
      <c r="K554" s="6">
        <f t="shared" si="54"/>
        <v>77</v>
      </c>
      <c r="L554" s="7" t="str">
        <f t="shared" si="51"/>
        <v>B+</v>
      </c>
      <c r="M554" s="7" t="str">
        <f t="shared" si="52"/>
        <v>Passed</v>
      </c>
      <c r="N554" s="10"/>
      <c r="O554" s="9"/>
      <c r="P554" s="10"/>
    </row>
    <row r="555" spans="1:16" ht="15.6" x14ac:dyDescent="0.3">
      <c r="A555" s="3">
        <f t="shared" si="50"/>
        <v>29</v>
      </c>
      <c r="B555" s="306" t="s">
        <v>454</v>
      </c>
      <c r="C555" s="309" t="s">
        <v>771</v>
      </c>
      <c r="D555" s="5" t="s">
        <v>1432</v>
      </c>
      <c r="E555" s="5">
        <v>10</v>
      </c>
      <c r="F555" s="5">
        <v>21</v>
      </c>
      <c r="G555" s="6">
        <f t="shared" si="53"/>
        <v>31</v>
      </c>
      <c r="H555" s="64"/>
      <c r="I555" s="64"/>
      <c r="J555" s="5">
        <v>7</v>
      </c>
      <c r="K555" s="6">
        <f t="shared" si="54"/>
        <v>38</v>
      </c>
      <c r="L555" s="7" t="str">
        <f t="shared" si="51"/>
        <v>F</v>
      </c>
      <c r="M555" s="7" t="str">
        <f t="shared" si="52"/>
        <v>Failed</v>
      </c>
      <c r="N555" s="10"/>
      <c r="O555" s="9"/>
      <c r="P555" s="10"/>
    </row>
    <row r="556" spans="1:16" ht="15.6" x14ac:dyDescent="0.3">
      <c r="A556" s="3">
        <f t="shared" si="50"/>
        <v>30</v>
      </c>
      <c r="B556" s="306" t="s">
        <v>455</v>
      </c>
      <c r="C556" s="307" t="s">
        <v>389</v>
      </c>
      <c r="D556" s="5" t="s">
        <v>1409</v>
      </c>
      <c r="E556" s="5">
        <v>10</v>
      </c>
      <c r="F556" s="5">
        <v>24</v>
      </c>
      <c r="G556" s="6">
        <f t="shared" si="53"/>
        <v>34</v>
      </c>
      <c r="H556" s="64"/>
      <c r="I556" s="64"/>
      <c r="J556" s="5">
        <v>32</v>
      </c>
      <c r="K556" s="6">
        <f t="shared" si="54"/>
        <v>66</v>
      </c>
      <c r="L556" s="7" t="str">
        <f t="shared" si="51"/>
        <v>B</v>
      </c>
      <c r="M556" s="7" t="str">
        <f t="shared" si="52"/>
        <v>Passed</v>
      </c>
      <c r="N556" s="10"/>
      <c r="O556" s="9"/>
      <c r="P556" s="10"/>
    </row>
    <row r="557" spans="1:16" ht="15.6" x14ac:dyDescent="0.3">
      <c r="A557" s="3">
        <f t="shared" si="50"/>
        <v>31</v>
      </c>
      <c r="B557" s="306" t="s">
        <v>456</v>
      </c>
      <c r="C557" s="310" t="s">
        <v>535</v>
      </c>
      <c r="D557" s="5" t="s">
        <v>1400</v>
      </c>
      <c r="E557" s="5">
        <v>10</v>
      </c>
      <c r="F557" s="5">
        <v>18</v>
      </c>
      <c r="G557" s="6">
        <f t="shared" si="53"/>
        <v>28</v>
      </c>
      <c r="H557" s="64"/>
      <c r="I557" s="64"/>
      <c r="J557" s="5">
        <v>29</v>
      </c>
      <c r="K557" s="6">
        <f t="shared" si="54"/>
        <v>57</v>
      </c>
      <c r="L557" s="7" t="str">
        <f t="shared" si="51"/>
        <v>C+</v>
      </c>
      <c r="M557" s="7" t="str">
        <f t="shared" si="52"/>
        <v>Passed</v>
      </c>
      <c r="N557" s="10"/>
      <c r="O557" s="9"/>
      <c r="P557" s="10"/>
    </row>
    <row r="558" spans="1:16" ht="15.6" x14ac:dyDescent="0.3">
      <c r="A558" s="3">
        <f t="shared" si="50"/>
        <v>32</v>
      </c>
      <c r="B558" s="306" t="s">
        <v>457</v>
      </c>
      <c r="C558" s="307" t="s">
        <v>390</v>
      </c>
      <c r="D558" s="5" t="s">
        <v>1428</v>
      </c>
      <c r="E558" s="5">
        <v>10</v>
      </c>
      <c r="F558" s="5">
        <v>15</v>
      </c>
      <c r="G558" s="6">
        <f t="shared" si="53"/>
        <v>25</v>
      </c>
      <c r="H558" s="64"/>
      <c r="I558" s="64"/>
      <c r="J558" s="5">
        <v>19</v>
      </c>
      <c r="K558" s="6">
        <f t="shared" si="54"/>
        <v>44</v>
      </c>
      <c r="L558" s="7" t="str">
        <f t="shared" si="51"/>
        <v>D</v>
      </c>
      <c r="M558" s="7" t="str">
        <f t="shared" si="52"/>
        <v>Failed</v>
      </c>
      <c r="N558" s="10"/>
      <c r="O558" s="9"/>
      <c r="P558" s="10"/>
    </row>
    <row r="559" spans="1:16" ht="15.6" x14ac:dyDescent="0.3">
      <c r="A559" s="3">
        <f t="shared" ref="A559:A580" si="55">ROW(A33)</f>
        <v>33</v>
      </c>
      <c r="B559" s="306" t="s">
        <v>458</v>
      </c>
      <c r="C559" s="307" t="s">
        <v>391</v>
      </c>
      <c r="D559" s="5" t="s">
        <v>1440</v>
      </c>
      <c r="E559" s="5">
        <v>9</v>
      </c>
      <c r="F559" s="5">
        <v>19</v>
      </c>
      <c r="G559" s="6">
        <f t="shared" si="53"/>
        <v>28</v>
      </c>
      <c r="H559" s="64"/>
      <c r="I559" s="64"/>
      <c r="J559" s="5">
        <v>31</v>
      </c>
      <c r="K559" s="6">
        <f t="shared" si="54"/>
        <v>59</v>
      </c>
      <c r="L559" s="7" t="str">
        <f t="shared" si="51"/>
        <v>C+</v>
      </c>
      <c r="M559" s="7" t="str">
        <f t="shared" si="52"/>
        <v>Passed</v>
      </c>
      <c r="N559" s="10"/>
      <c r="O559" s="9"/>
      <c r="P559" s="10"/>
    </row>
    <row r="560" spans="1:16" ht="15.6" x14ac:dyDescent="0.3">
      <c r="A560" s="3">
        <f t="shared" si="55"/>
        <v>34</v>
      </c>
      <c r="B560" s="306" t="s">
        <v>459</v>
      </c>
      <c r="C560" s="309" t="s">
        <v>557</v>
      </c>
      <c r="D560" s="5" t="s">
        <v>1403</v>
      </c>
      <c r="E560" s="5">
        <v>10</v>
      </c>
      <c r="F560" s="5">
        <v>20</v>
      </c>
      <c r="G560" s="6">
        <f t="shared" si="53"/>
        <v>30</v>
      </c>
      <c r="H560" s="64"/>
      <c r="I560" s="64"/>
      <c r="J560" s="5">
        <v>22</v>
      </c>
      <c r="K560" s="6">
        <f t="shared" si="54"/>
        <v>52</v>
      </c>
      <c r="L560" s="7" t="str">
        <f t="shared" si="51"/>
        <v>C</v>
      </c>
      <c r="M560" s="7" t="str">
        <f t="shared" si="52"/>
        <v>Passed</v>
      </c>
      <c r="N560" s="10"/>
      <c r="O560" s="9"/>
      <c r="P560" s="10"/>
    </row>
    <row r="561" spans="1:16" ht="15.6" x14ac:dyDescent="0.3">
      <c r="A561" s="3">
        <f t="shared" si="55"/>
        <v>35</v>
      </c>
      <c r="B561" s="306" t="s">
        <v>460</v>
      </c>
      <c r="C561" s="309" t="s">
        <v>392</v>
      </c>
      <c r="D561" s="5" t="s">
        <v>1443</v>
      </c>
      <c r="E561" s="5">
        <v>10</v>
      </c>
      <c r="F561" s="5">
        <v>20</v>
      </c>
      <c r="G561" s="6">
        <f t="shared" si="53"/>
        <v>30</v>
      </c>
      <c r="H561" s="64"/>
      <c r="I561" s="64"/>
      <c r="J561" s="5">
        <v>30</v>
      </c>
      <c r="K561" s="6">
        <f t="shared" si="54"/>
        <v>60</v>
      </c>
      <c r="L561" s="7" t="str">
        <f t="shared" si="51"/>
        <v>B</v>
      </c>
      <c r="M561" s="7" t="str">
        <f t="shared" si="52"/>
        <v>Passed</v>
      </c>
      <c r="N561" s="10"/>
      <c r="O561" s="9"/>
      <c r="P561" s="10"/>
    </row>
    <row r="562" spans="1:16" ht="15.6" x14ac:dyDescent="0.3">
      <c r="A562" s="3">
        <f t="shared" si="55"/>
        <v>36</v>
      </c>
      <c r="B562" s="306" t="s">
        <v>461</v>
      </c>
      <c r="C562" s="309" t="s">
        <v>393</v>
      </c>
      <c r="D562" s="5" t="s">
        <v>1415</v>
      </c>
      <c r="E562" s="5">
        <v>10</v>
      </c>
      <c r="F562" s="5">
        <v>22</v>
      </c>
      <c r="G562" s="6">
        <f t="shared" si="53"/>
        <v>32</v>
      </c>
      <c r="H562" s="64"/>
      <c r="I562" s="64"/>
      <c r="J562" s="5">
        <v>21</v>
      </c>
      <c r="K562" s="6">
        <f t="shared" si="54"/>
        <v>53</v>
      </c>
      <c r="L562" s="7" t="str">
        <f t="shared" si="51"/>
        <v>C</v>
      </c>
      <c r="M562" s="7" t="str">
        <f t="shared" si="52"/>
        <v>Passed</v>
      </c>
      <c r="N562" s="10"/>
      <c r="O562" s="9"/>
      <c r="P562" s="10"/>
    </row>
    <row r="563" spans="1:16" ht="15.6" x14ac:dyDescent="0.3">
      <c r="A563" s="3">
        <f t="shared" si="55"/>
        <v>37</v>
      </c>
      <c r="B563" s="306" t="s">
        <v>462</v>
      </c>
      <c r="C563" s="309" t="s">
        <v>394</v>
      </c>
      <c r="D563" s="5" t="s">
        <v>1418</v>
      </c>
      <c r="E563" s="5">
        <v>10</v>
      </c>
      <c r="F563" s="5">
        <v>24</v>
      </c>
      <c r="G563" s="6">
        <f t="shared" si="53"/>
        <v>34</v>
      </c>
      <c r="H563" s="64"/>
      <c r="I563" s="64"/>
      <c r="J563" s="5">
        <v>30</v>
      </c>
      <c r="K563" s="6">
        <f t="shared" si="54"/>
        <v>64</v>
      </c>
      <c r="L563" s="7" t="str">
        <f t="shared" si="51"/>
        <v>B</v>
      </c>
      <c r="M563" s="7" t="str">
        <f t="shared" si="52"/>
        <v>Passed</v>
      </c>
      <c r="N563" s="10"/>
      <c r="O563" s="9"/>
      <c r="P563" s="10"/>
    </row>
    <row r="564" spans="1:16" ht="15.6" x14ac:dyDescent="0.3">
      <c r="A564" s="3">
        <f t="shared" si="55"/>
        <v>38</v>
      </c>
      <c r="B564" s="306" t="s">
        <v>463</v>
      </c>
      <c r="C564" s="309" t="s">
        <v>395</v>
      </c>
      <c r="D564" s="5" t="s">
        <v>1408</v>
      </c>
      <c r="E564" s="5">
        <v>9</v>
      </c>
      <c r="F564" s="5">
        <v>25</v>
      </c>
      <c r="G564" s="6">
        <f t="shared" si="53"/>
        <v>34</v>
      </c>
      <c r="H564" s="64"/>
      <c r="I564" s="64"/>
      <c r="J564" s="5">
        <v>5</v>
      </c>
      <c r="K564" s="6">
        <f t="shared" si="54"/>
        <v>39</v>
      </c>
      <c r="L564" s="7" t="str">
        <f t="shared" si="51"/>
        <v>F</v>
      </c>
      <c r="M564" s="7" t="str">
        <f t="shared" si="52"/>
        <v>Failed</v>
      </c>
      <c r="N564" s="10"/>
      <c r="O564" s="9"/>
      <c r="P564" s="10"/>
    </row>
    <row r="565" spans="1:16" ht="15.6" x14ac:dyDescent="0.3">
      <c r="A565" s="3">
        <f t="shared" si="55"/>
        <v>39</v>
      </c>
      <c r="B565" s="306" t="s">
        <v>464</v>
      </c>
      <c r="C565" s="309" t="s">
        <v>396</v>
      </c>
      <c r="D565" s="5" t="s">
        <v>1413</v>
      </c>
      <c r="E565" s="5">
        <v>10</v>
      </c>
      <c r="F565" s="5">
        <v>20</v>
      </c>
      <c r="G565" s="6">
        <f t="shared" si="53"/>
        <v>30</v>
      </c>
      <c r="H565" s="64"/>
      <c r="I565" s="64"/>
      <c r="J565" s="5">
        <v>0</v>
      </c>
      <c r="K565" s="6">
        <f t="shared" si="54"/>
        <v>30</v>
      </c>
      <c r="L565" s="7" t="str">
        <f t="shared" si="51"/>
        <v>F</v>
      </c>
      <c r="M565" s="7" t="str">
        <f t="shared" si="52"/>
        <v>Failed</v>
      </c>
      <c r="N565" s="10"/>
      <c r="O565" s="9"/>
      <c r="P565" s="10"/>
    </row>
    <row r="566" spans="1:16" ht="15.6" x14ac:dyDescent="0.3">
      <c r="A566" s="3">
        <f t="shared" si="55"/>
        <v>40</v>
      </c>
      <c r="B566" s="306" t="s">
        <v>465</v>
      </c>
      <c r="C566" s="309" t="s">
        <v>397</v>
      </c>
      <c r="D566" s="5" t="s">
        <v>1419</v>
      </c>
      <c r="E566" s="5">
        <v>10</v>
      </c>
      <c r="F566" s="5">
        <v>19</v>
      </c>
      <c r="G566" s="6">
        <f t="shared" si="53"/>
        <v>29</v>
      </c>
      <c r="H566" s="64"/>
      <c r="I566" s="64"/>
      <c r="J566" s="5">
        <v>22</v>
      </c>
      <c r="K566" s="6">
        <f t="shared" si="54"/>
        <v>51</v>
      </c>
      <c r="L566" s="7" t="str">
        <f t="shared" si="51"/>
        <v>C</v>
      </c>
      <c r="M566" s="7" t="str">
        <f t="shared" si="52"/>
        <v>Passed</v>
      </c>
      <c r="N566" s="10"/>
      <c r="O566" s="9"/>
      <c r="P566" s="10"/>
    </row>
    <row r="567" spans="1:16" ht="15.6" x14ac:dyDescent="0.3">
      <c r="A567" s="3">
        <f t="shared" si="55"/>
        <v>41</v>
      </c>
      <c r="B567" s="306" t="s">
        <v>466</v>
      </c>
      <c r="C567" s="307" t="s">
        <v>398</v>
      </c>
      <c r="D567" s="5" t="s">
        <v>1442</v>
      </c>
      <c r="E567" s="5">
        <v>10</v>
      </c>
      <c r="F567" s="5">
        <v>18</v>
      </c>
      <c r="G567" s="6">
        <f t="shared" si="53"/>
        <v>28</v>
      </c>
      <c r="H567" s="64"/>
      <c r="I567" s="64"/>
      <c r="J567" s="5">
        <v>5</v>
      </c>
      <c r="K567" s="6">
        <f t="shared" si="54"/>
        <v>33</v>
      </c>
      <c r="L567" s="7" t="str">
        <f t="shared" si="51"/>
        <v>F</v>
      </c>
      <c r="M567" s="7" t="str">
        <f t="shared" si="52"/>
        <v>Failed</v>
      </c>
      <c r="N567" s="10"/>
      <c r="O567" s="9"/>
      <c r="P567" s="10"/>
    </row>
    <row r="568" spans="1:16" ht="15.6" x14ac:dyDescent="0.3">
      <c r="A568" s="3">
        <f t="shared" si="55"/>
        <v>42</v>
      </c>
      <c r="B568" s="306" t="s">
        <v>467</v>
      </c>
      <c r="C568" s="307" t="s">
        <v>399</v>
      </c>
      <c r="D568" s="5" t="s">
        <v>1425</v>
      </c>
      <c r="E568" s="5">
        <v>10</v>
      </c>
      <c r="F568" s="5">
        <v>18</v>
      </c>
      <c r="G568" s="6">
        <f t="shared" si="53"/>
        <v>28</v>
      </c>
      <c r="H568" s="64"/>
      <c r="I568" s="64"/>
      <c r="J568" s="5">
        <v>31</v>
      </c>
      <c r="K568" s="6">
        <f t="shared" si="54"/>
        <v>59</v>
      </c>
      <c r="L568" s="7" t="str">
        <f t="shared" si="51"/>
        <v>C+</v>
      </c>
      <c r="M568" s="7" t="str">
        <f t="shared" si="52"/>
        <v>Passed</v>
      </c>
      <c r="N568" s="10"/>
      <c r="O568" s="9"/>
      <c r="P568" s="10"/>
    </row>
    <row r="569" spans="1:16" ht="15.6" x14ac:dyDescent="0.3">
      <c r="A569" s="3">
        <f t="shared" si="55"/>
        <v>43</v>
      </c>
      <c r="B569" s="306" t="s">
        <v>468</v>
      </c>
      <c r="C569" s="383" t="s">
        <v>552</v>
      </c>
      <c r="D569" s="5" t="s">
        <v>1401</v>
      </c>
      <c r="E569" s="5">
        <v>10</v>
      </c>
      <c r="F569" s="65">
        <v>28.5</v>
      </c>
      <c r="G569" s="64">
        <f t="shared" si="53"/>
        <v>38.5</v>
      </c>
      <c r="H569" s="64"/>
      <c r="I569" s="64"/>
      <c r="J569" s="5">
        <v>22</v>
      </c>
      <c r="K569" s="6">
        <f t="shared" si="54"/>
        <v>60.5</v>
      </c>
      <c r="L569" s="7" t="str">
        <f t="shared" si="51"/>
        <v>B</v>
      </c>
      <c r="M569" s="7" t="str">
        <f t="shared" si="52"/>
        <v>Passed</v>
      </c>
      <c r="N569" s="10"/>
      <c r="O569" s="9"/>
      <c r="P569" s="10"/>
    </row>
    <row r="570" spans="1:16" ht="15.6" x14ac:dyDescent="0.3">
      <c r="A570" s="3">
        <f t="shared" si="55"/>
        <v>44</v>
      </c>
      <c r="B570" s="306" t="s">
        <v>469</v>
      </c>
      <c r="C570" s="308" t="s">
        <v>400</v>
      </c>
      <c r="D570" s="5" t="s">
        <v>1406</v>
      </c>
      <c r="E570" s="5">
        <v>9</v>
      </c>
      <c r="F570" s="65">
        <v>26.5</v>
      </c>
      <c r="G570" s="64">
        <f t="shared" si="53"/>
        <v>35.5</v>
      </c>
      <c r="H570" s="64"/>
      <c r="I570" s="64"/>
      <c r="J570" s="5">
        <v>18</v>
      </c>
      <c r="K570" s="6">
        <f t="shared" si="54"/>
        <v>53.5</v>
      </c>
      <c r="L570" s="7" t="str">
        <f t="shared" si="51"/>
        <v>C</v>
      </c>
      <c r="M570" s="7" t="str">
        <f t="shared" si="52"/>
        <v>Passed</v>
      </c>
      <c r="N570" s="10"/>
      <c r="O570" s="9"/>
      <c r="P570" s="10"/>
    </row>
    <row r="571" spans="1:16" ht="15.6" x14ac:dyDescent="0.3">
      <c r="A571" s="3">
        <f t="shared" si="55"/>
        <v>45</v>
      </c>
      <c r="B571" s="306" t="s">
        <v>470</v>
      </c>
      <c r="C571" s="307" t="s">
        <v>401</v>
      </c>
      <c r="D571" s="5" t="s">
        <v>1394</v>
      </c>
      <c r="E571" s="5">
        <v>10</v>
      </c>
      <c r="F571" s="5">
        <v>24</v>
      </c>
      <c r="G571" s="6">
        <f t="shared" si="53"/>
        <v>34</v>
      </c>
      <c r="H571" s="64"/>
      <c r="I571" s="64"/>
      <c r="J571" s="5">
        <v>22</v>
      </c>
      <c r="K571" s="6">
        <f t="shared" si="54"/>
        <v>56</v>
      </c>
      <c r="L571" s="7" t="str">
        <f t="shared" si="51"/>
        <v>C+</v>
      </c>
      <c r="M571" s="7" t="str">
        <f t="shared" si="52"/>
        <v>Passed</v>
      </c>
      <c r="N571" s="10"/>
      <c r="O571" s="9"/>
      <c r="P571" s="10"/>
    </row>
    <row r="572" spans="1:16" ht="15.6" x14ac:dyDescent="0.3">
      <c r="A572" s="3">
        <f t="shared" si="55"/>
        <v>46</v>
      </c>
      <c r="B572" s="306" t="s">
        <v>471</v>
      </c>
      <c r="C572" s="307" t="s">
        <v>402</v>
      </c>
      <c r="D572" s="5" t="s">
        <v>1398</v>
      </c>
      <c r="E572" s="5">
        <v>10</v>
      </c>
      <c r="F572" s="5">
        <v>19</v>
      </c>
      <c r="G572" s="6">
        <f t="shared" si="53"/>
        <v>29</v>
      </c>
      <c r="H572" s="64"/>
      <c r="I572" s="64"/>
      <c r="J572" s="5">
        <v>31</v>
      </c>
      <c r="K572" s="6">
        <f t="shared" si="54"/>
        <v>60</v>
      </c>
      <c r="L572" s="7" t="str">
        <f t="shared" si="51"/>
        <v>B</v>
      </c>
      <c r="M572" s="7" t="str">
        <f t="shared" si="52"/>
        <v>Passed</v>
      </c>
      <c r="N572" s="10"/>
      <c r="O572" s="9"/>
      <c r="P572" s="10"/>
    </row>
    <row r="573" spans="1:16" ht="15.6" x14ac:dyDescent="0.3">
      <c r="A573" s="3">
        <f t="shared" si="55"/>
        <v>47</v>
      </c>
      <c r="B573" s="306" t="s">
        <v>472</v>
      </c>
      <c r="C573" s="12" t="s">
        <v>403</v>
      </c>
      <c r="D573" s="5" t="s">
        <v>1410</v>
      </c>
      <c r="E573" s="5">
        <v>9</v>
      </c>
      <c r="F573" s="65">
        <v>16.5</v>
      </c>
      <c r="G573" s="64">
        <f t="shared" si="53"/>
        <v>25.5</v>
      </c>
      <c r="H573" s="64"/>
      <c r="I573" s="64"/>
      <c r="J573" s="5">
        <v>35</v>
      </c>
      <c r="K573" s="6">
        <f t="shared" si="54"/>
        <v>60.5</v>
      </c>
      <c r="L573" s="7" t="str">
        <f t="shared" si="51"/>
        <v>B</v>
      </c>
      <c r="M573" s="7" t="str">
        <f t="shared" si="52"/>
        <v>Passed</v>
      </c>
      <c r="N573" s="10"/>
      <c r="O573" s="9"/>
      <c r="P573" s="10"/>
    </row>
    <row r="574" spans="1:16" ht="15.6" x14ac:dyDescent="0.3">
      <c r="A574" s="3">
        <f t="shared" si="55"/>
        <v>48</v>
      </c>
      <c r="B574" s="12" t="s">
        <v>473</v>
      </c>
      <c r="C574" s="307" t="s">
        <v>404</v>
      </c>
      <c r="D574" s="5" t="s">
        <v>1438</v>
      </c>
      <c r="E574" s="5">
        <v>10</v>
      </c>
      <c r="F574" s="5">
        <v>27</v>
      </c>
      <c r="G574" s="6">
        <f t="shared" si="53"/>
        <v>37</v>
      </c>
      <c r="H574" s="64"/>
      <c r="I574" s="64"/>
      <c r="J574" s="5">
        <v>26</v>
      </c>
      <c r="K574" s="6">
        <f t="shared" si="54"/>
        <v>63</v>
      </c>
      <c r="L574" s="7" t="str">
        <f t="shared" si="51"/>
        <v>B</v>
      </c>
      <c r="M574" s="7" t="str">
        <f t="shared" si="52"/>
        <v>Passed</v>
      </c>
      <c r="N574" s="10"/>
      <c r="O574" s="9"/>
      <c r="P574" s="10"/>
    </row>
    <row r="575" spans="1:16" ht="15.6" x14ac:dyDescent="0.3">
      <c r="A575" s="3">
        <f t="shared" si="55"/>
        <v>49</v>
      </c>
      <c r="B575" s="12" t="s">
        <v>474</v>
      </c>
      <c r="C575" s="307" t="s">
        <v>405</v>
      </c>
      <c r="D575" s="5" t="s">
        <v>1423</v>
      </c>
      <c r="E575" s="5">
        <v>10</v>
      </c>
      <c r="F575" s="5">
        <v>23</v>
      </c>
      <c r="G575" s="6">
        <f t="shared" si="53"/>
        <v>33</v>
      </c>
      <c r="H575" s="64"/>
      <c r="I575" s="64"/>
      <c r="J575" s="5">
        <v>14</v>
      </c>
      <c r="K575" s="6">
        <f t="shared" si="54"/>
        <v>47</v>
      </c>
      <c r="L575" s="7" t="str">
        <f t="shared" si="51"/>
        <v>D+</v>
      </c>
      <c r="M575" s="7" t="str">
        <f t="shared" si="52"/>
        <v>Failed</v>
      </c>
      <c r="N575" s="10"/>
      <c r="O575" s="9"/>
      <c r="P575" s="10"/>
    </row>
    <row r="576" spans="1:16" ht="15.6" x14ac:dyDescent="0.3">
      <c r="A576" s="3">
        <f t="shared" si="55"/>
        <v>50</v>
      </c>
      <c r="B576" s="12" t="s">
        <v>475</v>
      </c>
      <c r="C576" s="307" t="s">
        <v>406</v>
      </c>
      <c r="D576" s="5" t="s">
        <v>1407</v>
      </c>
      <c r="E576" s="5">
        <v>10</v>
      </c>
      <c r="F576" s="65">
        <v>21.5</v>
      </c>
      <c r="G576" s="64">
        <f t="shared" si="53"/>
        <v>31.5</v>
      </c>
      <c r="H576" s="64"/>
      <c r="I576" s="64"/>
      <c r="J576" s="5">
        <v>36</v>
      </c>
      <c r="K576" s="6">
        <f t="shared" si="54"/>
        <v>67.5</v>
      </c>
      <c r="L576" s="7" t="str">
        <f t="shared" si="51"/>
        <v>B</v>
      </c>
      <c r="M576" s="7" t="str">
        <f t="shared" si="52"/>
        <v>Passed</v>
      </c>
      <c r="N576" s="10"/>
      <c r="O576" s="9"/>
      <c r="P576" s="10"/>
    </row>
    <row r="577" spans="1:16" ht="15.6" x14ac:dyDescent="0.3">
      <c r="A577" s="3">
        <f t="shared" si="55"/>
        <v>51</v>
      </c>
      <c r="B577" s="12" t="s">
        <v>476</v>
      </c>
      <c r="C577" s="307" t="s">
        <v>407</v>
      </c>
      <c r="D577" s="5" t="s">
        <v>1429</v>
      </c>
      <c r="E577" s="5">
        <v>10</v>
      </c>
      <c r="F577" s="5">
        <v>17</v>
      </c>
      <c r="G577" s="6">
        <f t="shared" si="53"/>
        <v>27</v>
      </c>
      <c r="H577" s="64"/>
      <c r="I577" s="64"/>
      <c r="J577" s="5">
        <v>15</v>
      </c>
      <c r="K577" s="6">
        <f t="shared" si="54"/>
        <v>42</v>
      </c>
      <c r="L577" s="7" t="str">
        <f t="shared" si="51"/>
        <v>D</v>
      </c>
      <c r="M577" s="7" t="str">
        <f t="shared" si="52"/>
        <v>Failed</v>
      </c>
      <c r="N577" s="10"/>
      <c r="O577" s="9"/>
      <c r="P577" s="10"/>
    </row>
    <row r="578" spans="1:16" ht="15.6" x14ac:dyDescent="0.3">
      <c r="A578" s="3">
        <f t="shared" si="55"/>
        <v>52</v>
      </c>
      <c r="B578" s="12" t="s">
        <v>477</v>
      </c>
      <c r="C578" s="307" t="s">
        <v>408</v>
      </c>
      <c r="D578" s="5" t="s">
        <v>1444</v>
      </c>
      <c r="E578" s="5">
        <v>9</v>
      </c>
      <c r="F578" s="5">
        <v>15</v>
      </c>
      <c r="G578" s="6">
        <f t="shared" si="53"/>
        <v>24</v>
      </c>
      <c r="H578" s="64"/>
      <c r="I578" s="64"/>
      <c r="J578" s="5">
        <v>3</v>
      </c>
      <c r="K578" s="6">
        <f t="shared" si="54"/>
        <v>27</v>
      </c>
      <c r="L578" s="7" t="str">
        <f t="shared" si="51"/>
        <v>F</v>
      </c>
      <c r="M578" s="7" t="str">
        <f t="shared" si="52"/>
        <v>Failed</v>
      </c>
      <c r="N578" s="10"/>
      <c r="O578" s="9"/>
      <c r="P578" s="10"/>
    </row>
    <row r="579" spans="1:16" ht="15.6" x14ac:dyDescent="0.3">
      <c r="A579" s="3">
        <f t="shared" si="55"/>
        <v>53</v>
      </c>
      <c r="B579" s="12" t="s">
        <v>478</v>
      </c>
      <c r="C579" s="307" t="s">
        <v>409</v>
      </c>
      <c r="D579" s="5" t="s">
        <v>1427</v>
      </c>
      <c r="E579" s="5">
        <v>10</v>
      </c>
      <c r="F579" s="5">
        <v>23</v>
      </c>
      <c r="G579" s="6">
        <f t="shared" si="53"/>
        <v>33</v>
      </c>
      <c r="H579" s="64"/>
      <c r="I579" s="64"/>
      <c r="J579" s="5">
        <v>0</v>
      </c>
      <c r="K579" s="6">
        <f t="shared" si="54"/>
        <v>33</v>
      </c>
      <c r="L579" s="7" t="str">
        <f t="shared" si="51"/>
        <v>F</v>
      </c>
      <c r="M579" s="7" t="str">
        <f t="shared" si="52"/>
        <v>Failed</v>
      </c>
      <c r="N579" s="10"/>
      <c r="O579" s="9"/>
      <c r="P579" s="10"/>
    </row>
    <row r="580" spans="1:16" ht="15.6" x14ac:dyDescent="0.3">
      <c r="A580" s="3">
        <f t="shared" si="55"/>
        <v>54</v>
      </c>
      <c r="B580" s="12" t="s">
        <v>479</v>
      </c>
      <c r="C580" s="12" t="s">
        <v>410</v>
      </c>
      <c r="D580" s="5" t="s">
        <v>1441</v>
      </c>
      <c r="E580" s="5">
        <v>9</v>
      </c>
      <c r="F580" s="5">
        <v>26</v>
      </c>
      <c r="G580" s="6">
        <f>SUM(E580:F580)</f>
        <v>35</v>
      </c>
      <c r="H580" s="5"/>
      <c r="I580" s="5"/>
      <c r="J580" s="5">
        <v>30</v>
      </c>
      <c r="K580" s="6">
        <f t="shared" si="54"/>
        <v>65</v>
      </c>
      <c r="L580" s="7" t="str">
        <f t="shared" si="51"/>
        <v>B</v>
      </c>
      <c r="M580" s="7" t="str">
        <f t="shared" si="52"/>
        <v>Passed</v>
      </c>
      <c r="N580" s="10"/>
      <c r="O580" s="9"/>
      <c r="P580" s="10"/>
    </row>
    <row r="581" spans="1:16" ht="15.6" x14ac:dyDescent="0.3">
      <c r="A581" s="339">
        <v>55</v>
      </c>
      <c r="B581" s="339" t="s">
        <v>1550</v>
      </c>
      <c r="C581" s="347" t="s">
        <v>510</v>
      </c>
      <c r="D581" s="5" t="s">
        <v>1437</v>
      </c>
      <c r="E581" s="339">
        <v>8</v>
      </c>
      <c r="F581" s="339">
        <v>12</v>
      </c>
      <c r="G581" s="348">
        <f t="shared" ref="G581:G582" si="56">SUM(E581:F581)</f>
        <v>20</v>
      </c>
      <c r="H581" s="339"/>
      <c r="I581" s="339"/>
      <c r="J581" s="339">
        <v>31</v>
      </c>
      <c r="K581" s="348">
        <f t="shared" si="54"/>
        <v>51</v>
      </c>
      <c r="L581" s="7" t="str">
        <f t="shared" ref="L581" si="57">IF(K581&gt;=80,"A",IF(K581&gt;=70,"B+",IF(K581&gt;=60,"B",IF(K581&gt;=55,"C+",IF(K581&gt;=50,"C",IF(K581&gt;=45,"D+",IF(K581&gt;=40,"D","F")))))))</f>
        <v>C</v>
      </c>
      <c r="M581" s="7" t="str">
        <f t="shared" ref="M581" si="58">IF(K581&gt;=50,"Passed","Failed")</f>
        <v>Passed</v>
      </c>
      <c r="N581" s="10"/>
      <c r="O581" s="9"/>
      <c r="P581" s="10"/>
    </row>
    <row r="582" spans="1:16" ht="15.6" x14ac:dyDescent="0.3">
      <c r="A582" s="339">
        <v>56</v>
      </c>
      <c r="B582" s="339"/>
      <c r="C582" s="347" t="s">
        <v>511</v>
      </c>
      <c r="D582" s="5" t="s">
        <v>1549</v>
      </c>
      <c r="E582" s="339"/>
      <c r="F582" s="351">
        <v>18.5</v>
      </c>
      <c r="G582" s="351">
        <f t="shared" si="56"/>
        <v>18.5</v>
      </c>
      <c r="H582" s="339"/>
      <c r="I582" s="339"/>
      <c r="J582" s="339" t="s">
        <v>1938</v>
      </c>
      <c r="K582" s="348"/>
      <c r="L582" s="7"/>
      <c r="M582" s="7"/>
      <c r="N582" s="10"/>
      <c r="O582" s="9"/>
      <c r="P582" s="10"/>
    </row>
    <row r="583" spans="1:16" ht="15.6" x14ac:dyDescent="0.3">
      <c r="A583" s="10"/>
      <c r="B583" s="10"/>
      <c r="C583" s="75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9"/>
      <c r="P583" s="10"/>
    </row>
    <row r="584" spans="1:16" ht="15.6" x14ac:dyDescent="0.3">
      <c r="A584" s="10"/>
      <c r="B584" s="10"/>
      <c r="C584" s="75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9"/>
      <c r="P584" s="10"/>
    </row>
    <row r="585" spans="1:16" ht="15.6" x14ac:dyDescent="0.3">
      <c r="A585" s="17" t="s">
        <v>0</v>
      </c>
      <c r="B585" s="18"/>
      <c r="C585" s="71"/>
      <c r="D585" s="18"/>
      <c r="E585" s="18"/>
      <c r="F585" s="18"/>
      <c r="G585" s="18"/>
      <c r="H585" s="67"/>
      <c r="I585" s="67"/>
      <c r="J585" s="18"/>
      <c r="K585" s="18"/>
      <c r="L585" s="10"/>
      <c r="M585" s="10"/>
      <c r="N585" s="10"/>
      <c r="O585" s="9"/>
      <c r="P585" s="10"/>
    </row>
    <row r="586" spans="1:16" ht="15.6" x14ac:dyDescent="0.3">
      <c r="A586" s="503" t="s">
        <v>36</v>
      </c>
      <c r="B586" s="504"/>
      <c r="C586" s="504"/>
      <c r="D586" s="504"/>
      <c r="E586" s="504"/>
      <c r="F586" s="504"/>
      <c r="G586" s="504"/>
      <c r="H586" s="504"/>
      <c r="I586" s="504"/>
      <c r="J586" s="18"/>
      <c r="K586" s="18"/>
      <c r="L586" s="10"/>
      <c r="M586" s="10"/>
      <c r="N586" s="10"/>
      <c r="O586" s="9"/>
      <c r="P586" s="10"/>
    </row>
    <row r="587" spans="1:16" ht="15.6" x14ac:dyDescent="0.3">
      <c r="A587" s="86" t="s">
        <v>143</v>
      </c>
      <c r="B587" s="87"/>
      <c r="C587" s="87" t="s">
        <v>416</v>
      </c>
      <c r="D587" s="87"/>
      <c r="E587" s="87"/>
      <c r="F587" s="87"/>
      <c r="G587" s="87"/>
      <c r="H587" s="87"/>
      <c r="I587" s="87"/>
      <c r="J587" s="18"/>
      <c r="K587" s="18"/>
      <c r="L587" s="19"/>
      <c r="M587" s="10"/>
      <c r="N587" s="10"/>
      <c r="O587" s="9"/>
      <c r="P587" s="10"/>
    </row>
    <row r="588" spans="1:16" ht="15.6" x14ac:dyDescent="0.3">
      <c r="A588" s="20" t="s">
        <v>1</v>
      </c>
      <c r="B588" s="21"/>
      <c r="C588" s="84" t="s">
        <v>414</v>
      </c>
      <c r="D588" s="85"/>
      <c r="E588" s="85"/>
      <c r="F588" s="85"/>
      <c r="G588" s="85"/>
      <c r="H588" s="85"/>
      <c r="I588" s="85"/>
      <c r="J588" s="85"/>
      <c r="K588" s="18"/>
      <c r="L588" s="19"/>
      <c r="M588" s="10"/>
      <c r="N588" s="10"/>
      <c r="O588" s="9"/>
      <c r="P588" s="10"/>
    </row>
    <row r="589" spans="1:16" ht="15.6" x14ac:dyDescent="0.3">
      <c r="A589" s="20" t="s">
        <v>3</v>
      </c>
      <c r="B589" s="21"/>
      <c r="C589" s="90" t="s">
        <v>59</v>
      </c>
      <c r="D589" s="91"/>
      <c r="E589" s="91"/>
      <c r="F589" s="91"/>
      <c r="G589" s="91"/>
      <c r="H589" s="91"/>
      <c r="I589" s="91"/>
      <c r="J589" s="91"/>
      <c r="K589" s="18"/>
      <c r="L589" s="19"/>
      <c r="M589" s="10"/>
      <c r="N589" s="10"/>
      <c r="O589" s="9"/>
      <c r="P589" s="10"/>
    </row>
    <row r="590" spans="1:16" ht="15.6" x14ac:dyDescent="0.3">
      <c r="A590" s="20" t="s">
        <v>4</v>
      </c>
      <c r="B590" s="21"/>
      <c r="C590" s="511" t="s">
        <v>60</v>
      </c>
      <c r="D590" s="512"/>
      <c r="E590" s="512"/>
      <c r="F590" s="512"/>
      <c r="G590" s="97"/>
      <c r="H590" s="97"/>
      <c r="I590" s="97"/>
      <c r="J590" s="67"/>
      <c r="K590" s="18"/>
      <c r="L590" s="19"/>
      <c r="M590" s="10"/>
      <c r="N590" s="10"/>
      <c r="O590" s="9"/>
      <c r="P590" s="10"/>
    </row>
    <row r="591" spans="1:16" ht="15.6" x14ac:dyDescent="0.3">
      <c r="A591" s="20" t="s">
        <v>5</v>
      </c>
      <c r="B591" s="21"/>
      <c r="C591" s="86">
        <v>3</v>
      </c>
      <c r="D591" s="87"/>
      <c r="E591" s="87"/>
      <c r="F591" s="87"/>
      <c r="G591" s="87"/>
      <c r="H591" s="87"/>
      <c r="I591" s="87"/>
      <c r="J591" s="87"/>
      <c r="K591" s="18"/>
      <c r="L591" s="19"/>
      <c r="M591" s="10"/>
      <c r="N591" s="10"/>
      <c r="O591" s="9"/>
      <c r="P591" s="10"/>
    </row>
    <row r="592" spans="1:16" ht="15.6" x14ac:dyDescent="0.3">
      <c r="A592" s="508" t="s">
        <v>6</v>
      </c>
      <c r="B592" s="509"/>
      <c r="C592" s="300" t="s">
        <v>418</v>
      </c>
      <c r="D592" s="85"/>
      <c r="E592" s="85"/>
      <c r="F592" s="85"/>
      <c r="G592" s="85"/>
      <c r="H592" s="85"/>
      <c r="I592" s="85"/>
      <c r="J592" s="85"/>
      <c r="K592" s="18"/>
      <c r="L592" s="19"/>
      <c r="M592" s="10"/>
      <c r="N592" s="10"/>
      <c r="O592" s="9"/>
      <c r="P592" s="10"/>
    </row>
    <row r="593" spans="1:16" ht="16.2" x14ac:dyDescent="0.35">
      <c r="A593" s="508" t="s">
        <v>7</v>
      </c>
      <c r="B593" s="509"/>
      <c r="C593" s="72" t="s">
        <v>545</v>
      </c>
      <c r="D593" s="18"/>
      <c r="E593" s="22"/>
      <c r="F593" s="18"/>
      <c r="G593" s="18"/>
      <c r="H593" s="67"/>
      <c r="I593" s="67"/>
      <c r="J593" s="18"/>
      <c r="K593" s="18"/>
      <c r="L593" s="19"/>
      <c r="M593" s="10"/>
      <c r="N593" s="10"/>
      <c r="O593" s="9"/>
      <c r="P593" s="10"/>
    </row>
    <row r="594" spans="1:16" ht="65.400000000000006" x14ac:dyDescent="0.3">
      <c r="A594" s="24" t="s">
        <v>8</v>
      </c>
      <c r="B594" s="24" t="s">
        <v>9</v>
      </c>
      <c r="C594" s="73" t="s">
        <v>10</v>
      </c>
      <c r="D594" s="26" t="s">
        <v>41</v>
      </c>
      <c r="E594" s="27" t="s">
        <v>12</v>
      </c>
      <c r="F594" s="27" t="s">
        <v>13</v>
      </c>
      <c r="G594" s="27" t="s">
        <v>14</v>
      </c>
      <c r="H594" s="27" t="s">
        <v>210</v>
      </c>
      <c r="I594" s="27" t="s">
        <v>209</v>
      </c>
      <c r="J594" s="27" t="s">
        <v>15</v>
      </c>
      <c r="K594" s="27" t="s">
        <v>39</v>
      </c>
      <c r="L594" s="19"/>
      <c r="M594" s="10"/>
      <c r="N594" s="10"/>
      <c r="O594" s="9"/>
      <c r="P594" s="10"/>
    </row>
    <row r="595" spans="1:16" ht="15.6" x14ac:dyDescent="0.3">
      <c r="A595" s="24" t="s">
        <v>42</v>
      </c>
      <c r="B595" s="24"/>
      <c r="C595" s="74"/>
      <c r="D595" s="3"/>
      <c r="E595" s="3"/>
      <c r="F595" s="3"/>
      <c r="G595" s="3"/>
      <c r="H595" s="3"/>
      <c r="I595" s="3"/>
      <c r="J595" s="3"/>
      <c r="K595" s="3"/>
      <c r="L595" s="23"/>
      <c r="M595" s="10"/>
      <c r="N595" s="10"/>
      <c r="O595" s="9"/>
      <c r="P595" s="10"/>
    </row>
    <row r="596" spans="1:16" ht="15.6" x14ac:dyDescent="0.3">
      <c r="A596" s="3"/>
      <c r="B596" s="10"/>
      <c r="C596" s="75"/>
      <c r="D596" s="10"/>
      <c r="E596" s="10"/>
      <c r="F596" s="10"/>
      <c r="G596" s="10"/>
      <c r="H596" s="10"/>
      <c r="I596" s="10"/>
      <c r="J596" s="10"/>
      <c r="K596" s="10"/>
      <c r="L596" s="34" t="s">
        <v>17</v>
      </c>
      <c r="M596" s="34" t="s">
        <v>18</v>
      </c>
      <c r="N596" s="8"/>
      <c r="O596" s="9"/>
      <c r="P596" s="10"/>
    </row>
    <row r="597" spans="1:16" ht="15.6" x14ac:dyDescent="0.3">
      <c r="A597" s="3">
        <f t="shared" ref="A597:A628" si="59">ROW(A1)</f>
        <v>1</v>
      </c>
      <c r="B597" s="306" t="s">
        <v>431</v>
      </c>
      <c r="C597" s="307" t="s">
        <v>365</v>
      </c>
      <c r="D597" s="5" t="s">
        <v>974</v>
      </c>
      <c r="E597" s="3">
        <v>10</v>
      </c>
      <c r="F597" s="3">
        <v>16.5</v>
      </c>
      <c r="G597" s="3">
        <f>SUM(E597:F597)</f>
        <v>26.5</v>
      </c>
      <c r="H597" s="3"/>
      <c r="I597" s="3"/>
      <c r="J597" s="3">
        <v>50</v>
      </c>
      <c r="K597" s="6">
        <f>SUM(G597:J597)</f>
        <v>76.5</v>
      </c>
      <c r="L597" s="7" t="str">
        <f t="shared" ref="L597:L650" si="60">IF(K597&gt;=80,"A",IF(K597&gt;=70,"B+",IF(K597&gt;=60,"B",IF(K597&gt;=55,"C+",IF(K597&gt;=50,"C",IF(K597&gt;=45,"D+",IF(K597&gt;=40,"D","F")))))))</f>
        <v>B+</v>
      </c>
      <c r="M597" s="7" t="str">
        <f t="shared" ref="M597:M650" si="61">IF(K597&gt;=50,"Passed","Failed")</f>
        <v>Passed</v>
      </c>
      <c r="N597" s="7"/>
      <c r="O597" s="9"/>
      <c r="P597" s="10"/>
    </row>
    <row r="598" spans="1:16" ht="31.2" x14ac:dyDescent="0.3">
      <c r="A598" s="3">
        <f t="shared" si="59"/>
        <v>2</v>
      </c>
      <c r="B598" s="306" t="s">
        <v>586</v>
      </c>
      <c r="C598" s="308" t="s">
        <v>366</v>
      </c>
      <c r="D598" s="5" t="s">
        <v>993</v>
      </c>
      <c r="E598" s="3">
        <v>10</v>
      </c>
      <c r="F598" s="3">
        <v>18</v>
      </c>
      <c r="G598" s="3">
        <f t="shared" ref="G598:G650" si="62">SUM(E598:F598)</f>
        <v>28</v>
      </c>
      <c r="H598" s="3"/>
      <c r="I598" s="3"/>
      <c r="J598" s="3">
        <v>44</v>
      </c>
      <c r="K598" s="3">
        <f t="shared" ref="K598:K650" si="63">SUM(G598:J598)</f>
        <v>72</v>
      </c>
      <c r="L598" s="7" t="str">
        <f t="shared" si="60"/>
        <v>B+</v>
      </c>
      <c r="M598" s="7" t="str">
        <f t="shared" si="61"/>
        <v>Passed</v>
      </c>
      <c r="N598" s="8" t="s">
        <v>19</v>
      </c>
      <c r="O598" s="9"/>
      <c r="P598" s="10"/>
    </row>
    <row r="599" spans="1:16" ht="15.6" x14ac:dyDescent="0.3">
      <c r="A599" s="3">
        <f t="shared" si="59"/>
        <v>3</v>
      </c>
      <c r="B599" s="306" t="s">
        <v>432</v>
      </c>
      <c r="C599" s="309" t="s">
        <v>367</v>
      </c>
      <c r="D599" s="5" t="s">
        <v>1008</v>
      </c>
      <c r="E599" s="3">
        <v>10</v>
      </c>
      <c r="F599" s="339">
        <v>9</v>
      </c>
      <c r="G599" s="3">
        <f t="shared" si="62"/>
        <v>19</v>
      </c>
      <c r="H599" s="3"/>
      <c r="I599" s="3"/>
      <c r="J599" s="3">
        <v>31</v>
      </c>
      <c r="K599" s="6">
        <f t="shared" si="63"/>
        <v>50</v>
      </c>
      <c r="L599" s="7" t="str">
        <f t="shared" si="60"/>
        <v>C</v>
      </c>
      <c r="M599" s="7" t="str">
        <f t="shared" si="61"/>
        <v>Passed</v>
      </c>
      <c r="N599" s="7" t="s">
        <v>20</v>
      </c>
      <c r="O599" s="9">
        <f>COUNT(G597:G650)</f>
        <v>54</v>
      </c>
      <c r="P599" s="10"/>
    </row>
    <row r="600" spans="1:16" ht="15.6" x14ac:dyDescent="0.3">
      <c r="A600" s="3">
        <f t="shared" si="59"/>
        <v>4</v>
      </c>
      <c r="B600" s="306" t="s">
        <v>433</v>
      </c>
      <c r="C600" s="310" t="s">
        <v>368</v>
      </c>
      <c r="D600" s="5" t="s">
        <v>983</v>
      </c>
      <c r="E600" s="3">
        <v>10</v>
      </c>
      <c r="F600" s="339">
        <v>17</v>
      </c>
      <c r="G600" s="3">
        <f t="shared" si="62"/>
        <v>27</v>
      </c>
      <c r="H600" s="3"/>
      <c r="I600" s="3"/>
      <c r="J600" s="3">
        <v>23</v>
      </c>
      <c r="K600" s="3">
        <f t="shared" si="63"/>
        <v>50</v>
      </c>
      <c r="L600" s="7" t="str">
        <f t="shared" si="60"/>
        <v>C</v>
      </c>
      <c r="M600" s="7" t="str">
        <f t="shared" si="61"/>
        <v>Passed</v>
      </c>
      <c r="N600" s="7" t="s">
        <v>21</v>
      </c>
      <c r="O600" s="9">
        <f>COUNT(J597:J650)</f>
        <v>54</v>
      </c>
      <c r="P600" s="10"/>
    </row>
    <row r="601" spans="1:16" ht="15.6" x14ac:dyDescent="0.3">
      <c r="A601" s="3">
        <f t="shared" si="59"/>
        <v>5</v>
      </c>
      <c r="B601" s="306" t="s">
        <v>434</v>
      </c>
      <c r="C601" s="310" t="s">
        <v>606</v>
      </c>
      <c r="D601" s="5" t="s">
        <v>975</v>
      </c>
      <c r="E601" s="3">
        <v>10</v>
      </c>
      <c r="F601" s="3">
        <v>15</v>
      </c>
      <c r="G601" s="3">
        <f t="shared" si="62"/>
        <v>25</v>
      </c>
      <c r="H601" s="3"/>
      <c r="I601" s="3"/>
      <c r="J601" s="3">
        <v>46</v>
      </c>
      <c r="K601" s="3">
        <f t="shared" si="63"/>
        <v>71</v>
      </c>
      <c r="L601" s="7" t="str">
        <f t="shared" si="60"/>
        <v>B+</v>
      </c>
      <c r="M601" s="7" t="str">
        <f t="shared" si="61"/>
        <v>Passed</v>
      </c>
      <c r="N601" s="7" t="s">
        <v>22</v>
      </c>
      <c r="O601" s="9">
        <f>O599-O600</f>
        <v>0</v>
      </c>
      <c r="P601" s="10"/>
    </row>
    <row r="602" spans="1:16" ht="15.6" x14ac:dyDescent="0.3">
      <c r="A602" s="3">
        <f t="shared" si="59"/>
        <v>6</v>
      </c>
      <c r="B602" s="306" t="s">
        <v>544</v>
      </c>
      <c r="C602" s="309" t="s">
        <v>369</v>
      </c>
      <c r="D602" s="5" t="s">
        <v>1013</v>
      </c>
      <c r="E602" s="3">
        <v>10</v>
      </c>
      <c r="F602" s="3">
        <v>15</v>
      </c>
      <c r="G602" s="3">
        <f t="shared" si="62"/>
        <v>25</v>
      </c>
      <c r="H602" s="3"/>
      <c r="I602" s="3"/>
      <c r="J602" s="5">
        <v>45</v>
      </c>
      <c r="K602" s="3">
        <f t="shared" si="63"/>
        <v>70</v>
      </c>
      <c r="L602" s="7" t="str">
        <f t="shared" si="60"/>
        <v>B+</v>
      </c>
      <c r="M602" s="7" t="str">
        <f t="shared" si="61"/>
        <v>Passed</v>
      </c>
      <c r="N602" s="7" t="s">
        <v>23</v>
      </c>
      <c r="O602" s="9">
        <f>COUNTIF(M597:M650,"Passed")</f>
        <v>50</v>
      </c>
      <c r="P602" s="10"/>
    </row>
    <row r="603" spans="1:16" ht="15.6" x14ac:dyDescent="0.3">
      <c r="A603" s="3">
        <f t="shared" si="59"/>
        <v>7</v>
      </c>
      <c r="B603" s="306" t="s">
        <v>562</v>
      </c>
      <c r="C603" s="309" t="s">
        <v>370</v>
      </c>
      <c r="D603" s="5" t="s">
        <v>1014</v>
      </c>
      <c r="E603" s="5">
        <v>10</v>
      </c>
      <c r="F603" s="5">
        <v>16</v>
      </c>
      <c r="G603" s="3">
        <f t="shared" si="62"/>
        <v>26</v>
      </c>
      <c r="H603" s="3"/>
      <c r="I603" s="3"/>
      <c r="J603" s="5">
        <v>40</v>
      </c>
      <c r="K603" s="3">
        <f t="shared" si="63"/>
        <v>66</v>
      </c>
      <c r="L603" s="7" t="str">
        <f t="shared" si="60"/>
        <v>B</v>
      </c>
      <c r="M603" s="7" t="str">
        <f t="shared" si="61"/>
        <v>Passed</v>
      </c>
      <c r="N603" s="7" t="s">
        <v>24</v>
      </c>
      <c r="O603" s="29">
        <f>O602/O600%</f>
        <v>92.592592592592581</v>
      </c>
      <c r="P603" s="10"/>
    </row>
    <row r="604" spans="1:16" ht="15.6" x14ac:dyDescent="0.3">
      <c r="A604" s="3">
        <f t="shared" si="59"/>
        <v>8</v>
      </c>
      <c r="B604" s="306" t="s">
        <v>435</v>
      </c>
      <c r="C604" s="310" t="s">
        <v>595</v>
      </c>
      <c r="D604" s="5" t="s">
        <v>1000</v>
      </c>
      <c r="E604" s="5">
        <v>10</v>
      </c>
      <c r="F604" s="5">
        <v>18</v>
      </c>
      <c r="G604" s="3">
        <f t="shared" si="62"/>
        <v>28</v>
      </c>
      <c r="H604" s="3"/>
      <c r="I604" s="3"/>
      <c r="J604" s="5">
        <v>43</v>
      </c>
      <c r="K604" s="3">
        <f t="shared" si="63"/>
        <v>71</v>
      </c>
      <c r="L604" s="7" t="str">
        <f t="shared" si="60"/>
        <v>B+</v>
      </c>
      <c r="M604" s="7" t="str">
        <f t="shared" si="61"/>
        <v>Passed</v>
      </c>
      <c r="N604" s="10" t="s">
        <v>25</v>
      </c>
      <c r="O604" s="9">
        <f>COUNTIF(M597:M650,"failed")</f>
        <v>4</v>
      </c>
      <c r="P604" s="10"/>
    </row>
    <row r="605" spans="1:16" ht="15.6" x14ac:dyDescent="0.3">
      <c r="A605" s="3">
        <f t="shared" si="59"/>
        <v>9</v>
      </c>
      <c r="B605" s="306" t="s">
        <v>436</v>
      </c>
      <c r="C605" s="309" t="s">
        <v>371</v>
      </c>
      <c r="D605" s="5" t="s">
        <v>1010</v>
      </c>
      <c r="E605" s="5">
        <v>10</v>
      </c>
      <c r="F605" s="5">
        <v>15</v>
      </c>
      <c r="G605" s="3">
        <f t="shared" si="62"/>
        <v>25</v>
      </c>
      <c r="H605" s="3"/>
      <c r="I605" s="3"/>
      <c r="J605" s="5">
        <v>40</v>
      </c>
      <c r="K605" s="3">
        <f t="shared" si="63"/>
        <v>65</v>
      </c>
      <c r="L605" s="7" t="str">
        <f t="shared" si="60"/>
        <v>B</v>
      </c>
      <c r="M605" s="7" t="str">
        <f t="shared" si="61"/>
        <v>Passed</v>
      </c>
      <c r="N605" s="10" t="s">
        <v>26</v>
      </c>
      <c r="O605" s="29">
        <f>O604/O600%</f>
        <v>7.4074074074074066</v>
      </c>
      <c r="P605" s="10"/>
    </row>
    <row r="606" spans="1:16" ht="15.6" x14ac:dyDescent="0.3">
      <c r="A606" s="3">
        <f t="shared" si="59"/>
        <v>10</v>
      </c>
      <c r="B606" s="306" t="s">
        <v>437</v>
      </c>
      <c r="C606" s="310" t="s">
        <v>372</v>
      </c>
      <c r="D606" s="5" t="s">
        <v>1004</v>
      </c>
      <c r="E606" s="5">
        <v>10</v>
      </c>
      <c r="F606" s="5">
        <v>15</v>
      </c>
      <c r="G606" s="3">
        <f t="shared" si="62"/>
        <v>25</v>
      </c>
      <c r="H606" s="3"/>
      <c r="I606" s="3"/>
      <c r="J606" s="5">
        <v>15</v>
      </c>
      <c r="K606" s="3">
        <f t="shared" si="63"/>
        <v>40</v>
      </c>
      <c r="L606" s="7" t="str">
        <f t="shared" si="60"/>
        <v>D</v>
      </c>
      <c r="M606" s="7" t="str">
        <f t="shared" si="61"/>
        <v>Failed</v>
      </c>
      <c r="N606" s="10" t="s">
        <v>27</v>
      </c>
      <c r="O606" s="29">
        <f>AVERAGE(K597:K650)</f>
        <v>63.361111111111114</v>
      </c>
      <c r="P606" s="10"/>
    </row>
    <row r="607" spans="1:16" ht="15.6" x14ac:dyDescent="0.3">
      <c r="A607" s="3">
        <f t="shared" si="59"/>
        <v>11</v>
      </c>
      <c r="B607" s="306" t="s">
        <v>438</v>
      </c>
      <c r="C607" s="307" t="s">
        <v>373</v>
      </c>
      <c r="D607" s="5" t="s">
        <v>977</v>
      </c>
      <c r="E607" s="5">
        <v>10</v>
      </c>
      <c r="F607" s="5">
        <v>16</v>
      </c>
      <c r="G607" s="3">
        <f t="shared" si="62"/>
        <v>26</v>
      </c>
      <c r="H607" s="3"/>
      <c r="I607" s="3"/>
      <c r="J607" s="5">
        <v>51</v>
      </c>
      <c r="K607" s="3">
        <f t="shared" si="63"/>
        <v>77</v>
      </c>
      <c r="L607" s="7" t="str">
        <f t="shared" si="60"/>
        <v>B+</v>
      </c>
      <c r="M607" s="7" t="str">
        <f t="shared" si="61"/>
        <v>Passed</v>
      </c>
      <c r="N607" s="10"/>
      <c r="O607" s="9"/>
      <c r="P607" s="10"/>
    </row>
    <row r="608" spans="1:16" ht="15.6" x14ac:dyDescent="0.3">
      <c r="A608" s="3">
        <f t="shared" si="59"/>
        <v>12</v>
      </c>
      <c r="B608" s="306" t="s">
        <v>439</v>
      </c>
      <c r="C608" s="307" t="s">
        <v>565</v>
      </c>
      <c r="D608" s="5" t="s">
        <v>991</v>
      </c>
      <c r="E608" s="5">
        <v>10</v>
      </c>
      <c r="F608" s="5">
        <v>15</v>
      </c>
      <c r="G608" s="3">
        <f t="shared" si="62"/>
        <v>25</v>
      </c>
      <c r="H608" s="3"/>
      <c r="I608" s="3"/>
      <c r="J608" s="5">
        <v>40</v>
      </c>
      <c r="K608" s="3">
        <f t="shared" si="63"/>
        <v>65</v>
      </c>
      <c r="L608" s="7" t="str">
        <f t="shared" si="60"/>
        <v>B</v>
      </c>
      <c r="M608" s="7" t="str">
        <f t="shared" si="61"/>
        <v>Passed</v>
      </c>
      <c r="N608" s="10"/>
      <c r="O608" s="9"/>
      <c r="P608" s="10"/>
    </row>
    <row r="609" spans="1:22" ht="15.6" x14ac:dyDescent="0.3">
      <c r="A609" s="3">
        <f t="shared" si="59"/>
        <v>13</v>
      </c>
      <c r="B609" s="306" t="s">
        <v>440</v>
      </c>
      <c r="C609" s="310" t="s">
        <v>374</v>
      </c>
      <c r="D609" s="5" t="s">
        <v>984</v>
      </c>
      <c r="E609" s="5">
        <v>10</v>
      </c>
      <c r="F609" s="5">
        <v>20</v>
      </c>
      <c r="G609" s="3">
        <f t="shared" si="62"/>
        <v>30</v>
      </c>
      <c r="H609" s="3"/>
      <c r="I609" s="3"/>
      <c r="J609" s="5">
        <v>51</v>
      </c>
      <c r="K609" s="3">
        <f t="shared" si="63"/>
        <v>81</v>
      </c>
      <c r="L609" s="7" t="str">
        <f t="shared" si="60"/>
        <v>A</v>
      </c>
      <c r="M609" s="7" t="str">
        <f t="shared" si="61"/>
        <v>Passed</v>
      </c>
      <c r="N609" s="11"/>
      <c r="O609" s="9"/>
      <c r="P609" s="10"/>
    </row>
    <row r="610" spans="1:22" ht="15.6" x14ac:dyDescent="0.3">
      <c r="A610" s="3">
        <f t="shared" si="59"/>
        <v>14</v>
      </c>
      <c r="B610" s="306" t="s">
        <v>441</v>
      </c>
      <c r="C610" s="310" t="s">
        <v>375</v>
      </c>
      <c r="D610" s="5" t="s">
        <v>1009</v>
      </c>
      <c r="E610" s="5">
        <v>10</v>
      </c>
      <c r="F610" s="5">
        <v>24</v>
      </c>
      <c r="G610" s="3">
        <f t="shared" si="62"/>
        <v>34</v>
      </c>
      <c r="H610" s="3"/>
      <c r="I610" s="3"/>
      <c r="J610" s="5">
        <v>28</v>
      </c>
      <c r="K610" s="3">
        <f t="shared" si="63"/>
        <v>62</v>
      </c>
      <c r="L610" s="7" t="str">
        <f t="shared" si="60"/>
        <v>B</v>
      </c>
      <c r="M610" s="7" t="str">
        <f t="shared" si="61"/>
        <v>Passed</v>
      </c>
      <c r="N610" s="10"/>
      <c r="O610" s="9"/>
      <c r="P610" s="10"/>
    </row>
    <row r="611" spans="1:22" ht="15.6" x14ac:dyDescent="0.3">
      <c r="A611" s="3">
        <f t="shared" si="59"/>
        <v>15</v>
      </c>
      <c r="B611" s="306" t="s">
        <v>442</v>
      </c>
      <c r="C611" s="310" t="s">
        <v>376</v>
      </c>
      <c r="D611" s="5" t="s">
        <v>969</v>
      </c>
      <c r="E611" s="5">
        <v>10</v>
      </c>
      <c r="F611" s="5">
        <v>11</v>
      </c>
      <c r="G611" s="3">
        <f t="shared" si="62"/>
        <v>21</v>
      </c>
      <c r="H611" s="3"/>
      <c r="I611" s="3"/>
      <c r="J611" s="5">
        <v>34</v>
      </c>
      <c r="K611" s="3">
        <f t="shared" si="63"/>
        <v>55</v>
      </c>
      <c r="L611" s="7" t="str">
        <f t="shared" si="60"/>
        <v>C+</v>
      </c>
      <c r="M611" s="7" t="str">
        <f t="shared" si="61"/>
        <v>Passed</v>
      </c>
      <c r="N611" s="10"/>
      <c r="O611" s="9" t="s">
        <v>28</v>
      </c>
      <c r="P611" s="10" t="s">
        <v>29</v>
      </c>
      <c r="Q611" t="s">
        <v>30</v>
      </c>
      <c r="R611" t="s">
        <v>31</v>
      </c>
      <c r="S611" t="s">
        <v>32</v>
      </c>
      <c r="T611" t="s">
        <v>33</v>
      </c>
      <c r="U611" t="s">
        <v>34</v>
      </c>
      <c r="V611" t="s">
        <v>35</v>
      </c>
    </row>
    <row r="612" spans="1:22" ht="15.6" x14ac:dyDescent="0.3">
      <c r="A612" s="3">
        <f t="shared" si="59"/>
        <v>16</v>
      </c>
      <c r="B612" s="306" t="s">
        <v>443</v>
      </c>
      <c r="C612" s="307" t="s">
        <v>377</v>
      </c>
      <c r="D612" s="5" t="s">
        <v>992</v>
      </c>
      <c r="E612" s="5">
        <v>10</v>
      </c>
      <c r="F612" s="5">
        <v>17</v>
      </c>
      <c r="G612" s="3">
        <f t="shared" si="62"/>
        <v>27</v>
      </c>
      <c r="H612" s="3"/>
      <c r="I612" s="3"/>
      <c r="J612" s="5">
        <v>51</v>
      </c>
      <c r="K612" s="3">
        <f t="shared" si="63"/>
        <v>78</v>
      </c>
      <c r="L612" s="7" t="str">
        <f t="shared" si="60"/>
        <v>B+</v>
      </c>
      <c r="M612" s="7" t="str">
        <f t="shared" si="61"/>
        <v>Passed</v>
      </c>
      <c r="N612" s="10"/>
      <c r="O612" s="9">
        <f>COUNTIF(L597:L650,"A")</f>
        <v>3</v>
      </c>
      <c r="P612" s="10">
        <f>COUNTIF(L597:L650,"B+")</f>
        <v>12</v>
      </c>
      <c r="Q612">
        <f>COUNTIF(L597:L650,"B")</f>
        <v>23</v>
      </c>
      <c r="R612">
        <f>COUNTIF(L597:L650,"C+")</f>
        <v>5</v>
      </c>
      <c r="S612">
        <f>COUNTIF(L597:L650,"C")</f>
        <v>7</v>
      </c>
      <c r="T612">
        <f>COUNTIF(L597:L650,"D+")</f>
        <v>1</v>
      </c>
      <c r="U612">
        <f>COUNTIF(L597:L650,"D")</f>
        <v>2</v>
      </c>
      <c r="V612">
        <f>COUNTIF(L597:L650,"F")</f>
        <v>1</v>
      </c>
    </row>
    <row r="613" spans="1:22" ht="15.6" x14ac:dyDescent="0.3">
      <c r="A613" s="3">
        <f t="shared" si="59"/>
        <v>17</v>
      </c>
      <c r="B613" s="306" t="s">
        <v>444</v>
      </c>
      <c r="C613" s="310" t="s">
        <v>378</v>
      </c>
      <c r="D613" s="5" t="s">
        <v>1001</v>
      </c>
      <c r="E613" s="5">
        <v>10</v>
      </c>
      <c r="F613" s="5">
        <v>18</v>
      </c>
      <c r="G613" s="3">
        <f t="shared" si="62"/>
        <v>28</v>
      </c>
      <c r="H613" s="3"/>
      <c r="I613" s="3"/>
      <c r="J613" s="5">
        <v>48</v>
      </c>
      <c r="K613" s="3">
        <f t="shared" si="63"/>
        <v>76</v>
      </c>
      <c r="L613" s="7" t="str">
        <f t="shared" si="60"/>
        <v>B+</v>
      </c>
      <c r="M613" s="7" t="str">
        <f t="shared" si="61"/>
        <v>Passed</v>
      </c>
      <c r="N613" s="10"/>
      <c r="O613" s="9"/>
      <c r="P613" s="10"/>
    </row>
    <row r="614" spans="1:22" ht="15.6" x14ac:dyDescent="0.3">
      <c r="A614" s="3">
        <f t="shared" si="59"/>
        <v>18</v>
      </c>
      <c r="B614" s="306" t="s">
        <v>445</v>
      </c>
      <c r="C614" s="308" t="s">
        <v>379</v>
      </c>
      <c r="D614" s="5" t="s">
        <v>976</v>
      </c>
      <c r="E614" s="5">
        <v>10</v>
      </c>
      <c r="F614" s="5">
        <v>17</v>
      </c>
      <c r="G614" s="3">
        <f t="shared" si="62"/>
        <v>27</v>
      </c>
      <c r="H614" s="3"/>
      <c r="I614" s="3"/>
      <c r="J614" s="5">
        <v>48</v>
      </c>
      <c r="K614" s="3">
        <f t="shared" si="63"/>
        <v>75</v>
      </c>
      <c r="L614" s="7" t="str">
        <f t="shared" si="60"/>
        <v>B+</v>
      </c>
      <c r="M614" s="7" t="str">
        <f t="shared" si="61"/>
        <v>Passed</v>
      </c>
      <c r="N614" s="10"/>
      <c r="O614" s="9"/>
      <c r="P614" s="10"/>
    </row>
    <row r="615" spans="1:22" ht="15.6" x14ac:dyDescent="0.3">
      <c r="A615" s="3">
        <f t="shared" si="59"/>
        <v>19</v>
      </c>
      <c r="B615" s="306" t="s">
        <v>446</v>
      </c>
      <c r="C615" s="310" t="s">
        <v>602</v>
      </c>
      <c r="D615" s="5" t="s">
        <v>1003</v>
      </c>
      <c r="E615" s="5">
        <v>10</v>
      </c>
      <c r="F615" s="5">
        <v>20</v>
      </c>
      <c r="G615" s="3">
        <f t="shared" si="62"/>
        <v>30</v>
      </c>
      <c r="H615" s="3"/>
      <c r="I615" s="3"/>
      <c r="J615" s="5">
        <v>34</v>
      </c>
      <c r="K615" s="3">
        <f t="shared" si="63"/>
        <v>64</v>
      </c>
      <c r="L615" s="7" t="str">
        <f t="shared" si="60"/>
        <v>B</v>
      </c>
      <c r="M615" s="7" t="str">
        <f t="shared" si="61"/>
        <v>Passed</v>
      </c>
      <c r="N615" s="10"/>
      <c r="O615" s="9"/>
      <c r="P615" s="10"/>
    </row>
    <row r="616" spans="1:22" ht="15.6" x14ac:dyDescent="0.3">
      <c r="A616" s="3">
        <f t="shared" si="59"/>
        <v>20</v>
      </c>
      <c r="B616" s="306" t="s">
        <v>448</v>
      </c>
      <c r="C616" s="308" t="s">
        <v>380</v>
      </c>
      <c r="D616" s="5" t="s">
        <v>979</v>
      </c>
      <c r="E616" s="5">
        <v>10</v>
      </c>
      <c r="F616" s="5">
        <v>17</v>
      </c>
      <c r="G616" s="3">
        <f t="shared" si="62"/>
        <v>27</v>
      </c>
      <c r="H616" s="3"/>
      <c r="I616" s="3"/>
      <c r="J616" s="5">
        <v>38</v>
      </c>
      <c r="K616" s="3">
        <f t="shared" si="63"/>
        <v>65</v>
      </c>
      <c r="L616" s="7" t="str">
        <f t="shared" si="60"/>
        <v>B</v>
      </c>
      <c r="M616" s="7" t="str">
        <f t="shared" si="61"/>
        <v>Passed</v>
      </c>
      <c r="N616" s="10"/>
      <c r="O616" s="9"/>
      <c r="P616" s="10"/>
    </row>
    <row r="617" spans="1:22" ht="15.6" x14ac:dyDescent="0.3">
      <c r="A617" s="3">
        <f t="shared" si="59"/>
        <v>21</v>
      </c>
      <c r="B617" s="306" t="s">
        <v>447</v>
      </c>
      <c r="C617" s="310" t="s">
        <v>381</v>
      </c>
      <c r="D617" s="5" t="s">
        <v>1005</v>
      </c>
      <c r="E617" s="5">
        <v>10</v>
      </c>
      <c r="F617" s="5">
        <v>17</v>
      </c>
      <c r="G617" s="3">
        <f t="shared" si="62"/>
        <v>27</v>
      </c>
      <c r="H617" s="3"/>
      <c r="I617" s="3"/>
      <c r="J617" s="5">
        <v>55</v>
      </c>
      <c r="K617" s="3">
        <f t="shared" si="63"/>
        <v>82</v>
      </c>
      <c r="L617" s="7" t="str">
        <f t="shared" si="60"/>
        <v>A</v>
      </c>
      <c r="M617" s="7" t="str">
        <f t="shared" si="61"/>
        <v>Passed</v>
      </c>
      <c r="N617" s="10"/>
      <c r="O617" s="9"/>
      <c r="P617" s="10"/>
    </row>
    <row r="618" spans="1:22" ht="15.6" x14ac:dyDescent="0.3">
      <c r="A618" s="3">
        <f t="shared" si="59"/>
        <v>22</v>
      </c>
      <c r="B618" s="313" t="s">
        <v>570</v>
      </c>
      <c r="C618" s="309" t="s">
        <v>382</v>
      </c>
      <c r="D618" s="5" t="s">
        <v>990</v>
      </c>
      <c r="E618" s="5">
        <v>10</v>
      </c>
      <c r="F618" s="5">
        <v>17</v>
      </c>
      <c r="G618" s="3">
        <f t="shared" si="62"/>
        <v>27</v>
      </c>
      <c r="H618" s="3"/>
      <c r="I618" s="3"/>
      <c r="J618" s="5">
        <v>34</v>
      </c>
      <c r="K618" s="3">
        <f t="shared" si="63"/>
        <v>61</v>
      </c>
      <c r="L618" s="7" t="str">
        <f t="shared" si="60"/>
        <v>B</v>
      </c>
      <c r="M618" s="7" t="str">
        <f t="shared" si="61"/>
        <v>Passed</v>
      </c>
      <c r="N618" s="10"/>
      <c r="O618" s="9"/>
      <c r="P618" s="10"/>
    </row>
    <row r="619" spans="1:22" ht="15.6" x14ac:dyDescent="0.3">
      <c r="A619" s="3">
        <f t="shared" si="59"/>
        <v>23</v>
      </c>
      <c r="B619" s="306" t="s">
        <v>449</v>
      </c>
      <c r="C619" s="309" t="s">
        <v>383</v>
      </c>
      <c r="D619" s="5" t="s">
        <v>988</v>
      </c>
      <c r="E619" s="5">
        <v>10</v>
      </c>
      <c r="F619" s="5">
        <v>17</v>
      </c>
      <c r="G619" s="3">
        <f t="shared" si="62"/>
        <v>27</v>
      </c>
      <c r="H619" s="3"/>
      <c r="I619" s="3"/>
      <c r="J619" s="5">
        <v>39</v>
      </c>
      <c r="K619" s="3">
        <f t="shared" si="63"/>
        <v>66</v>
      </c>
      <c r="L619" s="7" t="str">
        <f t="shared" si="60"/>
        <v>B</v>
      </c>
      <c r="M619" s="7" t="str">
        <f t="shared" si="61"/>
        <v>Passed</v>
      </c>
      <c r="N619" s="10"/>
      <c r="O619" s="9"/>
      <c r="P619" s="10"/>
    </row>
    <row r="620" spans="1:22" ht="15.6" x14ac:dyDescent="0.3">
      <c r="A620" s="3">
        <f t="shared" si="59"/>
        <v>24</v>
      </c>
      <c r="B620" s="306" t="s">
        <v>450</v>
      </c>
      <c r="C620" s="309" t="s">
        <v>384</v>
      </c>
      <c r="D620" s="5" t="s">
        <v>967</v>
      </c>
      <c r="E620" s="5">
        <v>10</v>
      </c>
      <c r="F620" s="5">
        <v>8</v>
      </c>
      <c r="G620" s="3">
        <f t="shared" si="62"/>
        <v>18</v>
      </c>
      <c r="H620" s="3"/>
      <c r="I620" s="3"/>
      <c r="J620" s="5">
        <v>47</v>
      </c>
      <c r="K620" s="3">
        <f t="shared" si="63"/>
        <v>65</v>
      </c>
      <c r="L620" s="7" t="str">
        <f t="shared" si="60"/>
        <v>B</v>
      </c>
      <c r="M620" s="7" t="str">
        <f t="shared" si="61"/>
        <v>Passed</v>
      </c>
      <c r="N620" s="10"/>
      <c r="O620" s="9"/>
      <c r="P620" s="10"/>
    </row>
    <row r="621" spans="1:22" ht="15.6" x14ac:dyDescent="0.3">
      <c r="A621" s="3">
        <f t="shared" si="59"/>
        <v>25</v>
      </c>
      <c r="B621" s="306" t="s">
        <v>451</v>
      </c>
      <c r="C621" s="310" t="s">
        <v>385</v>
      </c>
      <c r="D621" s="5" t="s">
        <v>971</v>
      </c>
      <c r="E621" s="5">
        <v>10</v>
      </c>
      <c r="F621" s="5">
        <v>20</v>
      </c>
      <c r="G621" s="3">
        <f t="shared" si="62"/>
        <v>30</v>
      </c>
      <c r="H621" s="3"/>
      <c r="I621" s="3"/>
      <c r="J621" s="5">
        <v>44</v>
      </c>
      <c r="K621" s="3">
        <f t="shared" si="63"/>
        <v>74</v>
      </c>
      <c r="L621" s="7" t="str">
        <f t="shared" si="60"/>
        <v>B+</v>
      </c>
      <c r="M621" s="7" t="str">
        <f t="shared" si="61"/>
        <v>Passed</v>
      </c>
      <c r="N621" s="10"/>
      <c r="O621" s="9"/>
      <c r="P621" s="10"/>
    </row>
    <row r="622" spans="1:22" ht="15.6" x14ac:dyDescent="0.3">
      <c r="A622" s="3">
        <f t="shared" si="59"/>
        <v>26</v>
      </c>
      <c r="B622" s="306" t="s">
        <v>452</v>
      </c>
      <c r="C622" s="310" t="s">
        <v>386</v>
      </c>
      <c r="D622" s="5" t="s">
        <v>995</v>
      </c>
      <c r="E622" s="5">
        <v>10</v>
      </c>
      <c r="F622" s="5">
        <v>17</v>
      </c>
      <c r="G622" s="3">
        <f t="shared" si="62"/>
        <v>27</v>
      </c>
      <c r="H622" s="3"/>
      <c r="I622" s="3"/>
      <c r="J622" s="5">
        <v>35</v>
      </c>
      <c r="K622" s="3">
        <f t="shared" si="63"/>
        <v>62</v>
      </c>
      <c r="L622" s="7" t="str">
        <f t="shared" si="60"/>
        <v>B</v>
      </c>
      <c r="M622" s="7" t="str">
        <f t="shared" si="61"/>
        <v>Passed</v>
      </c>
      <c r="N622" s="10"/>
      <c r="O622" s="9"/>
      <c r="P622" s="10"/>
    </row>
    <row r="623" spans="1:22" ht="15.6" x14ac:dyDescent="0.3">
      <c r="A623" s="3">
        <f t="shared" si="59"/>
        <v>27</v>
      </c>
      <c r="B623" s="306" t="s">
        <v>453</v>
      </c>
      <c r="C623" s="309" t="s">
        <v>387</v>
      </c>
      <c r="D623" s="5" t="s">
        <v>980</v>
      </c>
      <c r="E623" s="5">
        <v>10</v>
      </c>
      <c r="F623" s="5">
        <v>17</v>
      </c>
      <c r="G623" s="3">
        <f t="shared" si="62"/>
        <v>27</v>
      </c>
      <c r="H623" s="3"/>
      <c r="I623" s="3"/>
      <c r="J623" s="5">
        <v>41</v>
      </c>
      <c r="K623" s="3">
        <f t="shared" si="63"/>
        <v>68</v>
      </c>
      <c r="L623" s="7" t="str">
        <f t="shared" si="60"/>
        <v>B</v>
      </c>
      <c r="M623" s="7" t="str">
        <f t="shared" si="61"/>
        <v>Passed</v>
      </c>
      <c r="N623" s="10"/>
      <c r="O623" s="9"/>
      <c r="P623" s="10"/>
    </row>
    <row r="624" spans="1:22" ht="15.6" x14ac:dyDescent="0.3">
      <c r="A624" s="3">
        <f t="shared" si="59"/>
        <v>28</v>
      </c>
      <c r="B624" s="388">
        <v>400123</v>
      </c>
      <c r="C624" s="310" t="s">
        <v>388</v>
      </c>
      <c r="D624" s="5" t="s">
        <v>1006</v>
      </c>
      <c r="E624" s="5">
        <v>10</v>
      </c>
      <c r="F624" s="5">
        <v>16</v>
      </c>
      <c r="G624" s="3">
        <f t="shared" si="62"/>
        <v>26</v>
      </c>
      <c r="H624" s="3"/>
      <c r="I624" s="3"/>
      <c r="J624" s="5">
        <v>53</v>
      </c>
      <c r="K624" s="3">
        <f t="shared" si="63"/>
        <v>79</v>
      </c>
      <c r="L624" s="7" t="str">
        <f t="shared" si="60"/>
        <v>B+</v>
      </c>
      <c r="M624" s="7" t="str">
        <f t="shared" si="61"/>
        <v>Passed</v>
      </c>
      <c r="N624" s="10"/>
      <c r="O624" s="9"/>
      <c r="P624" s="10"/>
    </row>
    <row r="625" spans="1:16" ht="15.6" x14ac:dyDescent="0.3">
      <c r="A625" s="3">
        <f t="shared" si="59"/>
        <v>29</v>
      </c>
      <c r="B625" s="306" t="s">
        <v>454</v>
      </c>
      <c r="C625" s="309" t="s">
        <v>771</v>
      </c>
      <c r="D625" s="5" t="s">
        <v>989</v>
      </c>
      <c r="E625" s="5">
        <v>10</v>
      </c>
      <c r="F625" s="5">
        <v>17</v>
      </c>
      <c r="G625" s="3">
        <f t="shared" si="62"/>
        <v>27</v>
      </c>
      <c r="H625" s="3"/>
      <c r="I625" s="3"/>
      <c r="J625" s="5">
        <v>35</v>
      </c>
      <c r="K625" s="3">
        <f t="shared" si="63"/>
        <v>62</v>
      </c>
      <c r="L625" s="7" t="str">
        <f t="shared" si="60"/>
        <v>B</v>
      </c>
      <c r="M625" s="7" t="str">
        <f t="shared" si="61"/>
        <v>Passed</v>
      </c>
      <c r="N625" s="10"/>
      <c r="O625" s="9"/>
      <c r="P625" s="10"/>
    </row>
    <row r="626" spans="1:16" ht="15.6" x14ac:dyDescent="0.3">
      <c r="A626" s="3">
        <f t="shared" si="59"/>
        <v>30</v>
      </c>
      <c r="B626" s="306" t="s">
        <v>455</v>
      </c>
      <c r="C626" s="307" t="s">
        <v>389</v>
      </c>
      <c r="D626" s="5" t="s">
        <v>987</v>
      </c>
      <c r="E626" s="5">
        <v>10</v>
      </c>
      <c r="F626" s="5">
        <v>17</v>
      </c>
      <c r="G626" s="3">
        <f t="shared" si="62"/>
        <v>27</v>
      </c>
      <c r="H626" s="3"/>
      <c r="I626" s="3"/>
      <c r="J626" s="5">
        <v>39</v>
      </c>
      <c r="K626" s="3">
        <f t="shared" si="63"/>
        <v>66</v>
      </c>
      <c r="L626" s="7" t="str">
        <f t="shared" si="60"/>
        <v>B</v>
      </c>
      <c r="M626" s="7" t="str">
        <f t="shared" si="61"/>
        <v>Passed</v>
      </c>
      <c r="N626" s="10"/>
      <c r="O626" s="9"/>
      <c r="P626" s="10"/>
    </row>
    <row r="627" spans="1:16" ht="15.6" x14ac:dyDescent="0.3">
      <c r="A627" s="3">
        <f t="shared" si="59"/>
        <v>31</v>
      </c>
      <c r="B627" s="306" t="s">
        <v>456</v>
      </c>
      <c r="C627" s="310" t="s">
        <v>535</v>
      </c>
      <c r="D627" s="5" t="s">
        <v>1018</v>
      </c>
      <c r="E627" s="5">
        <v>10</v>
      </c>
      <c r="F627" s="5">
        <v>19</v>
      </c>
      <c r="G627" s="3">
        <f t="shared" si="62"/>
        <v>29</v>
      </c>
      <c r="H627" s="3"/>
      <c r="I627" s="3"/>
      <c r="J627" s="5">
        <v>29</v>
      </c>
      <c r="K627" s="3">
        <f t="shared" si="63"/>
        <v>58</v>
      </c>
      <c r="L627" s="7" t="str">
        <f t="shared" si="60"/>
        <v>C+</v>
      </c>
      <c r="M627" s="7" t="str">
        <f t="shared" si="61"/>
        <v>Passed</v>
      </c>
      <c r="N627" s="10"/>
      <c r="O627" s="9"/>
      <c r="P627" s="10"/>
    </row>
    <row r="628" spans="1:16" ht="15.6" x14ac:dyDescent="0.3">
      <c r="A628" s="3">
        <f t="shared" si="59"/>
        <v>32</v>
      </c>
      <c r="B628" s="306" t="s">
        <v>457</v>
      </c>
      <c r="C628" s="307" t="s">
        <v>390</v>
      </c>
      <c r="D628" s="5" t="s">
        <v>994</v>
      </c>
      <c r="E628" s="5">
        <v>10</v>
      </c>
      <c r="F628" s="5">
        <v>19</v>
      </c>
      <c r="G628" s="3">
        <f t="shared" si="62"/>
        <v>29</v>
      </c>
      <c r="H628" s="3"/>
      <c r="I628" s="3"/>
      <c r="J628" s="5">
        <v>24</v>
      </c>
      <c r="K628" s="3">
        <f t="shared" si="63"/>
        <v>53</v>
      </c>
      <c r="L628" s="7" t="str">
        <f t="shared" si="60"/>
        <v>C</v>
      </c>
      <c r="M628" s="7" t="str">
        <f t="shared" si="61"/>
        <v>Passed</v>
      </c>
      <c r="N628" s="10"/>
      <c r="O628" s="9"/>
      <c r="P628" s="10"/>
    </row>
    <row r="629" spans="1:16" ht="15.6" x14ac:dyDescent="0.3">
      <c r="A629" s="3">
        <f t="shared" ref="A629:A650" si="64">ROW(A33)</f>
        <v>33</v>
      </c>
      <c r="B629" s="306" t="s">
        <v>458</v>
      </c>
      <c r="C629" s="307" t="s">
        <v>391</v>
      </c>
      <c r="D629" s="5" t="s">
        <v>1012</v>
      </c>
      <c r="E629" s="5">
        <v>10</v>
      </c>
      <c r="F629" s="5">
        <v>17</v>
      </c>
      <c r="G629" s="3">
        <f t="shared" si="62"/>
        <v>27</v>
      </c>
      <c r="H629" s="3"/>
      <c r="I629" s="3"/>
      <c r="J629" s="5">
        <v>26</v>
      </c>
      <c r="K629" s="3">
        <f t="shared" si="63"/>
        <v>53</v>
      </c>
      <c r="L629" s="7" t="str">
        <f t="shared" si="60"/>
        <v>C</v>
      </c>
      <c r="M629" s="7" t="str">
        <f t="shared" si="61"/>
        <v>Passed</v>
      </c>
      <c r="N629" s="10"/>
      <c r="O629" s="9"/>
      <c r="P629" s="10"/>
    </row>
    <row r="630" spans="1:16" ht="15.6" x14ac:dyDescent="0.3">
      <c r="A630" s="3">
        <f t="shared" si="64"/>
        <v>34</v>
      </c>
      <c r="B630" s="306" t="s">
        <v>459</v>
      </c>
      <c r="C630" s="309" t="s">
        <v>557</v>
      </c>
      <c r="D630" s="5" t="s">
        <v>997</v>
      </c>
      <c r="E630" s="5">
        <v>10</v>
      </c>
      <c r="F630" s="5">
        <v>19</v>
      </c>
      <c r="G630" s="3">
        <f t="shared" si="62"/>
        <v>29</v>
      </c>
      <c r="H630" s="3"/>
      <c r="I630" s="3"/>
      <c r="J630" s="5">
        <v>15</v>
      </c>
      <c r="K630" s="3">
        <f t="shared" si="63"/>
        <v>44</v>
      </c>
      <c r="L630" s="7" t="str">
        <f t="shared" si="60"/>
        <v>D</v>
      </c>
      <c r="M630" s="7" t="str">
        <f t="shared" si="61"/>
        <v>Failed</v>
      </c>
      <c r="N630" s="10"/>
      <c r="O630" s="9"/>
      <c r="P630" s="10"/>
    </row>
    <row r="631" spans="1:16" ht="15.6" x14ac:dyDescent="0.3">
      <c r="A631" s="3">
        <f t="shared" si="64"/>
        <v>35</v>
      </c>
      <c r="B631" s="306" t="s">
        <v>460</v>
      </c>
      <c r="C631" s="309" t="s">
        <v>392</v>
      </c>
      <c r="D631" s="5" t="s">
        <v>970</v>
      </c>
      <c r="E631" s="5">
        <v>10</v>
      </c>
      <c r="F631" s="5">
        <v>17</v>
      </c>
      <c r="G631" s="3">
        <f t="shared" si="62"/>
        <v>27</v>
      </c>
      <c r="H631" s="3"/>
      <c r="I631" s="3"/>
      <c r="J631" s="5">
        <v>48</v>
      </c>
      <c r="K631" s="3">
        <f t="shared" si="63"/>
        <v>75</v>
      </c>
      <c r="L631" s="7" t="str">
        <f t="shared" si="60"/>
        <v>B+</v>
      </c>
      <c r="M631" s="7" t="str">
        <f t="shared" si="61"/>
        <v>Passed</v>
      </c>
      <c r="N631" s="10"/>
      <c r="O631" s="9"/>
      <c r="P631" s="10"/>
    </row>
    <row r="632" spans="1:16" ht="15.6" x14ac:dyDescent="0.3">
      <c r="A632" s="3">
        <f t="shared" si="64"/>
        <v>36</v>
      </c>
      <c r="B632" s="306" t="s">
        <v>461</v>
      </c>
      <c r="C632" s="309" t="s">
        <v>393</v>
      </c>
      <c r="D632" s="5" t="s">
        <v>999</v>
      </c>
      <c r="E632" s="5">
        <v>10</v>
      </c>
      <c r="F632" s="5">
        <v>19</v>
      </c>
      <c r="G632" s="3">
        <f t="shared" si="62"/>
        <v>29</v>
      </c>
      <c r="H632" s="3"/>
      <c r="I632" s="3"/>
      <c r="J632" s="5">
        <v>39</v>
      </c>
      <c r="K632" s="3">
        <f t="shared" si="63"/>
        <v>68</v>
      </c>
      <c r="L632" s="7" t="str">
        <f t="shared" si="60"/>
        <v>B</v>
      </c>
      <c r="M632" s="7" t="str">
        <f t="shared" si="61"/>
        <v>Passed</v>
      </c>
      <c r="N632" s="10"/>
      <c r="O632" s="9"/>
      <c r="P632" s="10"/>
    </row>
    <row r="633" spans="1:16" ht="15.6" x14ac:dyDescent="0.3">
      <c r="A633" s="3">
        <f t="shared" si="64"/>
        <v>37</v>
      </c>
      <c r="B633" s="306" t="s">
        <v>462</v>
      </c>
      <c r="C633" s="309" t="s">
        <v>394</v>
      </c>
      <c r="D633" s="5" t="s">
        <v>996</v>
      </c>
      <c r="E633" s="5">
        <v>10</v>
      </c>
      <c r="F633" s="5">
        <v>17</v>
      </c>
      <c r="G633" s="3">
        <f t="shared" si="62"/>
        <v>27</v>
      </c>
      <c r="H633" s="3"/>
      <c r="I633" s="3"/>
      <c r="J633" s="5">
        <v>36</v>
      </c>
      <c r="K633" s="3">
        <f t="shared" si="63"/>
        <v>63</v>
      </c>
      <c r="L633" s="7" t="str">
        <f t="shared" si="60"/>
        <v>B</v>
      </c>
      <c r="M633" s="7" t="str">
        <f t="shared" si="61"/>
        <v>Passed</v>
      </c>
      <c r="N633" s="10"/>
      <c r="O633" s="9"/>
      <c r="P633" s="10"/>
    </row>
    <row r="634" spans="1:16" ht="15.6" x14ac:dyDescent="0.3">
      <c r="A634" s="3">
        <f t="shared" si="64"/>
        <v>38</v>
      </c>
      <c r="B634" s="306" t="s">
        <v>463</v>
      </c>
      <c r="C634" s="309" t="s">
        <v>395</v>
      </c>
      <c r="D634" s="5" t="s">
        <v>966</v>
      </c>
      <c r="E634" s="5">
        <v>10</v>
      </c>
      <c r="F634" s="5">
        <v>11</v>
      </c>
      <c r="G634" s="3">
        <f t="shared" si="62"/>
        <v>21</v>
      </c>
      <c r="H634" s="3"/>
      <c r="I634" s="3"/>
      <c r="J634" s="5">
        <v>18</v>
      </c>
      <c r="K634" s="3">
        <f t="shared" si="63"/>
        <v>39</v>
      </c>
      <c r="L634" s="7" t="str">
        <f t="shared" si="60"/>
        <v>F</v>
      </c>
      <c r="M634" s="7" t="str">
        <f t="shared" si="61"/>
        <v>Failed</v>
      </c>
      <c r="N634" s="10"/>
      <c r="O634" s="9"/>
      <c r="P634" s="10"/>
    </row>
    <row r="635" spans="1:16" ht="15.6" x14ac:dyDescent="0.3">
      <c r="A635" s="3">
        <f t="shared" si="64"/>
        <v>39</v>
      </c>
      <c r="B635" s="306" t="s">
        <v>464</v>
      </c>
      <c r="C635" s="309" t="s">
        <v>396</v>
      </c>
      <c r="D635" s="5" t="s">
        <v>978</v>
      </c>
      <c r="E635" s="5">
        <v>10</v>
      </c>
      <c r="F635" s="5">
        <v>17</v>
      </c>
      <c r="G635" s="3">
        <f t="shared" si="62"/>
        <v>27</v>
      </c>
      <c r="H635" s="3"/>
      <c r="I635" s="3"/>
      <c r="J635" s="5">
        <v>34</v>
      </c>
      <c r="K635" s="3">
        <f t="shared" si="63"/>
        <v>61</v>
      </c>
      <c r="L635" s="7" t="str">
        <f t="shared" si="60"/>
        <v>B</v>
      </c>
      <c r="M635" s="7" t="str">
        <f t="shared" si="61"/>
        <v>Passed</v>
      </c>
      <c r="N635" s="10"/>
      <c r="O635" s="9"/>
      <c r="P635" s="10"/>
    </row>
    <row r="636" spans="1:16" ht="15.6" x14ac:dyDescent="0.3">
      <c r="A636" s="3">
        <f t="shared" si="64"/>
        <v>40</v>
      </c>
      <c r="B636" s="306" t="s">
        <v>465</v>
      </c>
      <c r="C636" s="309" t="s">
        <v>397</v>
      </c>
      <c r="D636" s="5" t="s">
        <v>968</v>
      </c>
      <c r="E636" s="5">
        <v>10</v>
      </c>
      <c r="F636" s="5">
        <v>16</v>
      </c>
      <c r="G636" s="3">
        <f t="shared" si="62"/>
        <v>26</v>
      </c>
      <c r="H636" s="3"/>
      <c r="I636" s="3"/>
      <c r="J636" s="5">
        <v>41</v>
      </c>
      <c r="K636" s="3">
        <f t="shared" si="63"/>
        <v>67</v>
      </c>
      <c r="L636" s="7" t="str">
        <f t="shared" si="60"/>
        <v>B</v>
      </c>
      <c r="M636" s="7" t="str">
        <f t="shared" si="61"/>
        <v>Passed</v>
      </c>
      <c r="N636" s="10"/>
      <c r="O636" s="9"/>
      <c r="P636" s="10"/>
    </row>
    <row r="637" spans="1:16" ht="15.6" x14ac:dyDescent="0.3">
      <c r="A637" s="3">
        <f t="shared" si="64"/>
        <v>41</v>
      </c>
      <c r="B637" s="306" t="s">
        <v>466</v>
      </c>
      <c r="C637" s="307" t="s">
        <v>398</v>
      </c>
      <c r="D637" s="5" t="s">
        <v>981</v>
      </c>
      <c r="E637" s="5">
        <v>10</v>
      </c>
      <c r="F637" s="5">
        <v>15</v>
      </c>
      <c r="G637" s="3">
        <f t="shared" si="62"/>
        <v>25</v>
      </c>
      <c r="H637" s="3"/>
      <c r="I637" s="3"/>
      <c r="J637" s="5">
        <v>21</v>
      </c>
      <c r="K637" s="3">
        <f t="shared" si="63"/>
        <v>46</v>
      </c>
      <c r="L637" s="7" t="str">
        <f t="shared" si="60"/>
        <v>D+</v>
      </c>
      <c r="M637" s="7" t="str">
        <f t="shared" si="61"/>
        <v>Failed</v>
      </c>
      <c r="N637" s="10"/>
      <c r="O637" s="9"/>
      <c r="P637" s="10"/>
    </row>
    <row r="638" spans="1:16" ht="15.6" x14ac:dyDescent="0.3">
      <c r="A638" s="3">
        <f t="shared" si="64"/>
        <v>42</v>
      </c>
      <c r="B638" s="306" t="s">
        <v>467</v>
      </c>
      <c r="C638" s="307" t="s">
        <v>399</v>
      </c>
      <c r="D638" s="5" t="s">
        <v>972</v>
      </c>
      <c r="E638" s="5">
        <v>10</v>
      </c>
      <c r="F638" s="5">
        <v>16</v>
      </c>
      <c r="G638" s="3">
        <f t="shared" si="62"/>
        <v>26</v>
      </c>
      <c r="H638" s="3"/>
      <c r="I638" s="3"/>
      <c r="J638" s="5">
        <v>31</v>
      </c>
      <c r="K638" s="3">
        <f t="shared" si="63"/>
        <v>57</v>
      </c>
      <c r="L638" s="7" t="str">
        <f t="shared" si="60"/>
        <v>C+</v>
      </c>
      <c r="M638" s="7" t="str">
        <f t="shared" si="61"/>
        <v>Passed</v>
      </c>
      <c r="N638" s="10"/>
      <c r="O638" s="9"/>
      <c r="P638" s="10"/>
    </row>
    <row r="639" spans="1:16" ht="15.6" x14ac:dyDescent="0.3">
      <c r="A639" s="3">
        <f t="shared" si="64"/>
        <v>43</v>
      </c>
      <c r="B639" s="306" t="s">
        <v>468</v>
      </c>
      <c r="C639" s="383" t="s">
        <v>552</v>
      </c>
      <c r="D639" s="5" t="s">
        <v>1015</v>
      </c>
      <c r="E639" s="5">
        <v>10</v>
      </c>
      <c r="F639" s="5">
        <v>17</v>
      </c>
      <c r="G639" s="3">
        <f t="shared" si="62"/>
        <v>27</v>
      </c>
      <c r="H639" s="3"/>
      <c r="I639" s="3"/>
      <c r="J639" s="5">
        <v>33</v>
      </c>
      <c r="K639" s="3">
        <f t="shared" si="63"/>
        <v>60</v>
      </c>
      <c r="L639" s="7" t="str">
        <f t="shared" si="60"/>
        <v>B</v>
      </c>
      <c r="M639" s="7" t="str">
        <f t="shared" si="61"/>
        <v>Passed</v>
      </c>
      <c r="N639" s="10"/>
      <c r="O639" s="9"/>
      <c r="P639" s="10"/>
    </row>
    <row r="640" spans="1:16" ht="15.6" x14ac:dyDescent="0.3">
      <c r="A640" s="3">
        <f t="shared" si="64"/>
        <v>44</v>
      </c>
      <c r="B640" s="306" t="s">
        <v>469</v>
      </c>
      <c r="C640" s="308" t="s">
        <v>400</v>
      </c>
      <c r="D640" s="5" t="s">
        <v>982</v>
      </c>
      <c r="E640" s="5">
        <v>10</v>
      </c>
      <c r="F640" s="5">
        <v>15</v>
      </c>
      <c r="G640" s="3">
        <f t="shared" si="62"/>
        <v>25</v>
      </c>
      <c r="H640" s="3"/>
      <c r="I640" s="3"/>
      <c r="J640" s="5">
        <v>28</v>
      </c>
      <c r="K640" s="3">
        <f t="shared" si="63"/>
        <v>53</v>
      </c>
      <c r="L640" s="7" t="str">
        <f t="shared" si="60"/>
        <v>C</v>
      </c>
      <c r="M640" s="7" t="str">
        <f t="shared" si="61"/>
        <v>Passed</v>
      </c>
      <c r="N640" s="10"/>
      <c r="O640" s="9"/>
      <c r="P640" s="10"/>
    </row>
    <row r="641" spans="1:16" ht="15.6" x14ac:dyDescent="0.3">
      <c r="A641" s="3">
        <f t="shared" si="64"/>
        <v>45</v>
      </c>
      <c r="B641" s="306" t="s">
        <v>470</v>
      </c>
      <c r="C641" s="307" t="s">
        <v>401</v>
      </c>
      <c r="D641" s="5" t="s">
        <v>998</v>
      </c>
      <c r="E641" s="5">
        <v>10</v>
      </c>
      <c r="F641" s="5">
        <v>17</v>
      </c>
      <c r="G641" s="3">
        <f t="shared" si="62"/>
        <v>27</v>
      </c>
      <c r="H641" s="3"/>
      <c r="I641" s="3"/>
      <c r="J641" s="5">
        <v>36</v>
      </c>
      <c r="K641" s="3">
        <f t="shared" si="63"/>
        <v>63</v>
      </c>
      <c r="L641" s="7" t="str">
        <f t="shared" si="60"/>
        <v>B</v>
      </c>
      <c r="M641" s="7" t="str">
        <f t="shared" si="61"/>
        <v>Passed</v>
      </c>
      <c r="N641" s="10"/>
      <c r="O641" s="9"/>
      <c r="P641" s="10"/>
    </row>
    <row r="642" spans="1:16" ht="15.6" x14ac:dyDescent="0.3">
      <c r="A642" s="3">
        <f t="shared" si="64"/>
        <v>46</v>
      </c>
      <c r="B642" s="306" t="s">
        <v>471</v>
      </c>
      <c r="C642" s="307" t="s">
        <v>402</v>
      </c>
      <c r="D642" s="5" t="s">
        <v>1007</v>
      </c>
      <c r="E642" s="5">
        <v>10</v>
      </c>
      <c r="F642" s="5">
        <v>9</v>
      </c>
      <c r="G642" s="3">
        <f t="shared" si="62"/>
        <v>19</v>
      </c>
      <c r="H642" s="3"/>
      <c r="I642" s="3"/>
      <c r="J642" s="5">
        <v>31</v>
      </c>
      <c r="K642" s="3">
        <f t="shared" si="63"/>
        <v>50</v>
      </c>
      <c r="L642" s="7" t="str">
        <f t="shared" si="60"/>
        <v>C</v>
      </c>
      <c r="M642" s="7" t="str">
        <f t="shared" si="61"/>
        <v>Passed</v>
      </c>
      <c r="N642" s="10"/>
      <c r="O642" s="9"/>
      <c r="P642" s="10"/>
    </row>
    <row r="643" spans="1:16" ht="15.6" x14ac:dyDescent="0.3">
      <c r="A643" s="3">
        <f t="shared" si="64"/>
        <v>47</v>
      </c>
      <c r="B643" s="306" t="s">
        <v>472</v>
      </c>
      <c r="C643" s="12" t="s">
        <v>403</v>
      </c>
      <c r="D643" s="5" t="s">
        <v>1011</v>
      </c>
      <c r="E643" s="5">
        <v>10</v>
      </c>
      <c r="F643" s="5">
        <v>17</v>
      </c>
      <c r="G643" s="3">
        <f t="shared" si="62"/>
        <v>27</v>
      </c>
      <c r="H643" s="3"/>
      <c r="I643" s="3"/>
      <c r="J643" s="5">
        <v>28</v>
      </c>
      <c r="K643" s="3">
        <f t="shared" si="63"/>
        <v>55</v>
      </c>
      <c r="L643" s="7" t="str">
        <f t="shared" si="60"/>
        <v>C+</v>
      </c>
      <c r="M643" s="7" t="str">
        <f t="shared" si="61"/>
        <v>Passed</v>
      </c>
      <c r="N643" s="10"/>
      <c r="O643" s="9"/>
      <c r="P643" s="10"/>
    </row>
    <row r="644" spans="1:16" ht="15.6" x14ac:dyDescent="0.3">
      <c r="A644" s="3">
        <f t="shared" si="64"/>
        <v>48</v>
      </c>
      <c r="B644" s="12" t="s">
        <v>473</v>
      </c>
      <c r="C644" s="307" t="s">
        <v>404</v>
      </c>
      <c r="D644" s="5" t="s">
        <v>1002</v>
      </c>
      <c r="E644" s="5">
        <v>10</v>
      </c>
      <c r="F644" s="5">
        <v>20</v>
      </c>
      <c r="G644" s="3">
        <f t="shared" si="62"/>
        <v>30</v>
      </c>
      <c r="H644" s="3"/>
      <c r="I644" s="3"/>
      <c r="J644" s="5">
        <v>51</v>
      </c>
      <c r="K644" s="3">
        <f t="shared" si="63"/>
        <v>81</v>
      </c>
      <c r="L644" s="7" t="str">
        <f t="shared" si="60"/>
        <v>A</v>
      </c>
      <c r="M644" s="7" t="str">
        <f t="shared" si="61"/>
        <v>Passed</v>
      </c>
      <c r="N644" s="10"/>
      <c r="O644" s="9"/>
      <c r="P644" s="10"/>
    </row>
    <row r="645" spans="1:16" ht="15.6" x14ac:dyDescent="0.3">
      <c r="A645" s="3">
        <f t="shared" si="64"/>
        <v>49</v>
      </c>
      <c r="B645" s="12" t="s">
        <v>474</v>
      </c>
      <c r="C645" s="307" t="s">
        <v>405</v>
      </c>
      <c r="D645" s="5" t="s">
        <v>985</v>
      </c>
      <c r="E645" s="5">
        <v>9</v>
      </c>
      <c r="F645" s="5">
        <v>11</v>
      </c>
      <c r="G645" s="3">
        <f t="shared" si="62"/>
        <v>20</v>
      </c>
      <c r="H645" s="3"/>
      <c r="I645" s="3"/>
      <c r="J645" s="5">
        <v>31</v>
      </c>
      <c r="K645" s="3">
        <f t="shared" si="63"/>
        <v>51</v>
      </c>
      <c r="L645" s="7" t="str">
        <f t="shared" si="60"/>
        <v>C</v>
      </c>
      <c r="M645" s="7" t="str">
        <f t="shared" si="61"/>
        <v>Passed</v>
      </c>
      <c r="N645" s="10"/>
      <c r="O645" s="9"/>
      <c r="P645" s="10"/>
    </row>
    <row r="646" spans="1:16" ht="15.6" x14ac:dyDescent="0.3">
      <c r="A646" s="3">
        <f t="shared" si="64"/>
        <v>50</v>
      </c>
      <c r="B646" s="12" t="s">
        <v>475</v>
      </c>
      <c r="C646" s="307" t="s">
        <v>406</v>
      </c>
      <c r="D646" s="5" t="s">
        <v>1016</v>
      </c>
      <c r="E646" s="5">
        <v>10</v>
      </c>
      <c r="F646" s="5">
        <v>19</v>
      </c>
      <c r="G646" s="3">
        <f t="shared" si="62"/>
        <v>29</v>
      </c>
      <c r="H646" s="3"/>
      <c r="I646" s="3"/>
      <c r="J646" s="5">
        <v>32</v>
      </c>
      <c r="K646" s="3">
        <f t="shared" si="63"/>
        <v>61</v>
      </c>
      <c r="L646" s="7" t="str">
        <f t="shared" si="60"/>
        <v>B</v>
      </c>
      <c r="M646" s="7" t="str">
        <f t="shared" si="61"/>
        <v>Passed</v>
      </c>
      <c r="N646" s="10"/>
      <c r="O646" s="9"/>
      <c r="P646" s="10"/>
    </row>
    <row r="647" spans="1:16" ht="15.6" x14ac:dyDescent="0.3">
      <c r="A647" s="3">
        <f t="shared" si="64"/>
        <v>51</v>
      </c>
      <c r="B647" s="12" t="s">
        <v>476</v>
      </c>
      <c r="C647" s="307" t="s">
        <v>407</v>
      </c>
      <c r="D647" s="5" t="s">
        <v>986</v>
      </c>
      <c r="E647" s="5">
        <v>10</v>
      </c>
      <c r="F647" s="5">
        <v>17</v>
      </c>
      <c r="G647" s="3">
        <f t="shared" si="62"/>
        <v>27</v>
      </c>
      <c r="H647" s="3"/>
      <c r="I647" s="3"/>
      <c r="J647" s="5">
        <v>29</v>
      </c>
      <c r="K647" s="3">
        <f t="shared" si="63"/>
        <v>56</v>
      </c>
      <c r="L647" s="7" t="str">
        <f t="shared" si="60"/>
        <v>C+</v>
      </c>
      <c r="M647" s="7" t="str">
        <f t="shared" si="61"/>
        <v>Passed</v>
      </c>
      <c r="N647" s="10"/>
      <c r="O647" s="9"/>
      <c r="P647" s="10"/>
    </row>
    <row r="648" spans="1:16" ht="15.6" x14ac:dyDescent="0.3">
      <c r="A648" s="3">
        <f t="shared" si="64"/>
        <v>52</v>
      </c>
      <c r="B648" s="12" t="s">
        <v>477</v>
      </c>
      <c r="C648" s="307" t="s">
        <v>408</v>
      </c>
      <c r="D648" s="5" t="s">
        <v>965</v>
      </c>
      <c r="E648" s="5">
        <v>10</v>
      </c>
      <c r="F648" s="5">
        <v>10</v>
      </c>
      <c r="G648" s="3">
        <f t="shared" si="62"/>
        <v>20</v>
      </c>
      <c r="H648" s="3"/>
      <c r="I648" s="3"/>
      <c r="J648" s="5">
        <v>42</v>
      </c>
      <c r="K648" s="3">
        <f t="shared" si="63"/>
        <v>62</v>
      </c>
      <c r="L648" s="7" t="str">
        <f t="shared" si="60"/>
        <v>B</v>
      </c>
      <c r="M648" s="7" t="str">
        <f t="shared" si="61"/>
        <v>Passed</v>
      </c>
      <c r="N648" s="10"/>
      <c r="O648" s="9"/>
      <c r="P648" s="10"/>
    </row>
    <row r="649" spans="1:16" ht="15.6" x14ac:dyDescent="0.3">
      <c r="A649" s="3">
        <f t="shared" si="64"/>
        <v>53</v>
      </c>
      <c r="B649" s="12" t="s">
        <v>478</v>
      </c>
      <c r="C649" s="307" t="s">
        <v>409</v>
      </c>
      <c r="D649" s="5" t="s">
        <v>1017</v>
      </c>
      <c r="E649" s="5">
        <v>10</v>
      </c>
      <c r="F649" s="5">
        <v>18</v>
      </c>
      <c r="G649" s="3">
        <f t="shared" si="62"/>
        <v>28</v>
      </c>
      <c r="H649" s="3"/>
      <c r="I649" s="3"/>
      <c r="J649" s="5">
        <v>38</v>
      </c>
      <c r="K649" s="3">
        <f t="shared" si="63"/>
        <v>66</v>
      </c>
      <c r="L649" s="7" t="str">
        <f t="shared" si="60"/>
        <v>B</v>
      </c>
      <c r="M649" s="7" t="str">
        <f t="shared" si="61"/>
        <v>Passed</v>
      </c>
      <c r="N649" s="10"/>
      <c r="O649" s="9"/>
      <c r="P649" s="10"/>
    </row>
    <row r="650" spans="1:16" ht="15.6" x14ac:dyDescent="0.3">
      <c r="A650" s="3">
        <f t="shared" si="64"/>
        <v>54</v>
      </c>
      <c r="B650" s="12" t="s">
        <v>479</v>
      </c>
      <c r="C650" s="12" t="s">
        <v>410</v>
      </c>
      <c r="D650" s="5" t="s">
        <v>973</v>
      </c>
      <c r="E650" s="5">
        <v>10</v>
      </c>
      <c r="F650" s="5">
        <v>16</v>
      </c>
      <c r="G650" s="3">
        <f t="shared" si="62"/>
        <v>26</v>
      </c>
      <c r="H650" s="5"/>
      <c r="I650" s="5"/>
      <c r="J650" s="5">
        <v>39</v>
      </c>
      <c r="K650" s="3">
        <f t="shared" si="63"/>
        <v>65</v>
      </c>
      <c r="L650" s="7" t="str">
        <f t="shared" si="60"/>
        <v>B</v>
      </c>
      <c r="M650" s="7" t="str">
        <f t="shared" si="61"/>
        <v>Passed</v>
      </c>
      <c r="N650" s="10"/>
      <c r="O650" s="9"/>
      <c r="P650" s="10"/>
    </row>
    <row r="651" spans="1:16" ht="15.6" x14ac:dyDescent="0.3">
      <c r="A651" s="10"/>
      <c r="B651" s="10"/>
      <c r="C651" s="75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9"/>
      <c r="P651" s="10"/>
    </row>
    <row r="652" spans="1:16" ht="15.6" x14ac:dyDescent="0.3">
      <c r="A652" s="10"/>
      <c r="B652" s="10"/>
      <c r="C652" s="75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9"/>
      <c r="P652" s="10"/>
    </row>
    <row r="653" spans="1:16" ht="15.6" x14ac:dyDescent="0.3">
      <c r="A653" s="10"/>
      <c r="B653" s="10"/>
      <c r="C653" s="75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9"/>
      <c r="P653" s="10"/>
    </row>
    <row r="654" spans="1:16" ht="15.6" x14ac:dyDescent="0.3">
      <c r="A654" s="10"/>
      <c r="B654" s="10"/>
      <c r="C654" s="75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9"/>
      <c r="P654" s="10"/>
    </row>
    <row r="655" spans="1:16" ht="15.6" x14ac:dyDescent="0.3">
      <c r="A655" s="10"/>
      <c r="B655" s="10"/>
      <c r="C655" s="75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9"/>
      <c r="P655" s="10"/>
    </row>
    <row r="656" spans="1:16" ht="15.6" x14ac:dyDescent="0.3">
      <c r="A656" s="17" t="s">
        <v>0</v>
      </c>
      <c r="B656" s="18"/>
      <c r="C656" s="71"/>
      <c r="D656" s="18"/>
      <c r="E656" s="18"/>
      <c r="F656" s="18"/>
      <c r="G656" s="18"/>
      <c r="H656" s="67"/>
      <c r="I656" s="67"/>
      <c r="J656" s="18"/>
      <c r="K656" s="18"/>
      <c r="L656" s="10"/>
      <c r="M656" s="10"/>
      <c r="N656" s="10"/>
      <c r="O656" s="9"/>
      <c r="P656" s="10"/>
    </row>
    <row r="657" spans="1:16" ht="15.6" x14ac:dyDescent="0.3">
      <c r="A657" s="503" t="s">
        <v>36</v>
      </c>
      <c r="B657" s="504"/>
      <c r="C657" s="504"/>
      <c r="D657" s="504"/>
      <c r="E657" s="504"/>
      <c r="F657" s="504"/>
      <c r="G657" s="504"/>
      <c r="H657" s="504"/>
      <c r="I657" s="504"/>
      <c r="J657" s="18"/>
      <c r="K657" s="18"/>
      <c r="L657" s="10"/>
      <c r="M657" s="10"/>
      <c r="N657" s="10"/>
      <c r="O657" s="9"/>
      <c r="P657" s="10"/>
    </row>
    <row r="658" spans="1:16" ht="15.6" x14ac:dyDescent="0.3">
      <c r="A658" s="503" t="s">
        <v>362</v>
      </c>
      <c r="B658" s="504"/>
      <c r="C658" s="504"/>
      <c r="D658" s="504"/>
      <c r="E658" s="504"/>
      <c r="F658" s="504"/>
      <c r="G658" s="504"/>
      <c r="H658" s="504"/>
      <c r="I658" s="504"/>
      <c r="J658" s="18"/>
      <c r="K658" s="18"/>
      <c r="L658" s="19"/>
      <c r="M658" s="10"/>
      <c r="N658" s="10"/>
      <c r="O658" s="9"/>
      <c r="P658" s="10"/>
    </row>
    <row r="659" spans="1:16" ht="15.6" x14ac:dyDescent="0.3">
      <c r="A659" s="20" t="s">
        <v>1</v>
      </c>
      <c r="B659" s="21"/>
      <c r="C659" s="84" t="s">
        <v>414</v>
      </c>
      <c r="D659" s="85"/>
      <c r="E659" s="85"/>
      <c r="F659" s="85"/>
      <c r="G659" s="85"/>
      <c r="H659" s="85"/>
      <c r="I659" s="85"/>
      <c r="J659" s="85"/>
      <c r="K659" s="18"/>
      <c r="L659" s="19"/>
      <c r="M659" s="10"/>
      <c r="N659" s="10"/>
      <c r="O659" s="9"/>
      <c r="P659" s="10"/>
    </row>
    <row r="660" spans="1:16" ht="16.2" x14ac:dyDescent="0.35">
      <c r="A660" s="20" t="s">
        <v>3</v>
      </c>
      <c r="B660" s="21"/>
      <c r="C660" s="95" t="s">
        <v>351</v>
      </c>
      <c r="D660" s="94"/>
      <c r="E660" s="94"/>
      <c r="F660" s="94"/>
      <c r="G660" s="94"/>
      <c r="H660" s="94"/>
      <c r="I660" s="94"/>
      <c r="J660" s="22"/>
      <c r="K660" s="18"/>
      <c r="L660" s="19"/>
      <c r="M660" s="10"/>
      <c r="N660" s="10"/>
      <c r="O660" s="9"/>
      <c r="P660" s="10"/>
    </row>
    <row r="661" spans="1:16" ht="15.6" x14ac:dyDescent="0.3">
      <c r="A661" s="20" t="s">
        <v>4</v>
      </c>
      <c r="B661" s="21"/>
      <c r="C661" s="84" t="s">
        <v>45</v>
      </c>
      <c r="D661" s="85"/>
      <c r="E661" s="85"/>
      <c r="F661" s="85"/>
      <c r="G661" s="85"/>
      <c r="H661" s="85"/>
      <c r="I661" s="85"/>
      <c r="J661" s="85"/>
      <c r="K661" s="18"/>
      <c r="L661" s="19"/>
      <c r="M661" s="10"/>
      <c r="N661" s="10"/>
      <c r="O661" s="9"/>
      <c r="P661" s="10"/>
    </row>
    <row r="662" spans="1:16" ht="15.6" x14ac:dyDescent="0.3">
      <c r="A662" s="20" t="s">
        <v>5</v>
      </c>
      <c r="B662" s="21"/>
      <c r="C662" s="86">
        <v>3</v>
      </c>
      <c r="D662" s="87"/>
      <c r="E662" s="87"/>
      <c r="F662" s="87"/>
      <c r="G662" s="87"/>
      <c r="H662" s="87"/>
      <c r="I662" s="87"/>
      <c r="J662" s="87"/>
      <c r="K662" s="18"/>
      <c r="L662" s="19"/>
      <c r="M662" s="10"/>
      <c r="N662" s="10"/>
      <c r="O662" s="9"/>
      <c r="P662" s="10"/>
    </row>
    <row r="663" spans="1:16" ht="15.6" x14ac:dyDescent="0.3">
      <c r="A663" s="508" t="s">
        <v>6</v>
      </c>
      <c r="B663" s="509"/>
      <c r="C663" s="84" t="s">
        <v>61</v>
      </c>
      <c r="D663" s="85"/>
      <c r="E663" s="85"/>
      <c r="F663" s="85"/>
      <c r="G663" s="85"/>
      <c r="H663" s="85"/>
      <c r="I663" s="85"/>
      <c r="J663" s="85"/>
      <c r="K663" s="18"/>
      <c r="L663" s="19"/>
      <c r="M663" s="10"/>
      <c r="N663" s="10"/>
      <c r="O663" s="9"/>
      <c r="P663" s="10"/>
    </row>
    <row r="664" spans="1:16" ht="16.2" x14ac:dyDescent="0.35">
      <c r="A664" s="508" t="s">
        <v>7</v>
      </c>
      <c r="B664" s="509"/>
      <c r="C664" s="72" t="s">
        <v>539</v>
      </c>
      <c r="D664" s="18"/>
      <c r="E664" s="22"/>
      <c r="F664" s="18"/>
      <c r="G664" s="18"/>
      <c r="H664" s="67"/>
      <c r="I664" s="67"/>
      <c r="J664" s="18"/>
      <c r="K664" s="18"/>
      <c r="L664" s="19"/>
      <c r="M664" s="10"/>
      <c r="N664" s="10"/>
      <c r="O664" s="9"/>
      <c r="P664" s="10"/>
    </row>
    <row r="665" spans="1:16" ht="65.400000000000006" x14ac:dyDescent="0.3">
      <c r="A665" s="24" t="s">
        <v>8</v>
      </c>
      <c r="B665" s="24" t="s">
        <v>9</v>
      </c>
      <c r="C665" s="73" t="s">
        <v>10</v>
      </c>
      <c r="D665" s="26" t="s">
        <v>41</v>
      </c>
      <c r="E665" s="27" t="s">
        <v>12</v>
      </c>
      <c r="F665" s="27" t="s">
        <v>13</v>
      </c>
      <c r="G665" s="27" t="s">
        <v>14</v>
      </c>
      <c r="H665" s="27" t="s">
        <v>210</v>
      </c>
      <c r="I665" s="27" t="s">
        <v>209</v>
      </c>
      <c r="J665" s="27" t="s">
        <v>15</v>
      </c>
      <c r="K665" s="27" t="s">
        <v>39</v>
      </c>
      <c r="L665" s="19"/>
      <c r="M665" s="10"/>
      <c r="N665" s="10"/>
      <c r="O665" s="9"/>
      <c r="P665" s="10"/>
    </row>
    <row r="666" spans="1:16" ht="15.6" x14ac:dyDescent="0.3">
      <c r="A666" s="24" t="s">
        <v>42</v>
      </c>
      <c r="B666" s="24"/>
      <c r="C666" s="74"/>
      <c r="D666" s="3"/>
      <c r="E666" s="3"/>
      <c r="F666" s="3"/>
      <c r="G666" s="3"/>
      <c r="H666" s="3"/>
      <c r="I666" s="3"/>
      <c r="J666" s="3"/>
      <c r="K666" s="3"/>
      <c r="L666" s="23"/>
      <c r="M666" s="10"/>
      <c r="N666" s="10"/>
      <c r="O666" s="9"/>
      <c r="P666" s="10"/>
    </row>
    <row r="667" spans="1:16" ht="15.6" x14ac:dyDescent="0.3">
      <c r="A667" s="3"/>
      <c r="B667" s="10"/>
      <c r="C667" s="75"/>
      <c r="D667" s="10"/>
      <c r="E667" s="10"/>
      <c r="F667" s="10"/>
      <c r="G667" s="10"/>
      <c r="H667" s="10"/>
      <c r="I667" s="10"/>
      <c r="J667" s="10"/>
      <c r="K667" s="10"/>
      <c r="L667" s="34" t="s">
        <v>17</v>
      </c>
      <c r="M667" s="34" t="s">
        <v>18</v>
      </c>
      <c r="N667" s="8"/>
      <c r="O667" s="9"/>
      <c r="P667" s="10"/>
    </row>
    <row r="668" spans="1:16" ht="15.6" x14ac:dyDescent="0.3">
      <c r="A668" s="3">
        <f t="shared" ref="A668:A699" si="65">ROW(A1)</f>
        <v>1</v>
      </c>
      <c r="B668" s="306" t="s">
        <v>431</v>
      </c>
      <c r="C668" s="307" t="s">
        <v>365</v>
      </c>
      <c r="D668" s="5" t="s">
        <v>1136</v>
      </c>
      <c r="E668" s="3">
        <v>10</v>
      </c>
      <c r="F668" s="3">
        <v>10</v>
      </c>
      <c r="G668" s="3">
        <f>SUM(E668:F668)</f>
        <v>20</v>
      </c>
      <c r="H668" s="3"/>
      <c r="I668" s="3"/>
      <c r="J668" s="3">
        <v>53</v>
      </c>
      <c r="K668" s="3">
        <f>SUM(G668:J668)</f>
        <v>73</v>
      </c>
      <c r="L668" s="7" t="str">
        <f t="shared" ref="L668:L723" si="66">IF(K668&gt;=80,"A",IF(K668&gt;=70,"B+",IF(K668&gt;=60,"B",IF(K668&gt;=55,"C+",IF(K668&gt;=50,"C",IF(K668&gt;=45,"D+",IF(K668&gt;=40,"D","F")))))))</f>
        <v>B+</v>
      </c>
      <c r="M668" s="7" t="str">
        <f t="shared" ref="M668:M723" si="67">IF(K668&gt;=50,"Passed","Failed")</f>
        <v>Passed</v>
      </c>
      <c r="N668" s="7"/>
      <c r="O668" s="9"/>
      <c r="P668" s="10"/>
    </row>
    <row r="669" spans="1:16" ht="31.2" x14ac:dyDescent="0.3">
      <c r="A669" s="3">
        <f t="shared" si="65"/>
        <v>2</v>
      </c>
      <c r="B669" s="306" t="s">
        <v>586</v>
      </c>
      <c r="C669" s="308" t="s">
        <v>366</v>
      </c>
      <c r="D669" s="5" t="s">
        <v>1137</v>
      </c>
      <c r="E669" s="3">
        <v>10</v>
      </c>
      <c r="F669" s="3">
        <v>20</v>
      </c>
      <c r="G669" s="3">
        <f t="shared" ref="G669:G723" si="68">SUM(E669:F669)</f>
        <v>30</v>
      </c>
      <c r="H669" s="3"/>
      <c r="I669" s="3"/>
      <c r="J669" s="3">
        <v>48</v>
      </c>
      <c r="K669" s="3">
        <f t="shared" ref="K669:K723" si="69">SUM(G669:J669)</f>
        <v>78</v>
      </c>
      <c r="L669" s="7" t="str">
        <f t="shared" si="66"/>
        <v>B+</v>
      </c>
      <c r="M669" s="7" t="str">
        <f t="shared" si="67"/>
        <v>Passed</v>
      </c>
      <c r="N669" s="8" t="s">
        <v>19</v>
      </c>
      <c r="O669" s="9"/>
      <c r="P669" s="10"/>
    </row>
    <row r="670" spans="1:16" ht="15.6" x14ac:dyDescent="0.3">
      <c r="A670" s="3">
        <f t="shared" si="65"/>
        <v>3</v>
      </c>
      <c r="B670" s="306" t="s">
        <v>432</v>
      </c>
      <c r="C670" s="309" t="s">
        <v>367</v>
      </c>
      <c r="D670" s="5" t="s">
        <v>1145</v>
      </c>
      <c r="E670" s="3">
        <v>10</v>
      </c>
      <c r="F670" s="3">
        <v>19</v>
      </c>
      <c r="G670" s="3">
        <f t="shared" si="68"/>
        <v>29</v>
      </c>
      <c r="H670" s="3"/>
      <c r="I670" s="3"/>
      <c r="J670" s="3">
        <v>22</v>
      </c>
      <c r="K670" s="3">
        <f t="shared" si="69"/>
        <v>51</v>
      </c>
      <c r="L670" s="7" t="str">
        <f t="shared" si="66"/>
        <v>C</v>
      </c>
      <c r="M670" s="7" t="str">
        <f t="shared" si="67"/>
        <v>Passed</v>
      </c>
      <c r="N670" s="7" t="s">
        <v>20</v>
      </c>
      <c r="O670" s="9">
        <f>COUNT(G668:G721)</f>
        <v>54</v>
      </c>
      <c r="P670" s="10"/>
    </row>
    <row r="671" spans="1:16" ht="15.6" x14ac:dyDescent="0.3">
      <c r="A671" s="3">
        <f t="shared" si="65"/>
        <v>4</v>
      </c>
      <c r="B671" s="306" t="s">
        <v>433</v>
      </c>
      <c r="C671" s="310" t="s">
        <v>368</v>
      </c>
      <c r="D671" s="5" t="s">
        <v>1120</v>
      </c>
      <c r="E671" s="3">
        <v>10</v>
      </c>
      <c r="F671" s="3">
        <v>16</v>
      </c>
      <c r="G671" s="3">
        <f t="shared" si="68"/>
        <v>26</v>
      </c>
      <c r="H671" s="3"/>
      <c r="I671" s="3"/>
      <c r="J671" s="3">
        <v>28</v>
      </c>
      <c r="K671" s="3">
        <f t="shared" si="69"/>
        <v>54</v>
      </c>
      <c r="L671" s="7" t="str">
        <f t="shared" si="66"/>
        <v>C</v>
      </c>
      <c r="M671" s="7" t="str">
        <f t="shared" si="67"/>
        <v>Passed</v>
      </c>
      <c r="N671" s="7" t="s">
        <v>21</v>
      </c>
      <c r="O671" s="9">
        <f>COUNT(J668:J721)</f>
        <v>54</v>
      </c>
      <c r="P671" s="10"/>
    </row>
    <row r="672" spans="1:16" ht="15.6" x14ac:dyDescent="0.3">
      <c r="A672" s="3">
        <f t="shared" si="65"/>
        <v>5</v>
      </c>
      <c r="B672" s="306" t="s">
        <v>434</v>
      </c>
      <c r="C672" s="310" t="s">
        <v>606</v>
      </c>
      <c r="D672" s="5" t="s">
        <v>1098</v>
      </c>
      <c r="E672" s="3">
        <v>10</v>
      </c>
      <c r="F672" s="3">
        <v>21</v>
      </c>
      <c r="G672" s="3">
        <f t="shared" si="68"/>
        <v>31</v>
      </c>
      <c r="H672" s="3"/>
      <c r="I672" s="3"/>
      <c r="J672" s="3">
        <v>46</v>
      </c>
      <c r="K672" s="3">
        <f t="shared" si="69"/>
        <v>77</v>
      </c>
      <c r="L672" s="7" t="str">
        <f t="shared" si="66"/>
        <v>B+</v>
      </c>
      <c r="M672" s="7" t="str">
        <f t="shared" si="67"/>
        <v>Passed</v>
      </c>
      <c r="N672" s="7" t="s">
        <v>22</v>
      </c>
      <c r="O672" s="9">
        <f>O670-O671</f>
        <v>0</v>
      </c>
      <c r="P672" s="10"/>
    </row>
    <row r="673" spans="1:22" ht="15.6" x14ac:dyDescent="0.3">
      <c r="A673" s="3">
        <f t="shared" si="65"/>
        <v>6</v>
      </c>
      <c r="B673" s="306" t="s">
        <v>544</v>
      </c>
      <c r="C673" s="309" t="s">
        <v>369</v>
      </c>
      <c r="D673" s="5" t="s">
        <v>1101</v>
      </c>
      <c r="E673" s="3">
        <v>10</v>
      </c>
      <c r="F673" s="3">
        <v>26</v>
      </c>
      <c r="G673" s="3">
        <f t="shared" si="68"/>
        <v>36</v>
      </c>
      <c r="H673" s="3"/>
      <c r="I673" s="3"/>
      <c r="J673" s="5">
        <v>38</v>
      </c>
      <c r="K673" s="3">
        <f t="shared" si="69"/>
        <v>74</v>
      </c>
      <c r="L673" s="7" t="str">
        <f t="shared" si="66"/>
        <v>B+</v>
      </c>
      <c r="M673" s="7" t="str">
        <f t="shared" si="67"/>
        <v>Passed</v>
      </c>
      <c r="N673" s="7" t="s">
        <v>23</v>
      </c>
      <c r="O673" s="9">
        <f>COUNTIF(M668:M721,"Passed")</f>
        <v>39</v>
      </c>
      <c r="P673" s="10"/>
    </row>
    <row r="674" spans="1:22" ht="15.6" x14ac:dyDescent="0.3">
      <c r="A674" s="3">
        <f t="shared" si="65"/>
        <v>7</v>
      </c>
      <c r="B674" s="306" t="s">
        <v>562</v>
      </c>
      <c r="C674" s="309" t="s">
        <v>370</v>
      </c>
      <c r="D674" s="5" t="s">
        <v>1119</v>
      </c>
      <c r="E674" s="5">
        <v>10</v>
      </c>
      <c r="F674" s="5">
        <v>12</v>
      </c>
      <c r="G674" s="3">
        <f t="shared" si="68"/>
        <v>22</v>
      </c>
      <c r="H674" s="3"/>
      <c r="I674" s="3"/>
      <c r="J674" s="5">
        <v>6</v>
      </c>
      <c r="K674" s="3">
        <f t="shared" si="69"/>
        <v>28</v>
      </c>
      <c r="L674" s="7" t="str">
        <f t="shared" si="66"/>
        <v>F</v>
      </c>
      <c r="M674" s="7" t="str">
        <f t="shared" si="67"/>
        <v>Failed</v>
      </c>
      <c r="N674" s="7" t="s">
        <v>24</v>
      </c>
      <c r="O674" s="29">
        <f>O673/O671%</f>
        <v>72.222222222222214</v>
      </c>
      <c r="P674" s="10"/>
    </row>
    <row r="675" spans="1:22" ht="15.6" x14ac:dyDescent="0.3">
      <c r="A675" s="3">
        <f t="shared" si="65"/>
        <v>8</v>
      </c>
      <c r="B675" s="306" t="s">
        <v>435</v>
      </c>
      <c r="C675" s="310" t="s">
        <v>595</v>
      </c>
      <c r="D675" s="5" t="s">
        <v>1111</v>
      </c>
      <c r="E675" s="5">
        <v>10</v>
      </c>
      <c r="F675" s="5">
        <v>14</v>
      </c>
      <c r="G675" s="3">
        <f t="shared" si="68"/>
        <v>24</v>
      </c>
      <c r="H675" s="3"/>
      <c r="I675" s="3"/>
      <c r="J675" s="5">
        <v>38</v>
      </c>
      <c r="K675" s="3">
        <f t="shared" si="69"/>
        <v>62</v>
      </c>
      <c r="L675" s="7" t="str">
        <f t="shared" si="66"/>
        <v>B</v>
      </c>
      <c r="M675" s="7" t="str">
        <f t="shared" si="67"/>
        <v>Passed</v>
      </c>
      <c r="N675" s="10" t="s">
        <v>25</v>
      </c>
      <c r="O675" s="9">
        <f>COUNTIF(M668:M721,"failed")</f>
        <v>15</v>
      </c>
      <c r="P675" s="10"/>
    </row>
    <row r="676" spans="1:22" ht="15.6" x14ac:dyDescent="0.3">
      <c r="A676" s="3">
        <f t="shared" si="65"/>
        <v>9</v>
      </c>
      <c r="B676" s="306" t="s">
        <v>436</v>
      </c>
      <c r="C676" s="309" t="s">
        <v>371</v>
      </c>
      <c r="D676" s="5" t="s">
        <v>1114</v>
      </c>
      <c r="E676" s="5">
        <v>10</v>
      </c>
      <c r="F676" s="5">
        <v>22</v>
      </c>
      <c r="G676" s="3">
        <f t="shared" si="68"/>
        <v>32</v>
      </c>
      <c r="H676" s="3"/>
      <c r="I676" s="3"/>
      <c r="J676" s="5">
        <v>45</v>
      </c>
      <c r="K676" s="3">
        <f t="shared" si="69"/>
        <v>77</v>
      </c>
      <c r="L676" s="7" t="str">
        <f t="shared" si="66"/>
        <v>B+</v>
      </c>
      <c r="M676" s="7" t="str">
        <f t="shared" si="67"/>
        <v>Passed</v>
      </c>
      <c r="N676" s="10" t="s">
        <v>26</v>
      </c>
      <c r="O676" s="29">
        <f>O675/O671%</f>
        <v>27.777777777777775</v>
      </c>
      <c r="P676" s="10"/>
    </row>
    <row r="677" spans="1:22" ht="15.6" x14ac:dyDescent="0.3">
      <c r="A677" s="3">
        <f t="shared" si="65"/>
        <v>10</v>
      </c>
      <c r="B677" s="306" t="s">
        <v>437</v>
      </c>
      <c r="C677" s="310" t="s">
        <v>372</v>
      </c>
      <c r="D677" s="5" t="s">
        <v>1100</v>
      </c>
      <c r="E677" s="5">
        <v>10</v>
      </c>
      <c r="F677" s="5">
        <v>11</v>
      </c>
      <c r="G677" s="3">
        <f t="shared" si="68"/>
        <v>21</v>
      </c>
      <c r="H677" s="3"/>
      <c r="I677" s="3"/>
      <c r="J677" s="5">
        <v>4</v>
      </c>
      <c r="K677" s="3">
        <f t="shared" si="69"/>
        <v>25</v>
      </c>
      <c r="L677" s="7" t="str">
        <f t="shared" si="66"/>
        <v>F</v>
      </c>
      <c r="M677" s="7" t="str">
        <f t="shared" si="67"/>
        <v>Failed</v>
      </c>
      <c r="N677" s="10" t="s">
        <v>27</v>
      </c>
      <c r="O677" s="29">
        <f>AVERAGE(K668:K721)</f>
        <v>55.092592592592595</v>
      </c>
      <c r="P677" s="10"/>
    </row>
    <row r="678" spans="1:22" ht="15.6" x14ac:dyDescent="0.3">
      <c r="A678" s="3">
        <f t="shared" si="65"/>
        <v>11</v>
      </c>
      <c r="B678" s="306" t="s">
        <v>438</v>
      </c>
      <c r="C678" s="307" t="s">
        <v>373</v>
      </c>
      <c r="D678" s="5" t="s">
        <v>1139</v>
      </c>
      <c r="E678" s="5">
        <v>10</v>
      </c>
      <c r="F678" s="5">
        <v>26</v>
      </c>
      <c r="G678" s="3">
        <f t="shared" si="68"/>
        <v>36</v>
      </c>
      <c r="H678" s="3"/>
      <c r="I678" s="3"/>
      <c r="J678" s="5">
        <v>54</v>
      </c>
      <c r="K678" s="3">
        <f t="shared" si="69"/>
        <v>90</v>
      </c>
      <c r="L678" s="7" t="str">
        <f t="shared" si="66"/>
        <v>A</v>
      </c>
      <c r="M678" s="7" t="str">
        <f t="shared" si="67"/>
        <v>Passed</v>
      </c>
      <c r="N678" s="10"/>
      <c r="O678" s="9"/>
      <c r="P678" s="10"/>
    </row>
    <row r="679" spans="1:22" ht="15.6" x14ac:dyDescent="0.3">
      <c r="A679" s="3">
        <f t="shared" si="65"/>
        <v>12</v>
      </c>
      <c r="B679" s="306" t="s">
        <v>439</v>
      </c>
      <c r="C679" s="307" t="s">
        <v>565</v>
      </c>
      <c r="D679" s="5" t="s">
        <v>1128</v>
      </c>
      <c r="E679" s="5">
        <v>10</v>
      </c>
      <c r="F679" s="5">
        <v>21</v>
      </c>
      <c r="G679" s="3">
        <f t="shared" si="68"/>
        <v>31</v>
      </c>
      <c r="H679" s="3"/>
      <c r="I679" s="3"/>
      <c r="J679" s="5">
        <v>36</v>
      </c>
      <c r="K679" s="3">
        <f t="shared" si="69"/>
        <v>67</v>
      </c>
      <c r="L679" s="7" t="str">
        <f t="shared" si="66"/>
        <v>B</v>
      </c>
      <c r="M679" s="7" t="str">
        <f t="shared" si="67"/>
        <v>Passed</v>
      </c>
      <c r="N679" s="10"/>
      <c r="O679" s="9"/>
      <c r="P679" s="10"/>
    </row>
    <row r="680" spans="1:22" ht="15.6" x14ac:dyDescent="0.3">
      <c r="A680" s="3">
        <f t="shared" si="65"/>
        <v>13</v>
      </c>
      <c r="B680" s="306" t="s">
        <v>440</v>
      </c>
      <c r="C680" s="310" t="s">
        <v>374</v>
      </c>
      <c r="D680" s="5" t="s">
        <v>1112</v>
      </c>
      <c r="E680" s="5">
        <v>10</v>
      </c>
      <c r="F680" s="5">
        <v>25</v>
      </c>
      <c r="G680" s="3">
        <f t="shared" si="68"/>
        <v>35</v>
      </c>
      <c r="H680" s="3"/>
      <c r="I680" s="3"/>
      <c r="J680" s="5">
        <v>51</v>
      </c>
      <c r="K680" s="3">
        <f t="shared" si="69"/>
        <v>86</v>
      </c>
      <c r="L680" s="7" t="str">
        <f t="shared" si="66"/>
        <v>A</v>
      </c>
      <c r="M680" s="7" t="str">
        <f t="shared" si="67"/>
        <v>Passed</v>
      </c>
      <c r="N680" s="10"/>
      <c r="O680" s="9"/>
      <c r="P680" s="10"/>
    </row>
    <row r="681" spans="1:22" ht="15.6" x14ac:dyDescent="0.3">
      <c r="A681" s="3">
        <f t="shared" si="65"/>
        <v>14</v>
      </c>
      <c r="B681" s="306" t="s">
        <v>441</v>
      </c>
      <c r="C681" s="310" t="s">
        <v>375</v>
      </c>
      <c r="D681" s="5" t="s">
        <v>1148</v>
      </c>
      <c r="E681" s="5">
        <v>9</v>
      </c>
      <c r="F681" s="5">
        <v>23</v>
      </c>
      <c r="G681" s="3">
        <f t="shared" si="68"/>
        <v>32</v>
      </c>
      <c r="H681" s="3"/>
      <c r="I681" s="3"/>
      <c r="J681" s="5">
        <v>28</v>
      </c>
      <c r="K681" s="3">
        <f t="shared" si="69"/>
        <v>60</v>
      </c>
      <c r="L681" s="7" t="str">
        <f t="shared" si="66"/>
        <v>B</v>
      </c>
      <c r="M681" s="7" t="str">
        <f t="shared" si="67"/>
        <v>Passed</v>
      </c>
      <c r="N681" s="11"/>
      <c r="O681" s="9" t="s">
        <v>28</v>
      </c>
      <c r="P681" s="10" t="s">
        <v>29</v>
      </c>
      <c r="Q681" t="s">
        <v>30</v>
      </c>
      <c r="R681" t="s">
        <v>31</v>
      </c>
      <c r="S681" t="s">
        <v>32</v>
      </c>
      <c r="T681" t="s">
        <v>33</v>
      </c>
      <c r="U681" t="s">
        <v>34</v>
      </c>
      <c r="V681" t="s">
        <v>35</v>
      </c>
    </row>
    <row r="682" spans="1:22" ht="15.6" x14ac:dyDescent="0.3">
      <c r="A682" s="3">
        <f t="shared" si="65"/>
        <v>15</v>
      </c>
      <c r="B682" s="306" t="s">
        <v>442</v>
      </c>
      <c r="C682" s="310" t="s">
        <v>376</v>
      </c>
      <c r="D682" s="5" t="s">
        <v>1130</v>
      </c>
      <c r="E682" s="5">
        <v>10</v>
      </c>
      <c r="F682" s="5">
        <v>22</v>
      </c>
      <c r="G682" s="3">
        <f t="shared" si="68"/>
        <v>32</v>
      </c>
      <c r="H682" s="3"/>
      <c r="I682" s="3"/>
      <c r="J682" s="5">
        <v>28</v>
      </c>
      <c r="K682" s="3">
        <f t="shared" si="69"/>
        <v>60</v>
      </c>
      <c r="L682" s="7" t="str">
        <f t="shared" si="66"/>
        <v>B</v>
      </c>
      <c r="M682" s="7" t="str">
        <f t="shared" si="67"/>
        <v>Passed</v>
      </c>
      <c r="N682" s="10"/>
      <c r="O682" s="9">
        <f>COUNTIF(L668:L721,"A")</f>
        <v>3</v>
      </c>
      <c r="P682" s="10">
        <f>COUNTIF(L668:L721,"B+")</f>
        <v>9</v>
      </c>
      <c r="Q682">
        <f>COUNTIF(L668:L721,"B")</f>
        <v>12</v>
      </c>
      <c r="R682">
        <f>COUNTIF(L668:L721,"C+")</f>
        <v>8</v>
      </c>
      <c r="S682">
        <f>COUNTIF(L668:L721,"C")</f>
        <v>7</v>
      </c>
      <c r="T682">
        <f>COUNTIF(L668:L721,"D+")</f>
        <v>0</v>
      </c>
      <c r="U682">
        <f>COUNTIF(L668:L721,"D")</f>
        <v>1</v>
      </c>
      <c r="V682">
        <f>COUNTIF(L668:L721,"F")</f>
        <v>14</v>
      </c>
    </row>
    <row r="683" spans="1:22" ht="15.6" x14ac:dyDescent="0.3">
      <c r="A683" s="3">
        <f t="shared" si="65"/>
        <v>16</v>
      </c>
      <c r="B683" s="306" t="s">
        <v>443</v>
      </c>
      <c r="C683" s="307" t="s">
        <v>377</v>
      </c>
      <c r="D683" s="5" t="s">
        <v>1141</v>
      </c>
      <c r="E683" s="5">
        <v>9</v>
      </c>
      <c r="F683" s="5">
        <v>28</v>
      </c>
      <c r="G683" s="3">
        <f t="shared" si="68"/>
        <v>37</v>
      </c>
      <c r="H683" s="3"/>
      <c r="I683" s="3"/>
      <c r="J683" s="5">
        <v>53</v>
      </c>
      <c r="K683" s="3">
        <f t="shared" si="69"/>
        <v>90</v>
      </c>
      <c r="L683" s="7" t="str">
        <f t="shared" si="66"/>
        <v>A</v>
      </c>
      <c r="M683" s="7" t="str">
        <f t="shared" si="67"/>
        <v>Passed</v>
      </c>
      <c r="N683" s="10"/>
      <c r="O683" s="9"/>
      <c r="P683" s="10"/>
    </row>
    <row r="684" spans="1:22" ht="15.6" x14ac:dyDescent="0.3">
      <c r="A684" s="3">
        <f t="shared" si="65"/>
        <v>17</v>
      </c>
      <c r="B684" s="306" t="s">
        <v>444</v>
      </c>
      <c r="C684" s="310" t="s">
        <v>378</v>
      </c>
      <c r="D684" s="5" t="s">
        <v>1124</v>
      </c>
      <c r="E684" s="5">
        <v>10</v>
      </c>
      <c r="F684" s="5">
        <v>17</v>
      </c>
      <c r="G684" s="3">
        <f t="shared" si="68"/>
        <v>27</v>
      </c>
      <c r="H684" s="3"/>
      <c r="I684" s="3"/>
      <c r="J684" s="5">
        <v>32</v>
      </c>
      <c r="K684" s="3">
        <f t="shared" si="69"/>
        <v>59</v>
      </c>
      <c r="L684" s="7" t="str">
        <f t="shared" si="66"/>
        <v>C+</v>
      </c>
      <c r="M684" s="7" t="str">
        <f t="shared" si="67"/>
        <v>Passed</v>
      </c>
      <c r="N684" s="10"/>
      <c r="O684" s="9"/>
      <c r="P684" s="10"/>
    </row>
    <row r="685" spans="1:22" ht="15.6" x14ac:dyDescent="0.3">
      <c r="A685" s="3">
        <f t="shared" si="65"/>
        <v>18</v>
      </c>
      <c r="B685" s="306" t="s">
        <v>445</v>
      </c>
      <c r="C685" s="308" t="s">
        <v>379</v>
      </c>
      <c r="D685" s="5" t="s">
        <v>1150</v>
      </c>
      <c r="E685" s="5">
        <v>10</v>
      </c>
      <c r="F685" s="5">
        <v>23</v>
      </c>
      <c r="G685" s="3">
        <f t="shared" si="68"/>
        <v>33</v>
      </c>
      <c r="H685" s="3"/>
      <c r="I685" s="3"/>
      <c r="J685" s="5">
        <v>44</v>
      </c>
      <c r="K685" s="3">
        <f t="shared" si="69"/>
        <v>77</v>
      </c>
      <c r="L685" s="7" t="str">
        <f t="shared" si="66"/>
        <v>B+</v>
      </c>
      <c r="M685" s="7" t="str">
        <f t="shared" si="67"/>
        <v>Passed</v>
      </c>
      <c r="N685" s="10"/>
      <c r="O685" s="9"/>
      <c r="P685" s="10"/>
    </row>
    <row r="686" spans="1:22" ht="15.6" x14ac:dyDescent="0.3">
      <c r="A686" s="3">
        <f t="shared" si="65"/>
        <v>19</v>
      </c>
      <c r="B686" s="306" t="s">
        <v>446</v>
      </c>
      <c r="C686" s="310" t="s">
        <v>602</v>
      </c>
      <c r="D686" s="5" t="s">
        <v>1105</v>
      </c>
      <c r="E686" s="5">
        <v>10</v>
      </c>
      <c r="F686" s="5">
        <v>12</v>
      </c>
      <c r="G686" s="3">
        <f t="shared" si="68"/>
        <v>22</v>
      </c>
      <c r="H686" s="3"/>
      <c r="I686" s="3"/>
      <c r="J686" s="5">
        <v>7</v>
      </c>
      <c r="K686" s="3">
        <f t="shared" si="69"/>
        <v>29</v>
      </c>
      <c r="L686" s="7" t="str">
        <f t="shared" si="66"/>
        <v>F</v>
      </c>
      <c r="M686" s="7" t="str">
        <f t="shared" si="67"/>
        <v>Failed</v>
      </c>
      <c r="N686" s="10"/>
      <c r="O686" s="9"/>
      <c r="P686" s="10"/>
    </row>
    <row r="687" spans="1:22" ht="15.6" x14ac:dyDescent="0.3">
      <c r="A687" s="3">
        <f t="shared" si="65"/>
        <v>20</v>
      </c>
      <c r="B687" s="306" t="s">
        <v>448</v>
      </c>
      <c r="C687" s="308" t="s">
        <v>380</v>
      </c>
      <c r="D687" s="5" t="s">
        <v>1103</v>
      </c>
      <c r="E687" s="5">
        <v>10</v>
      </c>
      <c r="F687" s="5">
        <v>13</v>
      </c>
      <c r="G687" s="3">
        <f t="shared" si="68"/>
        <v>23</v>
      </c>
      <c r="H687" s="3"/>
      <c r="I687" s="3"/>
      <c r="J687" s="5">
        <v>34</v>
      </c>
      <c r="K687" s="3">
        <f t="shared" si="69"/>
        <v>57</v>
      </c>
      <c r="L687" s="7" t="str">
        <f t="shared" si="66"/>
        <v>C+</v>
      </c>
      <c r="M687" s="7" t="str">
        <f t="shared" si="67"/>
        <v>Passed</v>
      </c>
      <c r="N687" s="10"/>
      <c r="O687" s="9"/>
      <c r="P687" s="10"/>
    </row>
    <row r="688" spans="1:22" ht="15.6" x14ac:dyDescent="0.3">
      <c r="A688" s="3">
        <f t="shared" si="65"/>
        <v>21</v>
      </c>
      <c r="B688" s="306" t="s">
        <v>447</v>
      </c>
      <c r="C688" s="310" t="s">
        <v>381</v>
      </c>
      <c r="D688" s="5" t="s">
        <v>1110</v>
      </c>
      <c r="E688" s="5">
        <v>10</v>
      </c>
      <c r="F688" s="5">
        <v>18</v>
      </c>
      <c r="G688" s="3">
        <f t="shared" si="68"/>
        <v>28</v>
      </c>
      <c r="H688" s="3"/>
      <c r="I688" s="3"/>
      <c r="J688" s="5">
        <v>37</v>
      </c>
      <c r="K688" s="3">
        <f t="shared" si="69"/>
        <v>65</v>
      </c>
      <c r="L688" s="7" t="str">
        <f t="shared" si="66"/>
        <v>B</v>
      </c>
      <c r="M688" s="7" t="str">
        <f t="shared" si="67"/>
        <v>Passed</v>
      </c>
      <c r="N688" s="10"/>
      <c r="O688" s="9"/>
      <c r="P688" s="10"/>
    </row>
    <row r="689" spans="1:16" ht="15.6" x14ac:dyDescent="0.3">
      <c r="A689" s="3">
        <f t="shared" si="65"/>
        <v>22</v>
      </c>
      <c r="B689" s="313" t="s">
        <v>570</v>
      </c>
      <c r="C689" s="309" t="s">
        <v>382</v>
      </c>
      <c r="D689" s="5" t="s">
        <v>1122</v>
      </c>
      <c r="E689" s="5">
        <v>9</v>
      </c>
      <c r="F689" s="5">
        <v>17</v>
      </c>
      <c r="G689" s="3">
        <f t="shared" si="68"/>
        <v>26</v>
      </c>
      <c r="H689" s="3"/>
      <c r="I689" s="3"/>
      <c r="J689" s="5">
        <v>33</v>
      </c>
      <c r="K689" s="3">
        <f t="shared" si="69"/>
        <v>59</v>
      </c>
      <c r="L689" s="7" t="str">
        <f t="shared" si="66"/>
        <v>C+</v>
      </c>
      <c r="M689" s="7" t="str">
        <f t="shared" si="67"/>
        <v>Passed</v>
      </c>
      <c r="N689" s="10"/>
      <c r="O689" s="9"/>
      <c r="P689" s="10"/>
    </row>
    <row r="690" spans="1:16" ht="15.6" x14ac:dyDescent="0.3">
      <c r="A690" s="3">
        <f t="shared" si="65"/>
        <v>23</v>
      </c>
      <c r="B690" s="306" t="s">
        <v>449</v>
      </c>
      <c r="C690" s="309" t="s">
        <v>383</v>
      </c>
      <c r="D690" s="5" t="s">
        <v>1144</v>
      </c>
      <c r="E690" s="5">
        <v>8</v>
      </c>
      <c r="F690" s="5">
        <v>22</v>
      </c>
      <c r="G690" s="3">
        <f t="shared" si="68"/>
        <v>30</v>
      </c>
      <c r="H690" s="3"/>
      <c r="I690" s="3"/>
      <c r="J690" s="5">
        <v>8</v>
      </c>
      <c r="K690" s="3">
        <f t="shared" si="69"/>
        <v>38</v>
      </c>
      <c r="L690" s="7" t="str">
        <f t="shared" si="66"/>
        <v>F</v>
      </c>
      <c r="M690" s="7" t="str">
        <f t="shared" si="67"/>
        <v>Failed</v>
      </c>
      <c r="N690" s="10"/>
      <c r="O690" s="9"/>
      <c r="P690" s="10"/>
    </row>
    <row r="691" spans="1:16" ht="15.6" x14ac:dyDescent="0.3">
      <c r="A691" s="3">
        <f t="shared" si="65"/>
        <v>24</v>
      </c>
      <c r="B691" s="306" t="s">
        <v>450</v>
      </c>
      <c r="C691" s="309" t="s">
        <v>384</v>
      </c>
      <c r="D691" s="5" t="s">
        <v>1146</v>
      </c>
      <c r="E691" s="5">
        <v>9</v>
      </c>
      <c r="F691" s="5">
        <v>12</v>
      </c>
      <c r="G691" s="3">
        <f t="shared" si="68"/>
        <v>21</v>
      </c>
      <c r="H691" s="3"/>
      <c r="I691" s="3"/>
      <c r="J691" s="5">
        <v>8</v>
      </c>
      <c r="K691" s="3">
        <f t="shared" si="69"/>
        <v>29</v>
      </c>
      <c r="L691" s="7" t="str">
        <f t="shared" si="66"/>
        <v>F</v>
      </c>
      <c r="M691" s="7" t="str">
        <f t="shared" si="67"/>
        <v>Failed</v>
      </c>
      <c r="N691" s="10"/>
      <c r="O691" s="9"/>
      <c r="P691" s="10"/>
    </row>
    <row r="692" spans="1:16" ht="15.6" x14ac:dyDescent="0.3">
      <c r="A692" s="3">
        <f t="shared" si="65"/>
        <v>25</v>
      </c>
      <c r="B692" s="306" t="s">
        <v>451</v>
      </c>
      <c r="C692" s="310" t="s">
        <v>385</v>
      </c>
      <c r="D692" s="5" t="s">
        <v>1104</v>
      </c>
      <c r="E692" s="5">
        <v>10</v>
      </c>
      <c r="F692" s="5">
        <v>18</v>
      </c>
      <c r="G692" s="3">
        <f t="shared" si="68"/>
        <v>28</v>
      </c>
      <c r="H692" s="3"/>
      <c r="I692" s="3"/>
      <c r="J692" s="5">
        <v>28</v>
      </c>
      <c r="K692" s="3">
        <f t="shared" si="69"/>
        <v>56</v>
      </c>
      <c r="L692" s="7" t="str">
        <f t="shared" si="66"/>
        <v>C+</v>
      </c>
      <c r="M692" s="7" t="str">
        <f t="shared" si="67"/>
        <v>Passed</v>
      </c>
      <c r="N692" s="10"/>
      <c r="O692" s="9"/>
      <c r="P692" s="10"/>
    </row>
    <row r="693" spans="1:16" ht="15.6" x14ac:dyDescent="0.3">
      <c r="A693" s="3">
        <f t="shared" si="65"/>
        <v>26</v>
      </c>
      <c r="B693" s="306" t="s">
        <v>452</v>
      </c>
      <c r="C693" s="310" t="s">
        <v>386</v>
      </c>
      <c r="D693" s="5" t="s">
        <v>1121</v>
      </c>
      <c r="E693" s="5">
        <v>10</v>
      </c>
      <c r="F693" s="5">
        <v>18</v>
      </c>
      <c r="G693" s="3">
        <f t="shared" si="68"/>
        <v>28</v>
      </c>
      <c r="H693" s="3"/>
      <c r="I693" s="3"/>
      <c r="J693" s="5">
        <v>27</v>
      </c>
      <c r="K693" s="3">
        <f t="shared" si="69"/>
        <v>55</v>
      </c>
      <c r="L693" s="7" t="str">
        <f t="shared" si="66"/>
        <v>C+</v>
      </c>
      <c r="M693" s="7" t="str">
        <f t="shared" si="67"/>
        <v>Passed</v>
      </c>
      <c r="N693" s="10"/>
      <c r="O693" s="9"/>
      <c r="P693" s="10"/>
    </row>
    <row r="694" spans="1:16" ht="15.6" x14ac:dyDescent="0.3">
      <c r="A694" s="3">
        <f t="shared" si="65"/>
        <v>27</v>
      </c>
      <c r="B694" s="306" t="s">
        <v>453</v>
      </c>
      <c r="C694" s="309" t="s">
        <v>387</v>
      </c>
      <c r="D694" s="5" t="s">
        <v>1140</v>
      </c>
      <c r="E694" s="5">
        <v>10</v>
      </c>
      <c r="F694" s="5">
        <v>24</v>
      </c>
      <c r="G694" s="3">
        <f t="shared" si="68"/>
        <v>34</v>
      </c>
      <c r="H694" s="3"/>
      <c r="I694" s="3"/>
      <c r="J694" s="5">
        <v>45</v>
      </c>
      <c r="K694" s="3">
        <f t="shared" si="69"/>
        <v>79</v>
      </c>
      <c r="L694" s="7" t="str">
        <f t="shared" si="66"/>
        <v>B+</v>
      </c>
      <c r="M694" s="7" t="str">
        <f t="shared" si="67"/>
        <v>Passed</v>
      </c>
      <c r="N694" s="10"/>
      <c r="O694" s="9"/>
      <c r="P694" s="10"/>
    </row>
    <row r="695" spans="1:16" ht="15.6" x14ac:dyDescent="0.3">
      <c r="A695" s="3">
        <f t="shared" si="65"/>
        <v>28</v>
      </c>
      <c r="B695" s="388">
        <v>400123</v>
      </c>
      <c r="C695" s="310" t="s">
        <v>388</v>
      </c>
      <c r="D695" s="5" t="s">
        <v>1106</v>
      </c>
      <c r="E695" s="5">
        <v>9</v>
      </c>
      <c r="F695" s="5">
        <v>15</v>
      </c>
      <c r="G695" s="3">
        <f t="shared" si="68"/>
        <v>24</v>
      </c>
      <c r="H695" s="3"/>
      <c r="I695" s="3"/>
      <c r="J695" s="5">
        <v>39</v>
      </c>
      <c r="K695" s="3">
        <f t="shared" si="69"/>
        <v>63</v>
      </c>
      <c r="L695" s="7" t="str">
        <f t="shared" si="66"/>
        <v>B</v>
      </c>
      <c r="M695" s="7" t="str">
        <f t="shared" si="67"/>
        <v>Passed</v>
      </c>
      <c r="N695" s="10"/>
      <c r="O695" s="9"/>
      <c r="P695" s="10"/>
    </row>
    <row r="696" spans="1:16" ht="15.6" x14ac:dyDescent="0.3">
      <c r="A696" s="3">
        <f t="shared" si="65"/>
        <v>29</v>
      </c>
      <c r="B696" s="306" t="s">
        <v>454</v>
      </c>
      <c r="C696" s="309" t="s">
        <v>771</v>
      </c>
      <c r="D696" s="5" t="s">
        <v>1126</v>
      </c>
      <c r="E696" s="5">
        <v>10</v>
      </c>
      <c r="F696" s="5">
        <v>15</v>
      </c>
      <c r="G696" s="3">
        <f t="shared" si="68"/>
        <v>25</v>
      </c>
      <c r="H696" s="3"/>
      <c r="I696" s="3"/>
      <c r="J696" s="5">
        <v>11</v>
      </c>
      <c r="K696" s="3">
        <f t="shared" si="69"/>
        <v>36</v>
      </c>
      <c r="L696" s="7" t="str">
        <f t="shared" ref="L696" si="70">IF(K696&gt;=80,"A",IF(K696&gt;=70,"B+",IF(K696&gt;=60,"B",IF(K696&gt;=55,"C+",IF(K696&gt;=50,"C",IF(K696&gt;=45,"D+",IF(K696&gt;=40,"D","F")))))))</f>
        <v>F</v>
      </c>
      <c r="M696" s="7" t="str">
        <f t="shared" ref="M696" si="71">IF(K696&gt;=50,"Passed","Failed")</f>
        <v>Failed</v>
      </c>
      <c r="N696" s="10"/>
      <c r="O696" s="9"/>
      <c r="P696" s="10"/>
    </row>
    <row r="697" spans="1:16" ht="15.6" x14ac:dyDescent="0.3">
      <c r="A697" s="3">
        <f t="shared" si="65"/>
        <v>30</v>
      </c>
      <c r="B697" s="306" t="s">
        <v>455</v>
      </c>
      <c r="C697" s="307" t="s">
        <v>389</v>
      </c>
      <c r="D697" s="5" t="s">
        <v>1113</v>
      </c>
      <c r="E697" s="5">
        <v>9</v>
      </c>
      <c r="F697" s="5">
        <v>15</v>
      </c>
      <c r="G697" s="3">
        <f t="shared" si="68"/>
        <v>24</v>
      </c>
      <c r="H697" s="3"/>
      <c r="I697" s="3"/>
      <c r="J697" s="5">
        <v>33</v>
      </c>
      <c r="K697" s="3">
        <f t="shared" si="69"/>
        <v>57</v>
      </c>
      <c r="L697" s="7" t="str">
        <f t="shared" si="66"/>
        <v>C+</v>
      </c>
      <c r="M697" s="7" t="str">
        <f t="shared" si="67"/>
        <v>Passed</v>
      </c>
      <c r="N697" s="10"/>
      <c r="O697" s="9"/>
      <c r="P697" s="10"/>
    </row>
    <row r="698" spans="1:16" ht="15.6" x14ac:dyDescent="0.3">
      <c r="A698" s="3">
        <f t="shared" si="65"/>
        <v>31</v>
      </c>
      <c r="B698" s="306" t="s">
        <v>456</v>
      </c>
      <c r="C698" s="310" t="s">
        <v>535</v>
      </c>
      <c r="D698" s="5" t="s">
        <v>1149</v>
      </c>
      <c r="E698" s="5">
        <v>10</v>
      </c>
      <c r="F698" s="5">
        <v>21</v>
      </c>
      <c r="G698" s="3">
        <f t="shared" si="68"/>
        <v>31</v>
      </c>
      <c r="H698" s="3"/>
      <c r="I698" s="3"/>
      <c r="J698" s="5">
        <v>29</v>
      </c>
      <c r="K698" s="3">
        <f t="shared" si="69"/>
        <v>60</v>
      </c>
      <c r="L698" s="7" t="str">
        <f t="shared" si="66"/>
        <v>B</v>
      </c>
      <c r="M698" s="7" t="str">
        <f t="shared" si="67"/>
        <v>Passed</v>
      </c>
      <c r="N698" s="10"/>
      <c r="O698" s="9"/>
      <c r="P698" s="10"/>
    </row>
    <row r="699" spans="1:16" ht="15.6" x14ac:dyDescent="0.3">
      <c r="A699" s="3">
        <f t="shared" si="65"/>
        <v>32</v>
      </c>
      <c r="B699" s="306" t="s">
        <v>457</v>
      </c>
      <c r="C699" s="307" t="s">
        <v>390</v>
      </c>
      <c r="D699" s="5" t="s">
        <v>1115</v>
      </c>
      <c r="E699" s="5">
        <v>10</v>
      </c>
      <c r="F699" s="5">
        <v>15</v>
      </c>
      <c r="G699" s="3">
        <f t="shared" si="68"/>
        <v>25</v>
      </c>
      <c r="H699" s="3"/>
      <c r="I699" s="3"/>
      <c r="J699" s="5">
        <v>4</v>
      </c>
      <c r="K699" s="3">
        <f t="shared" si="69"/>
        <v>29</v>
      </c>
      <c r="L699" s="7" t="str">
        <f t="shared" si="66"/>
        <v>F</v>
      </c>
      <c r="M699" s="7" t="str">
        <f t="shared" si="67"/>
        <v>Failed</v>
      </c>
      <c r="N699" s="10"/>
      <c r="O699" s="9"/>
      <c r="P699" s="10"/>
    </row>
    <row r="700" spans="1:16" ht="15.6" x14ac:dyDescent="0.3">
      <c r="A700" s="3">
        <f t="shared" ref="A700:A723" si="72">ROW(A33)</f>
        <v>33</v>
      </c>
      <c r="B700" s="306" t="s">
        <v>458</v>
      </c>
      <c r="C700" s="307" t="s">
        <v>391</v>
      </c>
      <c r="D700" s="5" t="s">
        <v>1109</v>
      </c>
      <c r="E700" s="5">
        <v>9</v>
      </c>
      <c r="F700" s="5">
        <v>11</v>
      </c>
      <c r="G700" s="3">
        <f t="shared" si="68"/>
        <v>20</v>
      </c>
      <c r="H700" s="3"/>
      <c r="I700" s="3"/>
      <c r="J700" s="5">
        <v>30</v>
      </c>
      <c r="K700" s="3">
        <f t="shared" si="69"/>
        <v>50</v>
      </c>
      <c r="L700" s="7" t="str">
        <f t="shared" si="66"/>
        <v>C</v>
      </c>
      <c r="M700" s="7" t="str">
        <f t="shared" si="67"/>
        <v>Passed</v>
      </c>
      <c r="N700" s="10"/>
      <c r="O700" s="9"/>
      <c r="P700" s="10"/>
    </row>
    <row r="701" spans="1:16" ht="15.6" x14ac:dyDescent="0.3">
      <c r="A701" s="3">
        <f t="shared" si="72"/>
        <v>34</v>
      </c>
      <c r="B701" s="306" t="s">
        <v>459</v>
      </c>
      <c r="C701" s="309" t="s">
        <v>557</v>
      </c>
      <c r="D701" s="5" t="s">
        <v>1117</v>
      </c>
      <c r="E701" s="5">
        <v>10</v>
      </c>
      <c r="F701" s="5">
        <v>12</v>
      </c>
      <c r="G701" s="3">
        <f t="shared" si="68"/>
        <v>22</v>
      </c>
      <c r="H701" s="3"/>
      <c r="I701" s="3"/>
      <c r="J701" s="5">
        <v>5</v>
      </c>
      <c r="K701" s="3">
        <f t="shared" si="69"/>
        <v>27</v>
      </c>
      <c r="L701" s="7" t="str">
        <f t="shared" si="66"/>
        <v>F</v>
      </c>
      <c r="M701" s="7" t="str">
        <f t="shared" si="67"/>
        <v>Failed</v>
      </c>
      <c r="N701" s="10"/>
      <c r="O701" s="9"/>
      <c r="P701" s="10"/>
    </row>
    <row r="702" spans="1:16" ht="15.6" x14ac:dyDescent="0.3">
      <c r="A702" s="3">
        <f t="shared" si="72"/>
        <v>35</v>
      </c>
      <c r="B702" s="306" t="s">
        <v>460</v>
      </c>
      <c r="C702" s="309" t="s">
        <v>392</v>
      </c>
      <c r="D702" s="5" t="s">
        <v>1138</v>
      </c>
      <c r="E702" s="5">
        <v>10</v>
      </c>
      <c r="F702" s="5">
        <v>15</v>
      </c>
      <c r="G702" s="3">
        <f t="shared" si="68"/>
        <v>25</v>
      </c>
      <c r="H702" s="3"/>
      <c r="I702" s="3"/>
      <c r="J702" s="5">
        <v>28</v>
      </c>
      <c r="K702" s="3">
        <f t="shared" si="69"/>
        <v>53</v>
      </c>
      <c r="L702" s="7" t="str">
        <f t="shared" si="66"/>
        <v>C</v>
      </c>
      <c r="M702" s="7" t="str">
        <f t="shared" si="67"/>
        <v>Passed</v>
      </c>
      <c r="N702" s="10"/>
      <c r="O702" s="9"/>
      <c r="P702" s="10"/>
    </row>
    <row r="703" spans="1:16" ht="15.6" x14ac:dyDescent="0.3">
      <c r="A703" s="3">
        <f t="shared" si="72"/>
        <v>36</v>
      </c>
      <c r="B703" s="306" t="s">
        <v>461</v>
      </c>
      <c r="C703" s="309" t="s">
        <v>393</v>
      </c>
      <c r="D703" s="5" t="s">
        <v>1108</v>
      </c>
      <c r="E703" s="5">
        <v>10</v>
      </c>
      <c r="F703" s="5">
        <v>18</v>
      </c>
      <c r="G703" s="3">
        <f t="shared" si="68"/>
        <v>28</v>
      </c>
      <c r="H703" s="3"/>
      <c r="I703" s="3"/>
      <c r="J703" s="5">
        <v>15</v>
      </c>
      <c r="K703" s="3">
        <f t="shared" si="69"/>
        <v>43</v>
      </c>
      <c r="L703" s="7" t="str">
        <f t="shared" si="66"/>
        <v>D</v>
      </c>
      <c r="M703" s="7" t="str">
        <f t="shared" si="67"/>
        <v>Failed</v>
      </c>
      <c r="N703" s="10"/>
      <c r="O703" s="9"/>
      <c r="P703" s="10"/>
    </row>
    <row r="704" spans="1:16" ht="15.6" x14ac:dyDescent="0.3">
      <c r="A704" s="3">
        <f t="shared" si="72"/>
        <v>37</v>
      </c>
      <c r="B704" s="306" t="s">
        <v>462</v>
      </c>
      <c r="C704" s="309" t="s">
        <v>394</v>
      </c>
      <c r="D704" s="5" t="s">
        <v>1133</v>
      </c>
      <c r="E704" s="5">
        <v>10</v>
      </c>
      <c r="F704" s="5">
        <v>14</v>
      </c>
      <c r="G704" s="3">
        <f t="shared" si="68"/>
        <v>24</v>
      </c>
      <c r="H704" s="3"/>
      <c r="I704" s="3"/>
      <c r="J704" s="5">
        <v>29</v>
      </c>
      <c r="K704" s="3">
        <f t="shared" si="69"/>
        <v>53</v>
      </c>
      <c r="L704" s="7" t="str">
        <f t="shared" si="66"/>
        <v>C</v>
      </c>
      <c r="M704" s="7" t="str">
        <f t="shared" si="67"/>
        <v>Passed</v>
      </c>
      <c r="N704" s="10"/>
      <c r="O704" s="9"/>
      <c r="P704" s="10"/>
    </row>
    <row r="705" spans="1:16" ht="15.6" x14ac:dyDescent="0.3">
      <c r="A705" s="3">
        <f t="shared" si="72"/>
        <v>38</v>
      </c>
      <c r="B705" s="306" t="s">
        <v>463</v>
      </c>
      <c r="C705" s="309" t="s">
        <v>395</v>
      </c>
      <c r="D705" s="5" t="s">
        <v>1123</v>
      </c>
      <c r="E705" s="5">
        <v>8</v>
      </c>
      <c r="F705" s="5">
        <v>19</v>
      </c>
      <c r="G705" s="3">
        <f t="shared" si="68"/>
        <v>27</v>
      </c>
      <c r="H705" s="3"/>
      <c r="I705" s="3"/>
      <c r="J705" s="5">
        <v>8</v>
      </c>
      <c r="K705" s="3">
        <f t="shared" si="69"/>
        <v>35</v>
      </c>
      <c r="L705" s="7" t="str">
        <f t="shared" si="66"/>
        <v>F</v>
      </c>
      <c r="M705" s="7" t="str">
        <f t="shared" si="67"/>
        <v>Failed</v>
      </c>
      <c r="N705" s="10"/>
      <c r="O705" s="9"/>
      <c r="P705" s="10"/>
    </row>
    <row r="706" spans="1:16" ht="15.6" x14ac:dyDescent="0.3">
      <c r="A706" s="3">
        <f t="shared" si="72"/>
        <v>39</v>
      </c>
      <c r="B706" s="306" t="s">
        <v>464</v>
      </c>
      <c r="C706" s="309" t="s">
        <v>396</v>
      </c>
      <c r="D706" s="5" t="s">
        <v>1132</v>
      </c>
      <c r="E706" s="5">
        <v>10</v>
      </c>
      <c r="F706" s="5">
        <v>20</v>
      </c>
      <c r="G706" s="3">
        <f t="shared" si="68"/>
        <v>30</v>
      </c>
      <c r="H706" s="3"/>
      <c r="I706" s="3"/>
      <c r="J706" s="5">
        <v>28</v>
      </c>
      <c r="K706" s="3">
        <f t="shared" si="69"/>
        <v>58</v>
      </c>
      <c r="L706" s="7" t="str">
        <f t="shared" si="66"/>
        <v>C+</v>
      </c>
      <c r="M706" s="7" t="str">
        <f t="shared" si="67"/>
        <v>Passed</v>
      </c>
      <c r="N706" s="10"/>
      <c r="O706" s="9"/>
      <c r="P706" s="10"/>
    </row>
    <row r="707" spans="1:16" ht="15.6" x14ac:dyDescent="0.3">
      <c r="A707" s="3">
        <f t="shared" si="72"/>
        <v>40</v>
      </c>
      <c r="B707" s="306" t="s">
        <v>465</v>
      </c>
      <c r="C707" s="309" t="s">
        <v>397</v>
      </c>
      <c r="D707" s="5" t="s">
        <v>1118</v>
      </c>
      <c r="E707" s="5">
        <v>10</v>
      </c>
      <c r="F707" s="5">
        <v>27</v>
      </c>
      <c r="G707" s="3">
        <f t="shared" si="68"/>
        <v>37</v>
      </c>
      <c r="H707" s="3"/>
      <c r="I707" s="3"/>
      <c r="J707" s="5">
        <v>33</v>
      </c>
      <c r="K707" s="3">
        <f t="shared" si="69"/>
        <v>70</v>
      </c>
      <c r="L707" s="7" t="str">
        <f t="shared" si="66"/>
        <v>B+</v>
      </c>
      <c r="M707" s="7" t="str">
        <f t="shared" si="67"/>
        <v>Passed</v>
      </c>
      <c r="N707" s="10"/>
      <c r="O707" s="9"/>
      <c r="P707" s="10"/>
    </row>
    <row r="708" spans="1:16" ht="15.6" x14ac:dyDescent="0.3">
      <c r="A708" s="3">
        <f t="shared" si="72"/>
        <v>41</v>
      </c>
      <c r="B708" s="306" t="s">
        <v>466</v>
      </c>
      <c r="C708" s="307" t="s">
        <v>398</v>
      </c>
      <c r="D708" s="5" t="s">
        <v>1142</v>
      </c>
      <c r="E708" s="5">
        <v>9</v>
      </c>
      <c r="F708" s="5">
        <v>16</v>
      </c>
      <c r="G708" s="3">
        <f t="shared" si="68"/>
        <v>25</v>
      </c>
      <c r="H708" s="3"/>
      <c r="I708" s="3"/>
      <c r="J708" s="5">
        <v>7</v>
      </c>
      <c r="K708" s="3">
        <f t="shared" si="69"/>
        <v>32</v>
      </c>
      <c r="L708" s="7" t="str">
        <f t="shared" si="66"/>
        <v>F</v>
      </c>
      <c r="M708" s="7" t="str">
        <f t="shared" si="67"/>
        <v>Failed</v>
      </c>
      <c r="N708" s="10"/>
      <c r="O708" s="9"/>
      <c r="P708" s="10"/>
    </row>
    <row r="709" spans="1:16" ht="15.6" x14ac:dyDescent="0.3">
      <c r="A709" s="3">
        <f t="shared" si="72"/>
        <v>42</v>
      </c>
      <c r="B709" s="306" t="s">
        <v>467</v>
      </c>
      <c r="C709" s="307" t="s">
        <v>399</v>
      </c>
      <c r="D709" s="5" t="s">
        <v>1134</v>
      </c>
      <c r="E709" s="5">
        <v>10</v>
      </c>
      <c r="F709" s="5">
        <v>24</v>
      </c>
      <c r="G709" s="3">
        <f t="shared" si="68"/>
        <v>34</v>
      </c>
      <c r="H709" s="3"/>
      <c r="I709" s="3"/>
      <c r="J709" s="5">
        <v>41</v>
      </c>
      <c r="K709" s="3">
        <f t="shared" si="69"/>
        <v>75</v>
      </c>
      <c r="L709" s="7" t="str">
        <f t="shared" si="66"/>
        <v>B+</v>
      </c>
      <c r="M709" s="7" t="str">
        <f t="shared" si="67"/>
        <v>Passed</v>
      </c>
      <c r="N709" s="10"/>
      <c r="O709" s="9"/>
      <c r="P709" s="10"/>
    </row>
    <row r="710" spans="1:16" ht="15.6" x14ac:dyDescent="0.3">
      <c r="A710" s="3">
        <f t="shared" si="72"/>
        <v>43</v>
      </c>
      <c r="B710" s="306" t="s">
        <v>468</v>
      </c>
      <c r="C710" s="383" t="s">
        <v>552</v>
      </c>
      <c r="D710" s="5" t="s">
        <v>1116</v>
      </c>
      <c r="E710" s="5">
        <v>10</v>
      </c>
      <c r="F710" s="5">
        <v>13</v>
      </c>
      <c r="G710" s="3">
        <f t="shared" si="68"/>
        <v>23</v>
      </c>
      <c r="H710" s="3"/>
      <c r="I710" s="3"/>
      <c r="J710" s="5">
        <v>28</v>
      </c>
      <c r="K710" s="3">
        <f t="shared" si="69"/>
        <v>51</v>
      </c>
      <c r="L710" s="7" t="str">
        <f t="shared" si="66"/>
        <v>C</v>
      </c>
      <c r="M710" s="7" t="str">
        <f t="shared" si="67"/>
        <v>Passed</v>
      </c>
      <c r="N710" s="10"/>
      <c r="O710" s="9"/>
      <c r="P710" s="10"/>
    </row>
    <row r="711" spans="1:16" ht="15.6" x14ac:dyDescent="0.3">
      <c r="A711" s="3">
        <f t="shared" si="72"/>
        <v>44</v>
      </c>
      <c r="B711" s="306" t="s">
        <v>469</v>
      </c>
      <c r="C711" s="308" t="s">
        <v>400</v>
      </c>
      <c r="D711" s="5" t="s">
        <v>1107</v>
      </c>
      <c r="E711" s="5">
        <v>8</v>
      </c>
      <c r="F711" s="5">
        <v>23</v>
      </c>
      <c r="G711" s="3">
        <f t="shared" si="68"/>
        <v>31</v>
      </c>
      <c r="H711" s="3"/>
      <c r="I711" s="3"/>
      <c r="J711" s="5">
        <v>29</v>
      </c>
      <c r="K711" s="3">
        <f t="shared" si="69"/>
        <v>60</v>
      </c>
      <c r="L711" s="7" t="str">
        <f t="shared" si="66"/>
        <v>B</v>
      </c>
      <c r="M711" s="7" t="str">
        <f t="shared" si="67"/>
        <v>Passed</v>
      </c>
      <c r="N711" s="10"/>
      <c r="O711" s="9"/>
      <c r="P711" s="10"/>
    </row>
    <row r="712" spans="1:16" ht="15.6" x14ac:dyDescent="0.3">
      <c r="A712" s="3">
        <f t="shared" si="72"/>
        <v>45</v>
      </c>
      <c r="B712" s="306" t="s">
        <v>470</v>
      </c>
      <c r="C712" s="307" t="s">
        <v>401</v>
      </c>
      <c r="D712" s="5" t="s">
        <v>1099</v>
      </c>
      <c r="E712" s="5">
        <v>10</v>
      </c>
      <c r="F712" s="5">
        <v>18</v>
      </c>
      <c r="G712" s="3">
        <f t="shared" si="68"/>
        <v>28</v>
      </c>
      <c r="H712" s="3"/>
      <c r="I712" s="3"/>
      <c r="J712" s="5">
        <v>25</v>
      </c>
      <c r="K712" s="3">
        <f t="shared" si="69"/>
        <v>53</v>
      </c>
      <c r="L712" s="7" t="str">
        <f t="shared" ref="L712" si="73">IF(K712&gt;=80,"A",IF(K712&gt;=70,"B+",IF(K712&gt;=60,"B",IF(K712&gt;=55,"C+",IF(K712&gt;=50,"C",IF(K712&gt;=45,"D+",IF(K712&gt;=40,"D","F")))))))</f>
        <v>C</v>
      </c>
      <c r="M712" s="7" t="str">
        <f t="shared" ref="M712" si="74">IF(K712&gt;=50,"Passed","Failed")</f>
        <v>Passed</v>
      </c>
      <c r="N712" s="10"/>
      <c r="O712" s="9"/>
      <c r="P712" s="10"/>
    </row>
    <row r="713" spans="1:16" ht="15.6" x14ac:dyDescent="0.3">
      <c r="A713" s="3">
        <f t="shared" si="72"/>
        <v>46</v>
      </c>
      <c r="B713" s="306" t="s">
        <v>471</v>
      </c>
      <c r="C713" s="307" t="s">
        <v>402</v>
      </c>
      <c r="D713" s="5" t="s">
        <v>1147</v>
      </c>
      <c r="E713" s="5">
        <v>9</v>
      </c>
      <c r="F713" s="5">
        <v>11</v>
      </c>
      <c r="G713" s="3">
        <f t="shared" si="68"/>
        <v>20</v>
      </c>
      <c r="H713" s="3"/>
      <c r="I713" s="3"/>
      <c r="J713" s="5">
        <v>5</v>
      </c>
      <c r="K713" s="3">
        <f t="shared" si="69"/>
        <v>25</v>
      </c>
      <c r="L713" s="7" t="str">
        <f t="shared" si="66"/>
        <v>F</v>
      </c>
      <c r="M713" s="7" t="str">
        <f t="shared" si="67"/>
        <v>Failed</v>
      </c>
      <c r="N713" s="10"/>
      <c r="O713" s="9"/>
      <c r="P713" s="10"/>
    </row>
    <row r="714" spans="1:16" ht="15.6" x14ac:dyDescent="0.3">
      <c r="A714" s="3">
        <f t="shared" si="72"/>
        <v>47</v>
      </c>
      <c r="B714" s="306" t="s">
        <v>472</v>
      </c>
      <c r="C714" s="12" t="s">
        <v>403</v>
      </c>
      <c r="D714" s="5" t="s">
        <v>1143</v>
      </c>
      <c r="E714" s="5">
        <v>9</v>
      </c>
      <c r="F714" s="5">
        <v>17</v>
      </c>
      <c r="G714" s="3">
        <f t="shared" si="68"/>
        <v>26</v>
      </c>
      <c r="H714" s="3"/>
      <c r="I714" s="3"/>
      <c r="J714" s="5">
        <v>12</v>
      </c>
      <c r="K714" s="3">
        <f t="shared" si="69"/>
        <v>38</v>
      </c>
      <c r="L714" s="7" t="str">
        <f t="shared" si="66"/>
        <v>F</v>
      </c>
      <c r="M714" s="7" t="str">
        <f t="shared" si="67"/>
        <v>Failed</v>
      </c>
      <c r="N714" s="10"/>
      <c r="O714" s="9"/>
      <c r="P714" s="10"/>
    </row>
    <row r="715" spans="1:16" ht="15.6" x14ac:dyDescent="0.3">
      <c r="A715" s="3">
        <f t="shared" si="72"/>
        <v>48</v>
      </c>
      <c r="B715" s="12" t="s">
        <v>473</v>
      </c>
      <c r="C715" s="307" t="s">
        <v>404</v>
      </c>
      <c r="D715" s="5" t="s">
        <v>1125</v>
      </c>
      <c r="E715" s="5">
        <v>10</v>
      </c>
      <c r="F715" s="5">
        <v>27</v>
      </c>
      <c r="G715" s="3">
        <f t="shared" si="68"/>
        <v>37</v>
      </c>
      <c r="H715" s="3"/>
      <c r="I715" s="3"/>
      <c r="J715" s="5">
        <v>30</v>
      </c>
      <c r="K715" s="3">
        <f t="shared" si="69"/>
        <v>67</v>
      </c>
      <c r="L715" s="7" t="str">
        <f t="shared" si="66"/>
        <v>B</v>
      </c>
      <c r="M715" s="7" t="str">
        <f t="shared" si="67"/>
        <v>Passed</v>
      </c>
      <c r="N715" s="10"/>
      <c r="O715" s="9"/>
      <c r="P715" s="10"/>
    </row>
    <row r="716" spans="1:16" ht="15.6" x14ac:dyDescent="0.3">
      <c r="A716" s="3">
        <f t="shared" si="72"/>
        <v>49</v>
      </c>
      <c r="B716" s="12" t="s">
        <v>474</v>
      </c>
      <c r="C716" s="307" t="s">
        <v>405</v>
      </c>
      <c r="D716" s="5" t="s">
        <v>1127</v>
      </c>
      <c r="E716" s="5"/>
      <c r="F716" s="5"/>
      <c r="G716" s="3">
        <f t="shared" si="68"/>
        <v>0</v>
      </c>
      <c r="H716" s="3"/>
      <c r="I716" s="3"/>
      <c r="J716" s="5">
        <v>4</v>
      </c>
      <c r="K716" s="3">
        <f t="shared" si="69"/>
        <v>4</v>
      </c>
      <c r="L716" s="7" t="str">
        <f t="shared" si="66"/>
        <v>F</v>
      </c>
      <c r="M716" s="7" t="str">
        <f t="shared" si="67"/>
        <v>Failed</v>
      </c>
      <c r="N716" s="10"/>
      <c r="O716" s="9"/>
      <c r="P716" s="10"/>
    </row>
    <row r="717" spans="1:16" ht="15.6" x14ac:dyDescent="0.3">
      <c r="A717" s="3">
        <f t="shared" si="72"/>
        <v>50</v>
      </c>
      <c r="B717" s="12" t="s">
        <v>475</v>
      </c>
      <c r="C717" s="307" t="s">
        <v>406</v>
      </c>
      <c r="D717" s="5" t="s">
        <v>1129</v>
      </c>
      <c r="E717" s="5">
        <v>10</v>
      </c>
      <c r="F717" s="5">
        <v>20</v>
      </c>
      <c r="G717" s="3">
        <f t="shared" si="68"/>
        <v>30</v>
      </c>
      <c r="H717" s="3"/>
      <c r="I717" s="3"/>
      <c r="J717" s="5">
        <v>28</v>
      </c>
      <c r="K717" s="3">
        <f t="shared" si="69"/>
        <v>58</v>
      </c>
      <c r="L717" s="7" t="str">
        <f t="shared" si="66"/>
        <v>C+</v>
      </c>
      <c r="M717" s="7" t="str">
        <f t="shared" si="67"/>
        <v>Passed</v>
      </c>
      <c r="N717" s="10"/>
      <c r="O717" s="9"/>
      <c r="P717" s="10"/>
    </row>
    <row r="718" spans="1:16" ht="15.6" x14ac:dyDescent="0.3">
      <c r="A718" s="3">
        <f t="shared" si="72"/>
        <v>51</v>
      </c>
      <c r="B718" s="12" t="s">
        <v>476</v>
      </c>
      <c r="C718" s="307" t="s">
        <v>407</v>
      </c>
      <c r="D718" s="5" t="s">
        <v>1102</v>
      </c>
      <c r="E718" s="5">
        <v>10</v>
      </c>
      <c r="F718" s="5">
        <v>14</v>
      </c>
      <c r="G718" s="3">
        <f t="shared" si="68"/>
        <v>24</v>
      </c>
      <c r="H718" s="3"/>
      <c r="I718" s="3"/>
      <c r="J718" s="5">
        <v>45</v>
      </c>
      <c r="K718" s="3">
        <f t="shared" si="69"/>
        <v>69</v>
      </c>
      <c r="L718" s="7" t="str">
        <f t="shared" si="66"/>
        <v>B</v>
      </c>
      <c r="M718" s="7" t="str">
        <f t="shared" si="67"/>
        <v>Passed</v>
      </c>
      <c r="N718" s="10"/>
      <c r="O718" s="9"/>
      <c r="P718" s="10"/>
    </row>
    <row r="719" spans="1:16" ht="15.6" x14ac:dyDescent="0.3">
      <c r="A719" s="3">
        <f t="shared" si="72"/>
        <v>52</v>
      </c>
      <c r="B719" s="12" t="s">
        <v>477</v>
      </c>
      <c r="C719" s="307" t="s">
        <v>408</v>
      </c>
      <c r="D719" s="5" t="s">
        <v>1135</v>
      </c>
      <c r="E719" s="5"/>
      <c r="F719" s="5">
        <v>15</v>
      </c>
      <c r="G719" s="3">
        <f t="shared" si="68"/>
        <v>15</v>
      </c>
      <c r="H719" s="3"/>
      <c r="I719" s="3"/>
      <c r="J719" s="5">
        <v>16</v>
      </c>
      <c r="K719" s="3">
        <f t="shared" si="69"/>
        <v>31</v>
      </c>
      <c r="L719" s="7" t="str">
        <f t="shared" si="66"/>
        <v>F</v>
      </c>
      <c r="M719" s="7" t="str">
        <f t="shared" si="67"/>
        <v>Failed</v>
      </c>
      <c r="N719" s="10"/>
      <c r="O719" s="9"/>
      <c r="P719" s="10"/>
    </row>
    <row r="720" spans="1:16" ht="15.6" x14ac:dyDescent="0.3">
      <c r="A720" s="3">
        <f t="shared" si="72"/>
        <v>53</v>
      </c>
      <c r="B720" s="12" t="s">
        <v>478</v>
      </c>
      <c r="C720" s="307" t="s">
        <v>409</v>
      </c>
      <c r="D720" s="5" t="s">
        <v>1151</v>
      </c>
      <c r="E720" s="5">
        <v>10</v>
      </c>
      <c r="F720" s="5">
        <v>21</v>
      </c>
      <c r="G720" s="3">
        <f t="shared" si="68"/>
        <v>31</v>
      </c>
      <c r="H720" s="3"/>
      <c r="I720" s="3"/>
      <c r="J720" s="5">
        <v>30</v>
      </c>
      <c r="K720" s="3">
        <f t="shared" si="69"/>
        <v>61</v>
      </c>
      <c r="L720" s="7" t="str">
        <f t="shared" si="66"/>
        <v>B</v>
      </c>
      <c r="M720" s="7" t="str">
        <f t="shared" si="67"/>
        <v>Passed</v>
      </c>
      <c r="N720" s="10"/>
      <c r="O720" s="9"/>
      <c r="P720" s="10"/>
    </row>
    <row r="721" spans="1:16" ht="15.6" x14ac:dyDescent="0.3">
      <c r="A721" s="3">
        <f t="shared" si="72"/>
        <v>54</v>
      </c>
      <c r="B721" s="12" t="s">
        <v>479</v>
      </c>
      <c r="C721" s="12" t="s">
        <v>410</v>
      </c>
      <c r="D721" s="5" t="s">
        <v>1131</v>
      </c>
      <c r="E721" s="5">
        <v>9</v>
      </c>
      <c r="F721" s="5">
        <v>20</v>
      </c>
      <c r="G721" s="3">
        <f t="shared" si="68"/>
        <v>29</v>
      </c>
      <c r="H721" s="3"/>
      <c r="I721" s="3"/>
      <c r="J721" s="5">
        <v>33</v>
      </c>
      <c r="K721" s="3">
        <f t="shared" si="69"/>
        <v>62</v>
      </c>
      <c r="L721" s="7" t="str">
        <f t="shared" si="66"/>
        <v>B</v>
      </c>
      <c r="M721" s="7" t="str">
        <f t="shared" si="67"/>
        <v>Passed</v>
      </c>
      <c r="N721" s="10"/>
      <c r="O721" s="9"/>
      <c r="P721" s="10"/>
    </row>
    <row r="722" spans="1:16" ht="15.6" x14ac:dyDescent="0.3">
      <c r="A722" s="354">
        <f t="shared" si="72"/>
        <v>55</v>
      </c>
      <c r="B722" s="368" t="s">
        <v>180</v>
      </c>
      <c r="C722" s="369" t="s">
        <v>527</v>
      </c>
      <c r="D722" s="354" t="s">
        <v>1153</v>
      </c>
      <c r="E722" s="354">
        <v>10</v>
      </c>
      <c r="F722" s="354">
        <v>22</v>
      </c>
      <c r="G722" s="354">
        <f t="shared" si="68"/>
        <v>32</v>
      </c>
      <c r="H722" s="354"/>
      <c r="I722" s="354"/>
      <c r="J722" s="354">
        <v>29</v>
      </c>
      <c r="K722" s="354">
        <f t="shared" si="69"/>
        <v>61</v>
      </c>
      <c r="L722" s="7" t="str">
        <f t="shared" si="66"/>
        <v>B</v>
      </c>
      <c r="M722" s="7" t="str">
        <f t="shared" si="67"/>
        <v>Passed</v>
      </c>
      <c r="N722" s="10"/>
      <c r="O722" s="9"/>
      <c r="P722" s="10"/>
    </row>
    <row r="723" spans="1:16" ht="15.6" x14ac:dyDescent="0.3">
      <c r="A723" s="354">
        <f t="shared" si="72"/>
        <v>56</v>
      </c>
      <c r="B723" s="407">
        <v>334622</v>
      </c>
      <c r="C723" s="369" t="s">
        <v>103</v>
      </c>
      <c r="D723" s="354" t="s">
        <v>1152</v>
      </c>
      <c r="E723" s="354">
        <v>10</v>
      </c>
      <c r="F723" s="354">
        <v>27</v>
      </c>
      <c r="G723" s="354">
        <f t="shared" si="68"/>
        <v>37</v>
      </c>
      <c r="H723" s="354"/>
      <c r="I723" s="354"/>
      <c r="J723" s="354">
        <v>48</v>
      </c>
      <c r="K723" s="354">
        <f t="shared" si="69"/>
        <v>85</v>
      </c>
      <c r="L723" s="7" t="str">
        <f t="shared" si="66"/>
        <v>A</v>
      </c>
      <c r="M723" s="7" t="str">
        <f t="shared" si="67"/>
        <v>Passed</v>
      </c>
      <c r="N723" s="10"/>
      <c r="O723" s="9"/>
      <c r="P723" s="10"/>
    </row>
    <row r="724" spans="1:16" ht="15.6" x14ac:dyDescent="0.3">
      <c r="A724" s="83"/>
      <c r="B724" s="56"/>
      <c r="C724" s="56"/>
      <c r="D724" s="57"/>
      <c r="E724" s="57"/>
      <c r="F724" s="57"/>
      <c r="G724" s="83"/>
      <c r="H724" s="83"/>
      <c r="I724" s="83"/>
      <c r="J724" s="57"/>
      <c r="K724" s="83"/>
      <c r="L724" s="7"/>
      <c r="M724" s="7"/>
      <c r="N724" s="10"/>
      <c r="O724" s="9"/>
      <c r="P724" s="10"/>
    </row>
    <row r="725" spans="1:16" ht="15.6" x14ac:dyDescent="0.3">
      <c r="A725" s="83"/>
      <c r="B725" s="56"/>
      <c r="C725" s="56"/>
      <c r="D725" s="57"/>
      <c r="E725" s="57"/>
      <c r="F725" s="57"/>
      <c r="G725" s="83"/>
      <c r="H725" s="83"/>
      <c r="I725" s="83"/>
      <c r="J725" s="57"/>
      <c r="K725" s="83"/>
      <c r="L725" s="7"/>
      <c r="M725" s="7"/>
      <c r="N725" s="10"/>
      <c r="O725" s="9"/>
      <c r="P725" s="10"/>
    </row>
    <row r="726" spans="1:16" ht="15.6" x14ac:dyDescent="0.3">
      <c r="A726" s="83"/>
      <c r="B726" s="56"/>
      <c r="C726" s="56"/>
      <c r="D726" s="57"/>
      <c r="E726" s="57"/>
      <c r="F726" s="57"/>
      <c r="G726" s="83"/>
      <c r="H726" s="83"/>
      <c r="I726" s="83"/>
      <c r="J726" s="57"/>
      <c r="K726" s="83"/>
      <c r="L726" s="7"/>
      <c r="M726" s="7"/>
      <c r="N726" s="10"/>
      <c r="O726" s="9"/>
      <c r="P726" s="10"/>
    </row>
    <row r="727" spans="1:16" ht="15.6" x14ac:dyDescent="0.3">
      <c r="A727" s="83"/>
      <c r="B727" s="56"/>
      <c r="C727" s="56"/>
      <c r="D727" s="57"/>
      <c r="E727" s="57"/>
      <c r="F727" s="57"/>
      <c r="G727" s="83"/>
      <c r="H727" s="83"/>
      <c r="I727" s="83"/>
      <c r="J727" s="57"/>
      <c r="K727" s="83"/>
      <c r="L727" s="7"/>
      <c r="M727" s="7"/>
      <c r="N727" s="10"/>
      <c r="O727" s="9"/>
      <c r="P727" s="10"/>
    </row>
    <row r="728" spans="1:16" ht="15.6" x14ac:dyDescent="0.3">
      <c r="A728" s="57"/>
      <c r="B728" s="56"/>
      <c r="C728" s="76"/>
      <c r="D728" s="57"/>
      <c r="E728" s="57"/>
      <c r="F728" s="57"/>
      <c r="G728" s="83"/>
      <c r="H728" s="83"/>
      <c r="I728" s="83"/>
      <c r="J728" s="57"/>
      <c r="K728" s="57"/>
      <c r="L728" s="10"/>
      <c r="M728" s="10"/>
      <c r="N728" s="10"/>
      <c r="O728" s="9"/>
      <c r="P728" s="10"/>
    </row>
    <row r="729" spans="1:16" ht="15.6" x14ac:dyDescent="0.3">
      <c r="A729" s="10"/>
      <c r="B729" s="10"/>
      <c r="C729" s="75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9"/>
      <c r="P729" s="10"/>
    </row>
    <row r="730" spans="1:16" ht="15.6" x14ac:dyDescent="0.3">
      <c r="A730" s="10"/>
      <c r="B730" s="10"/>
      <c r="C730" s="75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9"/>
      <c r="P730" s="10"/>
    </row>
    <row r="731" spans="1:16" ht="15.6" x14ac:dyDescent="0.3">
      <c r="A731" s="17" t="s">
        <v>0</v>
      </c>
      <c r="B731" s="18"/>
      <c r="C731" s="71"/>
      <c r="D731" s="18"/>
      <c r="E731" s="18"/>
      <c r="F731" s="18"/>
      <c r="G731" s="18"/>
      <c r="H731" s="67"/>
      <c r="I731" s="67"/>
      <c r="J731" s="18"/>
      <c r="K731" s="18"/>
      <c r="L731" s="10"/>
      <c r="M731" s="10"/>
      <c r="N731" s="10"/>
      <c r="O731" s="9"/>
      <c r="P731" s="10"/>
    </row>
    <row r="732" spans="1:16" ht="15.6" x14ac:dyDescent="0.3">
      <c r="A732" s="503" t="s">
        <v>44</v>
      </c>
      <c r="B732" s="504"/>
      <c r="C732" s="504"/>
      <c r="D732" s="504"/>
      <c r="E732" s="504"/>
      <c r="F732" s="504"/>
      <c r="G732" s="504"/>
      <c r="H732" s="504"/>
      <c r="I732" s="504"/>
      <c r="J732" s="18"/>
      <c r="K732" s="18"/>
      <c r="L732" s="10"/>
      <c r="M732" s="10"/>
      <c r="N732" s="10"/>
      <c r="O732" s="9"/>
      <c r="P732" s="10"/>
    </row>
    <row r="733" spans="1:16" ht="15.6" x14ac:dyDescent="0.3">
      <c r="A733" s="503" t="s">
        <v>536</v>
      </c>
      <c r="B733" s="504"/>
      <c r="C733" s="504"/>
      <c r="D733" s="87"/>
      <c r="E733" s="87"/>
      <c r="F733" s="87"/>
      <c r="G733" s="87"/>
      <c r="H733" s="87"/>
      <c r="I733" s="87"/>
      <c r="J733" s="18"/>
      <c r="K733" s="18"/>
      <c r="L733" s="19"/>
      <c r="M733" s="10"/>
      <c r="N733" s="10"/>
      <c r="O733" s="9"/>
      <c r="P733" s="10"/>
    </row>
    <row r="734" spans="1:16" ht="15.6" x14ac:dyDescent="0.3">
      <c r="A734" s="20" t="s">
        <v>1</v>
      </c>
      <c r="B734" s="21"/>
      <c r="C734" s="84" t="s">
        <v>537</v>
      </c>
      <c r="D734" s="85"/>
      <c r="E734" s="85"/>
      <c r="F734" s="85"/>
      <c r="G734" s="85"/>
      <c r="H734" s="85"/>
      <c r="I734" s="85"/>
      <c r="J734" s="85"/>
      <c r="K734" s="18"/>
      <c r="L734" s="19"/>
      <c r="M734" s="10"/>
      <c r="N734" s="10"/>
      <c r="O734" s="9"/>
      <c r="P734" s="10"/>
    </row>
    <row r="735" spans="1:16" ht="15.6" x14ac:dyDescent="0.3">
      <c r="A735" s="20" t="s">
        <v>3</v>
      </c>
      <c r="B735" s="21"/>
      <c r="C735" s="84" t="s">
        <v>62</v>
      </c>
      <c r="D735" s="85"/>
      <c r="E735" s="85"/>
      <c r="F735" s="85"/>
      <c r="G735" s="85"/>
      <c r="H735" s="85"/>
      <c r="I735" s="85"/>
      <c r="J735" s="85"/>
      <c r="K735" s="18"/>
      <c r="L735" s="19"/>
      <c r="M735" s="10"/>
      <c r="N735" s="10"/>
      <c r="O735" s="9"/>
      <c r="P735" s="10"/>
    </row>
    <row r="736" spans="1:16" ht="15.6" x14ac:dyDescent="0.3">
      <c r="A736" s="20" t="s">
        <v>4</v>
      </c>
      <c r="B736" s="21"/>
      <c r="C736" s="84" t="s">
        <v>63</v>
      </c>
      <c r="D736" s="85"/>
      <c r="E736" s="85"/>
      <c r="F736" s="85"/>
      <c r="G736" s="85"/>
      <c r="H736" s="85"/>
      <c r="I736" s="85"/>
      <c r="J736" s="85"/>
      <c r="K736" s="18"/>
      <c r="L736" s="19"/>
      <c r="M736" s="10"/>
      <c r="N736" s="10"/>
      <c r="O736" s="9"/>
      <c r="P736" s="10"/>
    </row>
    <row r="737" spans="1:16" ht="15.6" x14ac:dyDescent="0.3">
      <c r="A737" s="20" t="s">
        <v>5</v>
      </c>
      <c r="B737" s="21"/>
      <c r="C737" s="86">
        <v>2</v>
      </c>
      <c r="D737" s="87"/>
      <c r="E737" s="87"/>
      <c r="F737" s="87"/>
      <c r="G737" s="87"/>
      <c r="H737" s="87"/>
      <c r="I737" s="87"/>
      <c r="J737" s="87"/>
      <c r="K737" s="18"/>
      <c r="L737" s="19"/>
      <c r="M737" s="10"/>
      <c r="N737" s="10"/>
      <c r="O737" s="9"/>
      <c r="P737" s="10"/>
    </row>
    <row r="738" spans="1:16" ht="15.6" x14ac:dyDescent="0.3">
      <c r="A738" s="508" t="s">
        <v>6</v>
      </c>
      <c r="B738" s="509"/>
      <c r="C738" s="300" t="s">
        <v>419</v>
      </c>
      <c r="D738" s="85"/>
      <c r="E738" s="85"/>
      <c r="F738" s="85"/>
      <c r="G738" s="85"/>
      <c r="H738" s="85"/>
      <c r="I738" s="85"/>
      <c r="J738" s="85"/>
      <c r="K738" s="18"/>
      <c r="L738" s="19"/>
      <c r="M738" s="10"/>
      <c r="N738" s="10"/>
      <c r="O738" s="9"/>
      <c r="P738" s="10"/>
    </row>
    <row r="739" spans="1:16" ht="16.2" x14ac:dyDescent="0.35">
      <c r="A739" s="508" t="s">
        <v>7</v>
      </c>
      <c r="B739" s="509"/>
      <c r="C739" s="72" t="s">
        <v>538</v>
      </c>
      <c r="D739" s="18"/>
      <c r="E739" s="22"/>
      <c r="F739" s="18"/>
      <c r="G739" s="18"/>
      <c r="H739" s="67"/>
      <c r="I739" s="67"/>
      <c r="J739" s="18"/>
      <c r="K739" s="18"/>
      <c r="L739" s="19"/>
      <c r="M739" s="10"/>
      <c r="N739" s="10"/>
      <c r="O739" s="9"/>
      <c r="P739" s="10"/>
    </row>
    <row r="740" spans="1:16" ht="54" x14ac:dyDescent="0.3">
      <c r="A740" s="24" t="s">
        <v>8</v>
      </c>
      <c r="B740" s="24" t="s">
        <v>9</v>
      </c>
      <c r="C740" s="73" t="s">
        <v>10</v>
      </c>
      <c r="D740" s="25"/>
      <c r="E740" s="27" t="s">
        <v>12</v>
      </c>
      <c r="F740" s="27" t="s">
        <v>13</v>
      </c>
      <c r="G740" s="27" t="s">
        <v>14</v>
      </c>
      <c r="H740" s="27" t="s">
        <v>208</v>
      </c>
      <c r="I740" s="27" t="s">
        <v>209</v>
      </c>
      <c r="J740" s="27" t="s">
        <v>15</v>
      </c>
      <c r="K740" s="27" t="s">
        <v>16</v>
      </c>
      <c r="L740" s="19"/>
      <c r="M740" s="10"/>
      <c r="N740" s="10"/>
      <c r="O740" s="9"/>
      <c r="P740" s="10"/>
    </row>
    <row r="741" spans="1:16" ht="15.6" x14ac:dyDescent="0.3">
      <c r="A741" s="24" t="s">
        <v>42</v>
      </c>
      <c r="B741" s="24"/>
      <c r="C741" s="74"/>
      <c r="D741" s="3"/>
      <c r="E741" s="3"/>
      <c r="F741" s="3"/>
      <c r="G741" s="3"/>
      <c r="H741" s="3"/>
      <c r="I741" s="3"/>
      <c r="J741" s="3"/>
      <c r="K741" s="3"/>
      <c r="L741" s="23"/>
      <c r="M741" s="10"/>
      <c r="N741" s="10"/>
      <c r="O741" s="9"/>
      <c r="P741" s="10"/>
    </row>
    <row r="742" spans="1:16" ht="15.6" x14ac:dyDescent="0.3">
      <c r="A742" s="3"/>
      <c r="B742" s="10"/>
      <c r="C742" s="75"/>
      <c r="D742" s="10"/>
      <c r="E742" s="10"/>
      <c r="F742" s="10"/>
      <c r="G742" s="10"/>
      <c r="H742" s="10"/>
      <c r="I742" s="10"/>
      <c r="J742" s="10"/>
      <c r="K742" s="10"/>
      <c r="L742" s="34" t="s">
        <v>17</v>
      </c>
      <c r="M742" s="34" t="s">
        <v>18</v>
      </c>
      <c r="N742" s="8"/>
      <c r="O742" s="9"/>
      <c r="P742" s="10"/>
    </row>
    <row r="743" spans="1:16" ht="15.6" x14ac:dyDescent="0.3">
      <c r="A743" s="3">
        <f t="shared" ref="A743:A774" si="75">ROW(A1)</f>
        <v>1</v>
      </c>
      <c r="B743" s="306" t="s">
        <v>431</v>
      </c>
      <c r="C743" s="307" t="s">
        <v>365</v>
      </c>
      <c r="D743" s="5" t="s">
        <v>576</v>
      </c>
      <c r="E743" s="3">
        <v>8</v>
      </c>
      <c r="F743" s="3">
        <v>17</v>
      </c>
      <c r="G743" s="3">
        <f>SUM(E743:F743)</f>
        <v>25</v>
      </c>
      <c r="H743" s="3"/>
      <c r="I743" s="3"/>
      <c r="J743" s="3">
        <v>39</v>
      </c>
      <c r="K743" s="3">
        <f>SUM(G743:J743)</f>
        <v>64</v>
      </c>
      <c r="L743" s="7" t="str">
        <f t="shared" ref="L743:L796" si="76">IF(K743&gt;=80,"A",IF(K743&gt;=70,"B+",IF(K743&gt;=60,"B",IF(K743&gt;=55,"C+",IF(K743&gt;=50,"C",IF(K743&gt;=45,"D+",IF(K743&gt;=40,"D","F")))))))</f>
        <v>B</v>
      </c>
      <c r="M743" s="7" t="str">
        <f t="shared" ref="M743:M796" si="77">IF(K743&gt;=50,"Passed","Failed")</f>
        <v>Passed</v>
      </c>
      <c r="N743" s="8"/>
      <c r="O743" s="9"/>
      <c r="P743" s="10"/>
    </row>
    <row r="744" spans="1:16" ht="31.2" x14ac:dyDescent="0.3">
      <c r="A744" s="3">
        <f t="shared" si="75"/>
        <v>2</v>
      </c>
      <c r="B744" s="306" t="s">
        <v>586</v>
      </c>
      <c r="C744" s="308" t="s">
        <v>366</v>
      </c>
      <c r="D744" s="5" t="s">
        <v>585</v>
      </c>
      <c r="E744" s="3">
        <v>8</v>
      </c>
      <c r="F744" s="3">
        <v>15</v>
      </c>
      <c r="G744" s="3">
        <f t="shared" ref="G744:G796" si="78">SUM(E744:F744)</f>
        <v>23</v>
      </c>
      <c r="H744" s="3"/>
      <c r="I744" s="3"/>
      <c r="J744" s="3">
        <v>48</v>
      </c>
      <c r="K744" s="3">
        <f t="shared" ref="K744:K796" si="79">SUM(G744:J744)</f>
        <v>71</v>
      </c>
      <c r="L744" s="7" t="str">
        <f t="shared" si="76"/>
        <v>B+</v>
      </c>
      <c r="M744" s="7" t="str">
        <f t="shared" si="77"/>
        <v>Passed</v>
      </c>
      <c r="N744" s="8" t="s">
        <v>19</v>
      </c>
      <c r="O744" s="9"/>
      <c r="P744" s="10"/>
    </row>
    <row r="745" spans="1:16" ht="15.6" x14ac:dyDescent="0.3">
      <c r="A745" s="3">
        <f t="shared" si="75"/>
        <v>3</v>
      </c>
      <c r="B745" s="306" t="s">
        <v>432</v>
      </c>
      <c r="C745" s="309" t="s">
        <v>367</v>
      </c>
      <c r="D745" s="5" t="s">
        <v>601</v>
      </c>
      <c r="E745" s="3">
        <v>8</v>
      </c>
      <c r="F745" s="3">
        <v>18</v>
      </c>
      <c r="G745" s="3">
        <f t="shared" si="78"/>
        <v>26</v>
      </c>
      <c r="H745" s="3"/>
      <c r="I745" s="3"/>
      <c r="J745" s="3">
        <v>42</v>
      </c>
      <c r="K745" s="3">
        <f t="shared" si="79"/>
        <v>68</v>
      </c>
      <c r="L745" s="7" t="str">
        <f t="shared" si="76"/>
        <v>B</v>
      </c>
      <c r="M745" s="7" t="str">
        <f t="shared" si="77"/>
        <v>Passed</v>
      </c>
      <c r="N745" s="7" t="s">
        <v>20</v>
      </c>
      <c r="O745" s="9">
        <f>COUNT(G743:G796)</f>
        <v>54</v>
      </c>
      <c r="P745" s="10"/>
    </row>
    <row r="746" spans="1:16" ht="15.6" x14ac:dyDescent="0.3">
      <c r="A746" s="3">
        <f t="shared" si="75"/>
        <v>4</v>
      </c>
      <c r="B746" s="306" t="s">
        <v>433</v>
      </c>
      <c r="C746" s="310" t="s">
        <v>368</v>
      </c>
      <c r="D746" s="5" t="s">
        <v>583</v>
      </c>
      <c r="E746" s="3">
        <v>8</v>
      </c>
      <c r="F746" s="3">
        <v>17</v>
      </c>
      <c r="G746" s="3">
        <f t="shared" si="78"/>
        <v>25</v>
      </c>
      <c r="H746" s="3"/>
      <c r="I746" s="3"/>
      <c r="J746" s="3">
        <v>43</v>
      </c>
      <c r="K746" s="3">
        <f t="shared" si="79"/>
        <v>68</v>
      </c>
      <c r="L746" s="7" t="str">
        <f t="shared" si="76"/>
        <v>B</v>
      </c>
      <c r="M746" s="7" t="str">
        <f t="shared" si="77"/>
        <v>Passed</v>
      </c>
      <c r="N746" s="7" t="s">
        <v>21</v>
      </c>
      <c r="O746" s="9">
        <f>COUNT(J743:J796)</f>
        <v>54</v>
      </c>
      <c r="P746" s="10"/>
    </row>
    <row r="747" spans="1:16" ht="15.6" x14ac:dyDescent="0.3">
      <c r="A747" s="3">
        <f t="shared" si="75"/>
        <v>5</v>
      </c>
      <c r="B747" s="306" t="s">
        <v>434</v>
      </c>
      <c r="C747" s="310" t="s">
        <v>606</v>
      </c>
      <c r="D747" s="5" t="s">
        <v>607</v>
      </c>
      <c r="E747" s="3">
        <v>8</v>
      </c>
      <c r="F747" s="3">
        <v>16</v>
      </c>
      <c r="G747" s="3">
        <f t="shared" si="78"/>
        <v>24</v>
      </c>
      <c r="H747" s="3"/>
      <c r="I747" s="3"/>
      <c r="J747" s="3">
        <v>42</v>
      </c>
      <c r="K747" s="3">
        <f t="shared" si="79"/>
        <v>66</v>
      </c>
      <c r="L747" s="7" t="str">
        <f t="shared" si="76"/>
        <v>B</v>
      </c>
      <c r="M747" s="7" t="str">
        <f t="shared" si="77"/>
        <v>Passed</v>
      </c>
      <c r="N747" s="7" t="s">
        <v>22</v>
      </c>
      <c r="O747" s="9">
        <f>O745-O746</f>
        <v>0</v>
      </c>
      <c r="P747" s="10"/>
    </row>
    <row r="748" spans="1:16" ht="15.6" x14ac:dyDescent="0.3">
      <c r="A748" s="3">
        <f t="shared" si="75"/>
        <v>6</v>
      </c>
      <c r="B748" s="306" t="s">
        <v>544</v>
      </c>
      <c r="C748" s="309" t="s">
        <v>369</v>
      </c>
      <c r="D748" s="5" t="s">
        <v>550</v>
      </c>
      <c r="E748" s="3">
        <v>8</v>
      </c>
      <c r="F748" s="339">
        <v>19</v>
      </c>
      <c r="G748" s="3">
        <f t="shared" si="78"/>
        <v>27</v>
      </c>
      <c r="H748" s="3"/>
      <c r="I748" s="3"/>
      <c r="J748" s="5">
        <v>23</v>
      </c>
      <c r="K748" s="3">
        <f t="shared" si="79"/>
        <v>50</v>
      </c>
      <c r="L748" s="7" t="str">
        <f t="shared" si="76"/>
        <v>C</v>
      </c>
      <c r="M748" s="7" t="str">
        <f t="shared" si="77"/>
        <v>Passed</v>
      </c>
      <c r="N748" s="7" t="s">
        <v>23</v>
      </c>
      <c r="O748" s="9">
        <f>COUNTIF(M743:M796,"Passed")</f>
        <v>40</v>
      </c>
      <c r="P748" s="10"/>
    </row>
    <row r="749" spans="1:16" ht="15.6" x14ac:dyDescent="0.3">
      <c r="A749" s="3">
        <v>7</v>
      </c>
      <c r="B749" s="306" t="s">
        <v>562</v>
      </c>
      <c r="C749" s="309" t="s">
        <v>370</v>
      </c>
      <c r="D749" s="5" t="s">
        <v>563</v>
      </c>
      <c r="E749" s="3">
        <v>8</v>
      </c>
      <c r="F749" s="5">
        <v>13</v>
      </c>
      <c r="G749" s="3">
        <f t="shared" si="78"/>
        <v>21</v>
      </c>
      <c r="H749" s="3"/>
      <c r="I749" s="3"/>
      <c r="J749" s="5">
        <v>42</v>
      </c>
      <c r="K749" s="3">
        <f t="shared" si="79"/>
        <v>63</v>
      </c>
      <c r="L749" s="7" t="str">
        <f t="shared" si="76"/>
        <v>B</v>
      </c>
      <c r="M749" s="7" t="str">
        <f t="shared" si="77"/>
        <v>Passed</v>
      </c>
      <c r="N749" s="7" t="s">
        <v>24</v>
      </c>
      <c r="O749" s="29">
        <f>O748/O746%</f>
        <v>74.074074074074076</v>
      </c>
      <c r="P749" s="10"/>
    </row>
    <row r="750" spans="1:16" ht="15.6" x14ac:dyDescent="0.3">
      <c r="A750" s="3">
        <f t="shared" si="75"/>
        <v>8</v>
      </c>
      <c r="B750" s="306" t="s">
        <v>435</v>
      </c>
      <c r="C750" s="310" t="s">
        <v>595</v>
      </c>
      <c r="D750" s="5" t="s">
        <v>596</v>
      </c>
      <c r="E750" s="3">
        <v>8</v>
      </c>
      <c r="F750" s="5">
        <v>22</v>
      </c>
      <c r="G750" s="3">
        <f t="shared" si="78"/>
        <v>30</v>
      </c>
      <c r="H750" s="3"/>
      <c r="I750" s="3"/>
      <c r="J750" s="5">
        <v>46</v>
      </c>
      <c r="K750" s="3">
        <f t="shared" si="79"/>
        <v>76</v>
      </c>
      <c r="L750" s="7" t="str">
        <f t="shared" si="76"/>
        <v>B+</v>
      </c>
      <c r="M750" s="7" t="str">
        <f t="shared" si="77"/>
        <v>Passed</v>
      </c>
      <c r="N750" s="10" t="s">
        <v>25</v>
      </c>
      <c r="O750" s="9">
        <f>COUNTIF(M743:M796,"failed")</f>
        <v>14</v>
      </c>
      <c r="P750" s="10"/>
    </row>
    <row r="751" spans="1:16" ht="15.6" x14ac:dyDescent="0.3">
      <c r="A751" s="3">
        <f t="shared" si="75"/>
        <v>9</v>
      </c>
      <c r="B751" s="306" t="s">
        <v>436</v>
      </c>
      <c r="C751" s="309" t="s">
        <v>371</v>
      </c>
      <c r="D751" s="5" t="s">
        <v>551</v>
      </c>
      <c r="E751" s="3">
        <v>8</v>
      </c>
      <c r="F751" s="5">
        <v>13</v>
      </c>
      <c r="G751" s="3">
        <f t="shared" si="78"/>
        <v>21</v>
      </c>
      <c r="H751" s="3"/>
      <c r="I751" s="3"/>
      <c r="J751" s="5">
        <v>40</v>
      </c>
      <c r="K751" s="3">
        <f t="shared" si="79"/>
        <v>61</v>
      </c>
      <c r="L751" s="7" t="str">
        <f t="shared" si="76"/>
        <v>B</v>
      </c>
      <c r="M751" s="7" t="str">
        <f t="shared" si="77"/>
        <v>Passed</v>
      </c>
      <c r="N751" s="10" t="s">
        <v>26</v>
      </c>
      <c r="O751" s="29">
        <f>O750/O746%</f>
        <v>25.925925925925924</v>
      </c>
      <c r="P751" s="10"/>
    </row>
    <row r="752" spans="1:16" ht="15.6" x14ac:dyDescent="0.3">
      <c r="A752" s="3">
        <f t="shared" si="75"/>
        <v>10</v>
      </c>
      <c r="B752" s="306" t="s">
        <v>437</v>
      </c>
      <c r="C752" s="310" t="s">
        <v>372</v>
      </c>
      <c r="D752" s="5" t="s">
        <v>581</v>
      </c>
      <c r="E752" s="3">
        <v>8</v>
      </c>
      <c r="F752" s="5">
        <v>15</v>
      </c>
      <c r="G752" s="3">
        <f t="shared" si="78"/>
        <v>23</v>
      </c>
      <c r="H752" s="3"/>
      <c r="I752" s="3"/>
      <c r="J752" s="5">
        <v>36</v>
      </c>
      <c r="K752" s="3">
        <f t="shared" si="79"/>
        <v>59</v>
      </c>
      <c r="L752" s="7" t="str">
        <f t="shared" si="76"/>
        <v>C+</v>
      </c>
      <c r="M752" s="7" t="str">
        <f t="shared" si="77"/>
        <v>Passed</v>
      </c>
      <c r="N752" s="10" t="s">
        <v>27</v>
      </c>
      <c r="O752" s="29">
        <f>AVERAGE(K743:K796)</f>
        <v>57.518518518518519</v>
      </c>
      <c r="P752" s="10"/>
    </row>
    <row r="753" spans="1:22" ht="15.6" x14ac:dyDescent="0.3">
      <c r="A753" s="3">
        <f t="shared" si="75"/>
        <v>11</v>
      </c>
      <c r="B753" s="306" t="s">
        <v>438</v>
      </c>
      <c r="C753" s="307" t="s">
        <v>373</v>
      </c>
      <c r="D753" s="5" t="s">
        <v>554</v>
      </c>
      <c r="E753" s="3">
        <v>8</v>
      </c>
      <c r="F753" s="5">
        <v>15</v>
      </c>
      <c r="G753" s="3">
        <f t="shared" si="78"/>
        <v>23</v>
      </c>
      <c r="H753" s="3"/>
      <c r="I753" s="3"/>
      <c r="J753" s="5">
        <v>21</v>
      </c>
      <c r="K753" s="3">
        <f t="shared" si="79"/>
        <v>44</v>
      </c>
      <c r="L753" s="7" t="str">
        <f t="shared" si="76"/>
        <v>D</v>
      </c>
      <c r="M753" s="7" t="str">
        <f t="shared" si="77"/>
        <v>Failed</v>
      </c>
      <c r="N753" s="10"/>
      <c r="O753" s="9"/>
      <c r="P753" s="10"/>
    </row>
    <row r="754" spans="1:22" ht="15.6" x14ac:dyDescent="0.3">
      <c r="A754" s="3">
        <f t="shared" si="75"/>
        <v>12</v>
      </c>
      <c r="B754" s="306" t="s">
        <v>439</v>
      </c>
      <c r="C754" s="307" t="s">
        <v>565</v>
      </c>
      <c r="D754" s="5" t="s">
        <v>566</v>
      </c>
      <c r="E754" s="3">
        <v>8</v>
      </c>
      <c r="F754" s="339">
        <v>25</v>
      </c>
      <c r="G754" s="3">
        <f t="shared" si="78"/>
        <v>33</v>
      </c>
      <c r="H754" s="3"/>
      <c r="I754" s="3"/>
      <c r="J754" s="5">
        <v>17</v>
      </c>
      <c r="K754" s="3">
        <f t="shared" si="79"/>
        <v>50</v>
      </c>
      <c r="L754" s="7" t="str">
        <f t="shared" si="76"/>
        <v>C</v>
      </c>
      <c r="M754" s="7" t="str">
        <f t="shared" si="77"/>
        <v>Passed</v>
      </c>
      <c r="N754" s="10"/>
      <c r="O754" s="9"/>
      <c r="P754" s="10"/>
    </row>
    <row r="755" spans="1:22" ht="15.6" x14ac:dyDescent="0.3">
      <c r="A755" s="3">
        <f t="shared" si="75"/>
        <v>13</v>
      </c>
      <c r="B755" s="306" t="s">
        <v>440</v>
      </c>
      <c r="C755" s="310" t="s">
        <v>374</v>
      </c>
      <c r="D755" s="5" t="s">
        <v>579</v>
      </c>
      <c r="E755" s="3">
        <v>8</v>
      </c>
      <c r="F755" s="5">
        <v>27</v>
      </c>
      <c r="G755" s="3">
        <f t="shared" si="78"/>
        <v>35</v>
      </c>
      <c r="H755" s="3"/>
      <c r="I755" s="3"/>
      <c r="J755" s="5">
        <v>43</v>
      </c>
      <c r="K755" s="3">
        <f t="shared" si="79"/>
        <v>78</v>
      </c>
      <c r="L755" s="7" t="str">
        <f t="shared" si="76"/>
        <v>B+</v>
      </c>
      <c r="M755" s="7" t="str">
        <f t="shared" si="77"/>
        <v>Passed</v>
      </c>
      <c r="N755" s="10"/>
      <c r="O755" s="9"/>
      <c r="P755" s="10"/>
    </row>
    <row r="756" spans="1:22" ht="15.6" x14ac:dyDescent="0.3">
      <c r="A756" s="3">
        <f t="shared" si="75"/>
        <v>14</v>
      </c>
      <c r="B756" s="306" t="s">
        <v>441</v>
      </c>
      <c r="C756" s="310" t="s">
        <v>375</v>
      </c>
      <c r="D756" s="5" t="s">
        <v>589</v>
      </c>
      <c r="E756" s="3">
        <v>8</v>
      </c>
      <c r="F756" s="5">
        <v>20</v>
      </c>
      <c r="G756" s="3">
        <f t="shared" si="78"/>
        <v>28</v>
      </c>
      <c r="H756" s="3"/>
      <c r="I756" s="3"/>
      <c r="J756" s="5">
        <v>36</v>
      </c>
      <c r="K756" s="3">
        <f t="shared" si="79"/>
        <v>64</v>
      </c>
      <c r="L756" s="7" t="str">
        <f t="shared" si="76"/>
        <v>B</v>
      </c>
      <c r="M756" s="7" t="str">
        <f t="shared" si="77"/>
        <v>Passed</v>
      </c>
      <c r="N756" s="11"/>
      <c r="O756" s="9"/>
      <c r="P756" s="10"/>
    </row>
    <row r="757" spans="1:22" ht="15.6" x14ac:dyDescent="0.3">
      <c r="A757" s="3">
        <f t="shared" si="75"/>
        <v>15</v>
      </c>
      <c r="B757" s="306" t="s">
        <v>442</v>
      </c>
      <c r="C757" s="310" t="s">
        <v>376</v>
      </c>
      <c r="D757" s="5" t="s">
        <v>578</v>
      </c>
      <c r="E757" s="3">
        <v>8</v>
      </c>
      <c r="F757" s="5">
        <v>20</v>
      </c>
      <c r="G757" s="3">
        <f t="shared" si="78"/>
        <v>28</v>
      </c>
      <c r="H757" s="3"/>
      <c r="I757" s="3"/>
      <c r="J757" s="5">
        <v>45</v>
      </c>
      <c r="K757" s="3">
        <f t="shared" si="79"/>
        <v>73</v>
      </c>
      <c r="L757" s="7" t="str">
        <f t="shared" si="76"/>
        <v>B+</v>
      </c>
      <c r="M757" s="7" t="str">
        <f t="shared" si="77"/>
        <v>Passed</v>
      </c>
      <c r="N757" s="10"/>
      <c r="O757" s="9" t="s">
        <v>28</v>
      </c>
      <c r="P757" s="10" t="s">
        <v>29</v>
      </c>
      <c r="Q757" t="s">
        <v>30</v>
      </c>
      <c r="R757" t="s">
        <v>31</v>
      </c>
      <c r="S757" t="s">
        <v>32</v>
      </c>
      <c r="T757" t="s">
        <v>33</v>
      </c>
      <c r="U757" t="s">
        <v>34</v>
      </c>
      <c r="V757" t="s">
        <v>35</v>
      </c>
    </row>
    <row r="758" spans="1:22" ht="15.6" x14ac:dyDescent="0.3">
      <c r="A758" s="3">
        <f t="shared" si="75"/>
        <v>16</v>
      </c>
      <c r="B758" s="306" t="s">
        <v>443</v>
      </c>
      <c r="C758" s="307" t="s">
        <v>377</v>
      </c>
      <c r="D758" s="5" t="s">
        <v>568</v>
      </c>
      <c r="E758" s="3">
        <v>8</v>
      </c>
      <c r="F758" s="5">
        <v>22</v>
      </c>
      <c r="G758" s="3">
        <f t="shared" si="78"/>
        <v>30</v>
      </c>
      <c r="H758" s="3"/>
      <c r="I758" s="3"/>
      <c r="J758" s="5">
        <v>15</v>
      </c>
      <c r="K758" s="3">
        <f t="shared" si="79"/>
        <v>45</v>
      </c>
      <c r="L758" s="7" t="str">
        <f t="shared" si="76"/>
        <v>D+</v>
      </c>
      <c r="M758" s="7" t="str">
        <f t="shared" si="77"/>
        <v>Failed</v>
      </c>
      <c r="N758" s="10"/>
      <c r="O758" s="9">
        <f>COUNTIF(L743:L796,"A")</f>
        <v>0</v>
      </c>
      <c r="P758" s="10">
        <f>COUNTIF(L743:L796,"B+")</f>
        <v>9</v>
      </c>
      <c r="Q758">
        <f>COUNTIF(L743:L796,"B")</f>
        <v>22</v>
      </c>
      <c r="R758">
        <f>COUNTIF(L743:L796,"C+")</f>
        <v>2</v>
      </c>
      <c r="S758">
        <f>COUNTIF(L743:L796,"C")</f>
        <v>7</v>
      </c>
      <c r="T758">
        <f>COUNTIF(L743:L796,"D+")</f>
        <v>3</v>
      </c>
      <c r="U758">
        <f>COUNTIF(L743:L796,"D")</f>
        <v>5</v>
      </c>
      <c r="V758">
        <f>COUNTIF(L743:L796,"F")</f>
        <v>6</v>
      </c>
    </row>
    <row r="759" spans="1:22" ht="15.6" x14ac:dyDescent="0.3">
      <c r="A759" s="3">
        <f t="shared" si="75"/>
        <v>17</v>
      </c>
      <c r="B759" s="306" t="s">
        <v>444</v>
      </c>
      <c r="C759" s="310" t="s">
        <v>378</v>
      </c>
      <c r="D759" s="5" t="s">
        <v>609</v>
      </c>
      <c r="E759" s="3">
        <v>8</v>
      </c>
      <c r="F759" s="5">
        <v>21</v>
      </c>
      <c r="G759" s="3">
        <f t="shared" si="78"/>
        <v>29</v>
      </c>
      <c r="H759" s="3"/>
      <c r="I759" s="3"/>
      <c r="J759" s="5">
        <v>37</v>
      </c>
      <c r="K759" s="3">
        <f t="shared" si="79"/>
        <v>66</v>
      </c>
      <c r="L759" s="7" t="str">
        <f t="shared" si="76"/>
        <v>B</v>
      </c>
      <c r="M759" s="7" t="str">
        <f t="shared" si="77"/>
        <v>Passed</v>
      </c>
      <c r="N759" s="10"/>
      <c r="O759" s="9"/>
      <c r="P759" s="10"/>
    </row>
    <row r="760" spans="1:22" ht="15.6" x14ac:dyDescent="0.3">
      <c r="A760" s="3">
        <f t="shared" si="75"/>
        <v>18</v>
      </c>
      <c r="B760" s="306" t="s">
        <v>445</v>
      </c>
      <c r="C760" s="308" t="s">
        <v>379</v>
      </c>
      <c r="D760" s="5" t="s">
        <v>590</v>
      </c>
      <c r="E760" s="3">
        <v>8</v>
      </c>
      <c r="F760" s="5">
        <v>5</v>
      </c>
      <c r="G760" s="3">
        <f t="shared" si="78"/>
        <v>13</v>
      </c>
      <c r="H760" s="3"/>
      <c r="I760" s="3"/>
      <c r="J760" s="5">
        <v>23</v>
      </c>
      <c r="K760" s="3">
        <f t="shared" si="79"/>
        <v>36</v>
      </c>
      <c r="L760" s="7" t="str">
        <f t="shared" si="76"/>
        <v>F</v>
      </c>
      <c r="M760" s="7" t="str">
        <f t="shared" si="77"/>
        <v>Failed</v>
      </c>
      <c r="N760" s="10"/>
      <c r="O760" s="9"/>
      <c r="P760" s="10"/>
    </row>
    <row r="761" spans="1:22" ht="15.6" x14ac:dyDescent="0.3">
      <c r="A761" s="3">
        <f t="shared" si="75"/>
        <v>19</v>
      </c>
      <c r="B761" s="306" t="s">
        <v>446</v>
      </c>
      <c r="C761" s="310" t="s">
        <v>602</v>
      </c>
      <c r="D761" s="5" t="s">
        <v>603</v>
      </c>
      <c r="E761" s="3">
        <v>8</v>
      </c>
      <c r="F761" s="5">
        <v>23</v>
      </c>
      <c r="G761" s="3">
        <f t="shared" si="78"/>
        <v>31</v>
      </c>
      <c r="H761" s="3"/>
      <c r="I761" s="3"/>
      <c r="J761" s="5">
        <v>46</v>
      </c>
      <c r="K761" s="3">
        <f t="shared" si="79"/>
        <v>77</v>
      </c>
      <c r="L761" s="7" t="str">
        <f t="shared" si="76"/>
        <v>B+</v>
      </c>
      <c r="M761" s="7" t="str">
        <f t="shared" si="77"/>
        <v>Passed</v>
      </c>
      <c r="N761" s="10"/>
      <c r="O761" s="9"/>
      <c r="P761" s="10"/>
    </row>
    <row r="762" spans="1:22" ht="15.6" x14ac:dyDescent="0.3">
      <c r="A762" s="3">
        <f t="shared" si="75"/>
        <v>20</v>
      </c>
      <c r="B762" s="306" t="s">
        <v>448</v>
      </c>
      <c r="C762" s="308" t="s">
        <v>380</v>
      </c>
      <c r="D762" s="5" t="s">
        <v>577</v>
      </c>
      <c r="E762" s="3">
        <v>8</v>
      </c>
      <c r="F762" s="339">
        <v>2</v>
      </c>
      <c r="G762" s="3">
        <f t="shared" si="78"/>
        <v>10</v>
      </c>
      <c r="H762" s="3"/>
      <c r="I762" s="3"/>
      <c r="J762" s="5">
        <v>40</v>
      </c>
      <c r="K762" s="3">
        <f t="shared" si="79"/>
        <v>50</v>
      </c>
      <c r="L762" s="7" t="str">
        <f t="shared" si="76"/>
        <v>C</v>
      </c>
      <c r="M762" s="7" t="str">
        <f t="shared" si="77"/>
        <v>Passed</v>
      </c>
      <c r="N762" s="10"/>
      <c r="O762" s="9"/>
      <c r="P762" s="10"/>
    </row>
    <row r="763" spans="1:22" ht="15.6" x14ac:dyDescent="0.3">
      <c r="A763" s="3">
        <f t="shared" si="75"/>
        <v>21</v>
      </c>
      <c r="B763" s="306" t="s">
        <v>447</v>
      </c>
      <c r="C763" s="310" t="s">
        <v>381</v>
      </c>
      <c r="D763" s="5" t="s">
        <v>600</v>
      </c>
      <c r="E763" s="3">
        <v>8</v>
      </c>
      <c r="F763" s="5">
        <v>15</v>
      </c>
      <c r="G763" s="3">
        <f t="shared" si="78"/>
        <v>23</v>
      </c>
      <c r="H763" s="3"/>
      <c r="I763" s="3"/>
      <c r="J763" s="5">
        <v>15</v>
      </c>
      <c r="K763" s="3">
        <f t="shared" si="79"/>
        <v>38</v>
      </c>
      <c r="L763" s="7" t="str">
        <f t="shared" si="76"/>
        <v>F</v>
      </c>
      <c r="M763" s="7" t="str">
        <f t="shared" si="77"/>
        <v>Failed</v>
      </c>
      <c r="N763" s="10"/>
      <c r="O763" s="9"/>
      <c r="P763" s="10"/>
    </row>
    <row r="764" spans="1:22" ht="15.6" x14ac:dyDescent="0.3">
      <c r="A764" s="3">
        <f t="shared" si="75"/>
        <v>22</v>
      </c>
      <c r="B764" s="313" t="s">
        <v>570</v>
      </c>
      <c r="C764" s="309" t="s">
        <v>382</v>
      </c>
      <c r="D764" s="5" t="s">
        <v>571</v>
      </c>
      <c r="E764" s="3">
        <v>8</v>
      </c>
      <c r="F764" s="5">
        <v>18</v>
      </c>
      <c r="G764" s="3">
        <f t="shared" si="78"/>
        <v>26</v>
      </c>
      <c r="H764" s="3"/>
      <c r="I764" s="3"/>
      <c r="J764" s="5">
        <v>39</v>
      </c>
      <c r="K764" s="3">
        <f t="shared" si="79"/>
        <v>65</v>
      </c>
      <c r="L764" s="7" t="str">
        <f t="shared" si="76"/>
        <v>B</v>
      </c>
      <c r="M764" s="7" t="str">
        <f t="shared" si="77"/>
        <v>Passed</v>
      </c>
      <c r="N764" s="10"/>
      <c r="O764" s="9"/>
      <c r="P764" s="10"/>
    </row>
    <row r="765" spans="1:22" ht="15.6" x14ac:dyDescent="0.3">
      <c r="A765" s="3">
        <f t="shared" si="75"/>
        <v>23</v>
      </c>
      <c r="B765" s="306" t="s">
        <v>449</v>
      </c>
      <c r="C765" s="309" t="s">
        <v>383</v>
      </c>
      <c r="D765" s="5" t="s">
        <v>564</v>
      </c>
      <c r="E765" s="3">
        <v>8</v>
      </c>
      <c r="F765" s="5">
        <v>12</v>
      </c>
      <c r="G765" s="3">
        <f t="shared" si="78"/>
        <v>20</v>
      </c>
      <c r="H765" s="3"/>
      <c r="I765" s="3"/>
      <c r="J765" s="5">
        <v>40</v>
      </c>
      <c r="K765" s="3">
        <f t="shared" si="79"/>
        <v>60</v>
      </c>
      <c r="L765" s="7" t="str">
        <f t="shared" si="76"/>
        <v>B</v>
      </c>
      <c r="M765" s="7" t="str">
        <f t="shared" si="77"/>
        <v>Passed</v>
      </c>
      <c r="N765" s="10"/>
      <c r="O765" s="9"/>
      <c r="P765" s="10"/>
    </row>
    <row r="766" spans="1:22" ht="15.6" x14ac:dyDescent="0.3">
      <c r="A766" s="3">
        <f t="shared" si="75"/>
        <v>24</v>
      </c>
      <c r="B766" s="306" t="s">
        <v>450</v>
      </c>
      <c r="C766" s="309" t="s">
        <v>384</v>
      </c>
      <c r="D766" s="5" t="s">
        <v>592</v>
      </c>
      <c r="E766" s="3">
        <v>8</v>
      </c>
      <c r="F766" s="5">
        <v>15</v>
      </c>
      <c r="G766" s="3">
        <f t="shared" si="78"/>
        <v>23</v>
      </c>
      <c r="H766" s="3"/>
      <c r="I766" s="3"/>
      <c r="J766" s="5">
        <v>30</v>
      </c>
      <c r="K766" s="3">
        <f t="shared" si="79"/>
        <v>53</v>
      </c>
      <c r="L766" s="7" t="str">
        <f t="shared" si="76"/>
        <v>C</v>
      </c>
      <c r="M766" s="7" t="str">
        <f t="shared" si="77"/>
        <v>Passed</v>
      </c>
      <c r="N766" s="10"/>
      <c r="O766" s="9"/>
      <c r="P766" s="10"/>
    </row>
    <row r="767" spans="1:22" ht="15.6" x14ac:dyDescent="0.3">
      <c r="A767" s="3">
        <f t="shared" si="75"/>
        <v>25</v>
      </c>
      <c r="B767" s="306" t="s">
        <v>451</v>
      </c>
      <c r="C767" s="310" t="s">
        <v>385</v>
      </c>
      <c r="D767" s="5" t="s">
        <v>611</v>
      </c>
      <c r="E767" s="3">
        <v>8</v>
      </c>
      <c r="F767" s="5">
        <v>16</v>
      </c>
      <c r="G767" s="3">
        <f t="shared" si="78"/>
        <v>24</v>
      </c>
      <c r="H767" s="3"/>
      <c r="I767" s="3"/>
      <c r="J767" s="5">
        <v>19</v>
      </c>
      <c r="K767" s="3">
        <f t="shared" si="79"/>
        <v>43</v>
      </c>
      <c r="L767" s="7" t="str">
        <f t="shared" si="76"/>
        <v>D</v>
      </c>
      <c r="M767" s="7" t="str">
        <f t="shared" si="77"/>
        <v>Failed</v>
      </c>
      <c r="N767" s="10"/>
      <c r="O767" s="9"/>
      <c r="P767" s="10"/>
    </row>
    <row r="768" spans="1:22" ht="15.6" x14ac:dyDescent="0.3">
      <c r="A768" s="3">
        <f t="shared" si="75"/>
        <v>26</v>
      </c>
      <c r="B768" s="306" t="s">
        <v>452</v>
      </c>
      <c r="C768" s="310" t="s">
        <v>386</v>
      </c>
      <c r="D768" s="5" t="s">
        <v>605</v>
      </c>
      <c r="E768" s="3">
        <v>8</v>
      </c>
      <c r="F768" s="5">
        <v>23</v>
      </c>
      <c r="G768" s="3">
        <f t="shared" si="78"/>
        <v>31</v>
      </c>
      <c r="H768" s="3"/>
      <c r="I768" s="3"/>
      <c r="J768" s="5">
        <v>34</v>
      </c>
      <c r="K768" s="3">
        <f t="shared" si="79"/>
        <v>65</v>
      </c>
      <c r="L768" s="7" t="str">
        <f t="shared" si="76"/>
        <v>B</v>
      </c>
      <c r="M768" s="7" t="str">
        <f t="shared" si="77"/>
        <v>Passed</v>
      </c>
      <c r="N768" s="10"/>
      <c r="O768" s="9"/>
      <c r="P768" s="10"/>
    </row>
    <row r="769" spans="1:16" ht="15.6" x14ac:dyDescent="0.3">
      <c r="A769" s="3">
        <f t="shared" si="75"/>
        <v>27</v>
      </c>
      <c r="B769" s="306" t="s">
        <v>453</v>
      </c>
      <c r="C769" s="309" t="s">
        <v>387</v>
      </c>
      <c r="D769" s="5" t="s">
        <v>587</v>
      </c>
      <c r="E769" s="3">
        <v>8</v>
      </c>
      <c r="F769" s="5">
        <v>14</v>
      </c>
      <c r="G769" s="3">
        <f t="shared" si="78"/>
        <v>22</v>
      </c>
      <c r="H769" s="3"/>
      <c r="I769" s="3"/>
      <c r="J769" s="5">
        <v>20</v>
      </c>
      <c r="K769" s="3">
        <f t="shared" si="79"/>
        <v>42</v>
      </c>
      <c r="L769" s="7" t="str">
        <f t="shared" si="76"/>
        <v>D</v>
      </c>
      <c r="M769" s="7" t="str">
        <f t="shared" si="77"/>
        <v>Failed</v>
      </c>
      <c r="N769" s="10"/>
      <c r="O769" s="9"/>
      <c r="P769" s="10"/>
    </row>
    <row r="770" spans="1:16" ht="15.6" x14ac:dyDescent="0.3">
      <c r="A770" s="3">
        <f t="shared" si="75"/>
        <v>28</v>
      </c>
      <c r="B770" s="388">
        <v>400123</v>
      </c>
      <c r="C770" s="310" t="s">
        <v>388</v>
      </c>
      <c r="D770" s="5" t="s">
        <v>598</v>
      </c>
      <c r="E770" s="3">
        <v>8</v>
      </c>
      <c r="F770" s="5">
        <v>22</v>
      </c>
      <c r="G770" s="3">
        <f t="shared" si="78"/>
        <v>30</v>
      </c>
      <c r="H770" s="3"/>
      <c r="I770" s="3"/>
      <c r="J770" s="5">
        <v>20</v>
      </c>
      <c r="K770" s="3">
        <f t="shared" si="79"/>
        <v>50</v>
      </c>
      <c r="L770" s="7" t="str">
        <f t="shared" si="76"/>
        <v>C</v>
      </c>
      <c r="M770" s="7" t="str">
        <f t="shared" si="77"/>
        <v>Passed</v>
      </c>
      <c r="N770" s="10"/>
      <c r="O770" s="9"/>
      <c r="P770" s="10"/>
    </row>
    <row r="771" spans="1:16" ht="15.6" x14ac:dyDescent="0.3">
      <c r="A771" s="3">
        <f t="shared" si="75"/>
        <v>29</v>
      </c>
      <c r="B771" s="306" t="s">
        <v>454</v>
      </c>
      <c r="C771" s="309" t="s">
        <v>771</v>
      </c>
      <c r="D771" s="5" t="s">
        <v>575</v>
      </c>
      <c r="E771" s="3">
        <v>8</v>
      </c>
      <c r="F771" s="5">
        <v>21</v>
      </c>
      <c r="G771" s="3">
        <f t="shared" si="78"/>
        <v>29</v>
      </c>
      <c r="H771" s="3"/>
      <c r="I771" s="3"/>
      <c r="J771" s="5">
        <v>48</v>
      </c>
      <c r="K771" s="3">
        <f t="shared" si="79"/>
        <v>77</v>
      </c>
      <c r="L771" s="7" t="str">
        <f t="shared" si="76"/>
        <v>B+</v>
      </c>
      <c r="M771" s="7" t="str">
        <f t="shared" si="77"/>
        <v>Passed</v>
      </c>
      <c r="N771" s="10"/>
      <c r="O771" s="9"/>
      <c r="P771" s="10"/>
    </row>
    <row r="772" spans="1:16" ht="15.6" x14ac:dyDescent="0.3">
      <c r="A772" s="3">
        <f t="shared" si="75"/>
        <v>30</v>
      </c>
      <c r="B772" s="306" t="s">
        <v>455</v>
      </c>
      <c r="C772" s="307" t="s">
        <v>389</v>
      </c>
      <c r="D772" s="5" t="s">
        <v>569</v>
      </c>
      <c r="E772" s="3">
        <v>8</v>
      </c>
      <c r="F772" s="5">
        <v>19</v>
      </c>
      <c r="G772" s="3">
        <f t="shared" si="78"/>
        <v>27</v>
      </c>
      <c r="H772" s="3"/>
      <c r="I772" s="3"/>
      <c r="J772" s="5">
        <v>20</v>
      </c>
      <c r="K772" s="3">
        <f t="shared" si="79"/>
        <v>47</v>
      </c>
      <c r="L772" s="7" t="str">
        <f t="shared" si="76"/>
        <v>D+</v>
      </c>
      <c r="M772" s="7" t="str">
        <f t="shared" si="77"/>
        <v>Failed</v>
      </c>
      <c r="N772" s="10"/>
      <c r="O772" s="9"/>
      <c r="P772" s="10"/>
    </row>
    <row r="773" spans="1:16" ht="15.6" x14ac:dyDescent="0.3">
      <c r="A773" s="3">
        <f t="shared" si="75"/>
        <v>31</v>
      </c>
      <c r="B773" s="306" t="s">
        <v>456</v>
      </c>
      <c r="C773" s="310" t="s">
        <v>535</v>
      </c>
      <c r="D773" s="5" t="s">
        <v>584</v>
      </c>
      <c r="E773" s="3">
        <v>8</v>
      </c>
      <c r="F773" s="5">
        <v>14</v>
      </c>
      <c r="G773" s="3">
        <f t="shared" si="78"/>
        <v>22</v>
      </c>
      <c r="H773" s="3"/>
      <c r="I773" s="3"/>
      <c r="J773" s="5">
        <v>38</v>
      </c>
      <c r="K773" s="3">
        <f t="shared" si="79"/>
        <v>60</v>
      </c>
      <c r="L773" s="7" t="str">
        <f t="shared" si="76"/>
        <v>B</v>
      </c>
      <c r="M773" s="7" t="str">
        <f t="shared" si="77"/>
        <v>Passed</v>
      </c>
      <c r="N773" s="10"/>
      <c r="O773" s="9"/>
      <c r="P773" s="10"/>
    </row>
    <row r="774" spans="1:16" ht="15.6" x14ac:dyDescent="0.3">
      <c r="A774" s="3">
        <f t="shared" si="75"/>
        <v>32</v>
      </c>
      <c r="B774" s="306" t="s">
        <v>457</v>
      </c>
      <c r="C774" s="307" t="s">
        <v>390</v>
      </c>
      <c r="D774" s="5" t="s">
        <v>573</v>
      </c>
      <c r="E774" s="3">
        <v>8</v>
      </c>
      <c r="F774" s="5">
        <v>19</v>
      </c>
      <c r="G774" s="3">
        <f t="shared" si="78"/>
        <v>27</v>
      </c>
      <c r="H774" s="3"/>
      <c r="I774" s="3"/>
      <c r="J774" s="5">
        <v>44</v>
      </c>
      <c r="K774" s="3">
        <f t="shared" si="79"/>
        <v>71</v>
      </c>
      <c r="L774" s="7" t="str">
        <f t="shared" si="76"/>
        <v>B+</v>
      </c>
      <c r="M774" s="7" t="str">
        <f t="shared" si="77"/>
        <v>Passed</v>
      </c>
      <c r="N774" s="10"/>
      <c r="O774" s="9"/>
      <c r="P774" s="10"/>
    </row>
    <row r="775" spans="1:16" ht="15.6" x14ac:dyDescent="0.3">
      <c r="A775" s="3">
        <f t="shared" ref="A775:A796" si="80">ROW(A33)</f>
        <v>33</v>
      </c>
      <c r="B775" s="306" t="s">
        <v>458</v>
      </c>
      <c r="C775" s="307" t="s">
        <v>391</v>
      </c>
      <c r="D775" s="5" t="s">
        <v>560</v>
      </c>
      <c r="E775" s="3">
        <v>8</v>
      </c>
      <c r="F775" s="5">
        <v>17</v>
      </c>
      <c r="G775" s="3">
        <f t="shared" si="78"/>
        <v>25</v>
      </c>
      <c r="H775" s="3"/>
      <c r="I775" s="3"/>
      <c r="J775" s="5">
        <v>38</v>
      </c>
      <c r="K775" s="3">
        <f t="shared" si="79"/>
        <v>63</v>
      </c>
      <c r="L775" s="7" t="str">
        <f t="shared" si="76"/>
        <v>B</v>
      </c>
      <c r="M775" s="7" t="str">
        <f t="shared" si="77"/>
        <v>Passed</v>
      </c>
      <c r="N775" s="10"/>
      <c r="O775" s="9"/>
      <c r="P775" s="10"/>
    </row>
    <row r="776" spans="1:16" ht="15.6" x14ac:dyDescent="0.3">
      <c r="A776" s="3">
        <f t="shared" si="80"/>
        <v>34</v>
      </c>
      <c r="B776" s="306" t="s">
        <v>459</v>
      </c>
      <c r="C776" s="309" t="s">
        <v>557</v>
      </c>
      <c r="D776" s="5" t="s">
        <v>558</v>
      </c>
      <c r="E776" s="3">
        <v>8</v>
      </c>
      <c r="F776" s="5">
        <v>17</v>
      </c>
      <c r="G776" s="3">
        <f t="shared" si="78"/>
        <v>25</v>
      </c>
      <c r="H776" s="3"/>
      <c r="I776" s="3"/>
      <c r="J776" s="5">
        <v>38</v>
      </c>
      <c r="K776" s="3">
        <f t="shared" si="79"/>
        <v>63</v>
      </c>
      <c r="L776" s="7" t="str">
        <f t="shared" si="76"/>
        <v>B</v>
      </c>
      <c r="M776" s="7" t="str">
        <f t="shared" si="77"/>
        <v>Passed</v>
      </c>
      <c r="N776" s="10"/>
      <c r="O776" s="9"/>
      <c r="P776" s="10"/>
    </row>
    <row r="777" spans="1:16" ht="15.6" x14ac:dyDescent="0.3">
      <c r="A777" s="3">
        <f t="shared" si="80"/>
        <v>35</v>
      </c>
      <c r="B777" s="306" t="s">
        <v>460</v>
      </c>
      <c r="C777" s="309" t="s">
        <v>392</v>
      </c>
      <c r="D777" s="5" t="s">
        <v>597</v>
      </c>
      <c r="E777" s="3">
        <v>8</v>
      </c>
      <c r="F777" s="5">
        <v>14</v>
      </c>
      <c r="G777" s="3">
        <f t="shared" si="78"/>
        <v>22</v>
      </c>
      <c r="H777" s="3"/>
      <c r="I777" s="3"/>
      <c r="J777" s="5">
        <v>8</v>
      </c>
      <c r="K777" s="3">
        <f t="shared" si="79"/>
        <v>30</v>
      </c>
      <c r="L777" s="7" t="str">
        <f t="shared" si="76"/>
        <v>F</v>
      </c>
      <c r="M777" s="7" t="str">
        <f t="shared" si="77"/>
        <v>Failed</v>
      </c>
      <c r="N777" s="10"/>
      <c r="O777" s="9"/>
      <c r="P777" s="10"/>
    </row>
    <row r="778" spans="1:16" ht="15.6" x14ac:dyDescent="0.3">
      <c r="A778" s="3">
        <f t="shared" si="80"/>
        <v>36</v>
      </c>
      <c r="B778" s="306" t="s">
        <v>461</v>
      </c>
      <c r="C778" s="309" t="s">
        <v>393</v>
      </c>
      <c r="D778" s="5" t="s">
        <v>559</v>
      </c>
      <c r="E778" s="3">
        <v>8</v>
      </c>
      <c r="F778" s="5">
        <v>18</v>
      </c>
      <c r="G778" s="3">
        <f t="shared" si="78"/>
        <v>26</v>
      </c>
      <c r="H778" s="3"/>
      <c r="I778" s="3"/>
      <c r="J778" s="5">
        <v>26</v>
      </c>
      <c r="K778" s="3">
        <f t="shared" si="79"/>
        <v>52</v>
      </c>
      <c r="L778" s="7" t="str">
        <f t="shared" si="76"/>
        <v>C</v>
      </c>
      <c r="M778" s="7" t="str">
        <f t="shared" si="77"/>
        <v>Passed</v>
      </c>
      <c r="N778" s="10"/>
      <c r="O778" s="9"/>
      <c r="P778" s="10"/>
    </row>
    <row r="779" spans="1:16" ht="15.6" x14ac:dyDescent="0.3">
      <c r="A779" s="3">
        <f t="shared" si="80"/>
        <v>37</v>
      </c>
      <c r="B779" s="306" t="s">
        <v>462</v>
      </c>
      <c r="C779" s="309" t="s">
        <v>394</v>
      </c>
      <c r="D779" s="5" t="s">
        <v>556</v>
      </c>
      <c r="E779" s="3">
        <v>8</v>
      </c>
      <c r="F779" s="5">
        <v>19</v>
      </c>
      <c r="G779" s="3">
        <f t="shared" si="78"/>
        <v>27</v>
      </c>
      <c r="H779" s="3"/>
      <c r="I779" s="3"/>
      <c r="J779" s="5">
        <v>39</v>
      </c>
      <c r="K779" s="3">
        <f t="shared" si="79"/>
        <v>66</v>
      </c>
      <c r="L779" s="7" t="str">
        <f t="shared" si="76"/>
        <v>B</v>
      </c>
      <c r="M779" s="7" t="str">
        <f t="shared" si="77"/>
        <v>Passed</v>
      </c>
      <c r="N779" s="10"/>
      <c r="O779" s="9"/>
      <c r="P779" s="10"/>
    </row>
    <row r="780" spans="1:16" ht="15.6" x14ac:dyDescent="0.3">
      <c r="A780" s="3">
        <f t="shared" si="80"/>
        <v>38</v>
      </c>
      <c r="B780" s="306" t="s">
        <v>463</v>
      </c>
      <c r="C780" s="309" t="s">
        <v>395</v>
      </c>
      <c r="D780" s="5" t="s">
        <v>574</v>
      </c>
      <c r="E780" s="3">
        <v>8</v>
      </c>
      <c r="F780" s="5">
        <v>21</v>
      </c>
      <c r="G780" s="3">
        <f t="shared" si="78"/>
        <v>29</v>
      </c>
      <c r="H780" s="3"/>
      <c r="I780" s="3"/>
      <c r="J780" s="5">
        <v>7</v>
      </c>
      <c r="K780" s="3">
        <f t="shared" si="79"/>
        <v>36</v>
      </c>
      <c r="L780" s="7" t="str">
        <f t="shared" si="76"/>
        <v>F</v>
      </c>
      <c r="M780" s="7" t="str">
        <f t="shared" si="77"/>
        <v>Failed</v>
      </c>
      <c r="N780" s="10"/>
      <c r="O780" s="9"/>
      <c r="P780" s="10"/>
    </row>
    <row r="781" spans="1:16" ht="15.6" x14ac:dyDescent="0.3">
      <c r="A781" s="3">
        <f t="shared" si="80"/>
        <v>39</v>
      </c>
      <c r="B781" s="306" t="s">
        <v>464</v>
      </c>
      <c r="C781" s="309" t="s">
        <v>396</v>
      </c>
      <c r="D781" s="5" t="s">
        <v>580</v>
      </c>
      <c r="E781" s="3">
        <v>8</v>
      </c>
      <c r="F781" s="5">
        <v>16</v>
      </c>
      <c r="G781" s="3">
        <f t="shared" si="78"/>
        <v>24</v>
      </c>
      <c r="H781" s="3"/>
      <c r="I781" s="3"/>
      <c r="J781" s="5">
        <v>40</v>
      </c>
      <c r="K781" s="3">
        <f t="shared" si="79"/>
        <v>64</v>
      </c>
      <c r="L781" s="7" t="str">
        <f t="shared" si="76"/>
        <v>B</v>
      </c>
      <c r="M781" s="7" t="str">
        <f t="shared" si="77"/>
        <v>Passed</v>
      </c>
      <c r="N781" s="10"/>
      <c r="O781" s="9"/>
      <c r="P781" s="10"/>
    </row>
    <row r="782" spans="1:16" ht="15.6" x14ac:dyDescent="0.3">
      <c r="A782" s="3">
        <f t="shared" si="80"/>
        <v>40</v>
      </c>
      <c r="B782" s="306" t="s">
        <v>465</v>
      </c>
      <c r="C782" s="309" t="s">
        <v>397</v>
      </c>
      <c r="D782" s="5" t="s">
        <v>610</v>
      </c>
      <c r="E782" s="3">
        <v>8</v>
      </c>
      <c r="F782" s="5">
        <v>27</v>
      </c>
      <c r="G782" s="3">
        <f t="shared" si="78"/>
        <v>35</v>
      </c>
      <c r="H782" s="3"/>
      <c r="I782" s="3"/>
      <c r="J782" s="5">
        <v>7</v>
      </c>
      <c r="K782" s="3">
        <f t="shared" si="79"/>
        <v>42</v>
      </c>
      <c r="L782" s="7" t="str">
        <f t="shared" si="76"/>
        <v>D</v>
      </c>
      <c r="M782" s="7" t="str">
        <f t="shared" si="77"/>
        <v>Failed</v>
      </c>
      <c r="N782" s="10"/>
      <c r="O782" s="9"/>
      <c r="P782" s="10"/>
    </row>
    <row r="783" spans="1:16" ht="15.6" x14ac:dyDescent="0.3">
      <c r="A783" s="3">
        <f t="shared" si="80"/>
        <v>41</v>
      </c>
      <c r="B783" s="306" t="s">
        <v>466</v>
      </c>
      <c r="C783" s="307" t="s">
        <v>398</v>
      </c>
      <c r="D783" s="5" t="s">
        <v>591</v>
      </c>
      <c r="E783" s="3">
        <v>8</v>
      </c>
      <c r="F783" s="5">
        <v>21</v>
      </c>
      <c r="G783" s="3">
        <f t="shared" si="78"/>
        <v>29</v>
      </c>
      <c r="H783" s="3"/>
      <c r="I783" s="3"/>
      <c r="J783" s="5">
        <v>24</v>
      </c>
      <c r="K783" s="3">
        <f t="shared" si="79"/>
        <v>53</v>
      </c>
      <c r="L783" s="7" t="str">
        <f t="shared" si="76"/>
        <v>C</v>
      </c>
      <c r="M783" s="7" t="str">
        <f t="shared" si="77"/>
        <v>Passed</v>
      </c>
      <c r="N783" s="10"/>
      <c r="O783" s="9"/>
      <c r="P783" s="10"/>
    </row>
    <row r="784" spans="1:16" ht="15.6" x14ac:dyDescent="0.3">
      <c r="A784" s="3">
        <f t="shared" si="80"/>
        <v>42</v>
      </c>
      <c r="B784" s="306" t="s">
        <v>467</v>
      </c>
      <c r="C784" s="307" t="s">
        <v>399</v>
      </c>
      <c r="D784" s="5" t="s">
        <v>567</v>
      </c>
      <c r="E784" s="3">
        <v>8</v>
      </c>
      <c r="F784" s="5">
        <v>20</v>
      </c>
      <c r="G784" s="3">
        <f t="shared" si="78"/>
        <v>28</v>
      </c>
      <c r="H784" s="3"/>
      <c r="I784" s="3"/>
      <c r="J784" s="5">
        <v>33</v>
      </c>
      <c r="K784" s="3">
        <f t="shared" si="79"/>
        <v>61</v>
      </c>
      <c r="L784" s="7" t="str">
        <f t="shared" si="76"/>
        <v>B</v>
      </c>
      <c r="M784" s="7" t="str">
        <f t="shared" si="77"/>
        <v>Passed</v>
      </c>
      <c r="N784" s="10"/>
      <c r="O784" s="9"/>
      <c r="P784" s="10"/>
    </row>
    <row r="785" spans="1:16" ht="15.6" x14ac:dyDescent="0.3">
      <c r="A785" s="3">
        <f t="shared" si="80"/>
        <v>43</v>
      </c>
      <c r="B785" s="306" t="s">
        <v>468</v>
      </c>
      <c r="C785" s="383" t="s">
        <v>552</v>
      </c>
      <c r="D785" s="5" t="s">
        <v>553</v>
      </c>
      <c r="E785" s="3">
        <v>8</v>
      </c>
      <c r="F785" s="5">
        <v>10</v>
      </c>
      <c r="G785" s="3">
        <f t="shared" si="78"/>
        <v>18</v>
      </c>
      <c r="H785" s="3"/>
      <c r="I785" s="3"/>
      <c r="J785" s="5">
        <v>42</v>
      </c>
      <c r="K785" s="3">
        <f t="shared" si="79"/>
        <v>60</v>
      </c>
      <c r="L785" s="7" t="str">
        <f t="shared" si="76"/>
        <v>B</v>
      </c>
      <c r="M785" s="7" t="str">
        <f t="shared" si="77"/>
        <v>Passed</v>
      </c>
      <c r="N785" s="10"/>
      <c r="O785" s="9"/>
      <c r="P785" s="10"/>
    </row>
    <row r="786" spans="1:16" ht="15.6" x14ac:dyDescent="0.3">
      <c r="A786" s="3">
        <f t="shared" si="80"/>
        <v>44</v>
      </c>
      <c r="B786" s="306" t="s">
        <v>469</v>
      </c>
      <c r="C786" s="308" t="s">
        <v>400</v>
      </c>
      <c r="D786" s="5" t="s">
        <v>555</v>
      </c>
      <c r="E786" s="3">
        <v>8</v>
      </c>
      <c r="F786" s="5">
        <v>19</v>
      </c>
      <c r="G786" s="3">
        <f t="shared" si="78"/>
        <v>27</v>
      </c>
      <c r="H786" s="3"/>
      <c r="I786" s="3"/>
      <c r="J786" s="5">
        <v>42</v>
      </c>
      <c r="K786" s="3">
        <f t="shared" si="79"/>
        <v>69</v>
      </c>
      <c r="L786" s="7" t="str">
        <f t="shared" si="76"/>
        <v>B</v>
      </c>
      <c r="M786" s="7" t="str">
        <f t="shared" si="77"/>
        <v>Passed</v>
      </c>
      <c r="N786" s="10"/>
      <c r="O786" s="9"/>
      <c r="P786" s="10"/>
    </row>
    <row r="787" spans="1:16" ht="15.6" x14ac:dyDescent="0.3">
      <c r="A787" s="3">
        <f t="shared" si="80"/>
        <v>45</v>
      </c>
      <c r="B787" s="306" t="s">
        <v>470</v>
      </c>
      <c r="C787" s="307" t="s">
        <v>401</v>
      </c>
      <c r="D787" s="5" t="s">
        <v>561</v>
      </c>
      <c r="E787" s="3">
        <v>8</v>
      </c>
      <c r="F787" s="5">
        <v>22</v>
      </c>
      <c r="G787" s="3">
        <f t="shared" si="78"/>
        <v>30</v>
      </c>
      <c r="H787" s="3"/>
      <c r="I787" s="3"/>
      <c r="J787" s="5">
        <v>36</v>
      </c>
      <c r="K787" s="3">
        <f t="shared" si="79"/>
        <v>66</v>
      </c>
      <c r="L787" s="7" t="str">
        <f t="shared" si="76"/>
        <v>B</v>
      </c>
      <c r="M787" s="7" t="str">
        <f t="shared" si="77"/>
        <v>Passed</v>
      </c>
      <c r="N787" s="10"/>
      <c r="O787" s="9"/>
      <c r="P787" s="10"/>
    </row>
    <row r="788" spans="1:16" ht="15.6" x14ac:dyDescent="0.3">
      <c r="A788" s="3">
        <f t="shared" si="80"/>
        <v>46</v>
      </c>
      <c r="B788" s="306" t="s">
        <v>471</v>
      </c>
      <c r="C788" s="307" t="s">
        <v>402</v>
      </c>
      <c r="D788" s="5" t="s">
        <v>593</v>
      </c>
      <c r="E788" s="3">
        <v>8</v>
      </c>
      <c r="F788" s="5">
        <v>14</v>
      </c>
      <c r="G788" s="3">
        <f t="shared" si="78"/>
        <v>22</v>
      </c>
      <c r="H788" s="3"/>
      <c r="I788" s="3"/>
      <c r="J788" s="5">
        <v>44</v>
      </c>
      <c r="K788" s="3">
        <f t="shared" si="79"/>
        <v>66</v>
      </c>
      <c r="L788" s="7" t="str">
        <f t="shared" si="76"/>
        <v>B</v>
      </c>
      <c r="M788" s="7" t="str">
        <f t="shared" si="77"/>
        <v>Passed</v>
      </c>
      <c r="N788" s="10"/>
      <c r="O788" s="9"/>
      <c r="P788" s="10"/>
    </row>
    <row r="789" spans="1:16" ht="15.6" x14ac:dyDescent="0.3">
      <c r="A789" s="3">
        <f t="shared" si="80"/>
        <v>47</v>
      </c>
      <c r="B789" s="306" t="s">
        <v>472</v>
      </c>
      <c r="C789" s="12" t="s">
        <v>403</v>
      </c>
      <c r="D789" s="5" t="s">
        <v>608</v>
      </c>
      <c r="E789" s="3">
        <v>8</v>
      </c>
      <c r="F789" s="5">
        <v>16</v>
      </c>
      <c r="G789" s="3">
        <f t="shared" si="78"/>
        <v>24</v>
      </c>
      <c r="H789" s="3"/>
      <c r="I789" s="3"/>
      <c r="J789" s="5">
        <v>15</v>
      </c>
      <c r="K789" s="3">
        <f t="shared" si="79"/>
        <v>39</v>
      </c>
      <c r="L789" s="7" t="str">
        <f t="shared" si="76"/>
        <v>F</v>
      </c>
      <c r="M789" s="7" t="str">
        <f t="shared" si="77"/>
        <v>Failed</v>
      </c>
      <c r="N789" s="10"/>
      <c r="O789" s="9"/>
      <c r="P789" s="10"/>
    </row>
    <row r="790" spans="1:16" ht="15.6" x14ac:dyDescent="0.3">
      <c r="A790" s="3">
        <f t="shared" si="80"/>
        <v>48</v>
      </c>
      <c r="B790" s="12" t="s">
        <v>473</v>
      </c>
      <c r="C790" s="307" t="s">
        <v>404</v>
      </c>
      <c r="D790" s="5" t="s">
        <v>604</v>
      </c>
      <c r="E790" s="3">
        <v>8</v>
      </c>
      <c r="F790" s="5">
        <v>18</v>
      </c>
      <c r="G790" s="3">
        <f t="shared" si="78"/>
        <v>26</v>
      </c>
      <c r="H790" s="3"/>
      <c r="I790" s="3"/>
      <c r="J790" s="5">
        <v>46</v>
      </c>
      <c r="K790" s="3">
        <f t="shared" si="79"/>
        <v>72</v>
      </c>
      <c r="L790" s="7" t="str">
        <f t="shared" si="76"/>
        <v>B+</v>
      </c>
      <c r="M790" s="7" t="str">
        <f t="shared" si="77"/>
        <v>Passed</v>
      </c>
      <c r="N790" s="10"/>
      <c r="O790" s="9"/>
      <c r="P790" s="10"/>
    </row>
    <row r="791" spans="1:16" ht="15.6" x14ac:dyDescent="0.3">
      <c r="A791" s="3">
        <f t="shared" si="80"/>
        <v>49</v>
      </c>
      <c r="B791" s="12" t="s">
        <v>474</v>
      </c>
      <c r="C791" s="307" t="s">
        <v>405</v>
      </c>
      <c r="D791" s="5" t="s">
        <v>599</v>
      </c>
      <c r="E791" s="3">
        <v>8</v>
      </c>
      <c r="F791" s="5">
        <v>0</v>
      </c>
      <c r="G791" s="3">
        <f t="shared" si="78"/>
        <v>8</v>
      </c>
      <c r="H791" s="3"/>
      <c r="I791" s="3"/>
      <c r="J791" s="5">
        <v>8</v>
      </c>
      <c r="K791" s="3">
        <f t="shared" si="79"/>
        <v>16</v>
      </c>
      <c r="L791" s="7" t="str">
        <f t="shared" si="76"/>
        <v>F</v>
      </c>
      <c r="M791" s="7" t="str">
        <f t="shared" si="77"/>
        <v>Failed</v>
      </c>
      <c r="N791" s="10"/>
      <c r="O791" s="9"/>
      <c r="P791" s="10"/>
    </row>
    <row r="792" spans="1:16" ht="15.6" x14ac:dyDescent="0.3">
      <c r="A792" s="3">
        <f t="shared" si="80"/>
        <v>50</v>
      </c>
      <c r="B792" s="12" t="s">
        <v>475</v>
      </c>
      <c r="C792" s="307" t="s">
        <v>406</v>
      </c>
      <c r="D792" s="5" t="s">
        <v>549</v>
      </c>
      <c r="E792" s="3">
        <v>8</v>
      </c>
      <c r="F792" s="5">
        <v>21</v>
      </c>
      <c r="G792" s="3">
        <f t="shared" si="78"/>
        <v>29</v>
      </c>
      <c r="H792" s="3"/>
      <c r="I792" s="3"/>
      <c r="J792" s="5">
        <v>40</v>
      </c>
      <c r="K792" s="3">
        <f t="shared" si="79"/>
        <v>69</v>
      </c>
      <c r="L792" s="7" t="str">
        <f t="shared" si="76"/>
        <v>B</v>
      </c>
      <c r="M792" s="7" t="str">
        <f t="shared" si="77"/>
        <v>Passed</v>
      </c>
      <c r="N792" s="10"/>
      <c r="O792" s="9"/>
      <c r="P792" s="10"/>
    </row>
    <row r="793" spans="1:16" ht="15.6" x14ac:dyDescent="0.3">
      <c r="A793" s="3">
        <f t="shared" si="80"/>
        <v>51</v>
      </c>
      <c r="B793" s="12" t="s">
        <v>476</v>
      </c>
      <c r="C793" s="307" t="s">
        <v>407</v>
      </c>
      <c r="D793" s="5" t="s">
        <v>588</v>
      </c>
      <c r="E793" s="3">
        <v>8</v>
      </c>
      <c r="F793" s="5">
        <v>21</v>
      </c>
      <c r="G793" s="3">
        <f t="shared" si="78"/>
        <v>29</v>
      </c>
      <c r="H793" s="3"/>
      <c r="I793" s="3"/>
      <c r="J793" s="5">
        <v>18</v>
      </c>
      <c r="K793" s="3">
        <f t="shared" si="79"/>
        <v>47</v>
      </c>
      <c r="L793" s="7" t="str">
        <f t="shared" si="76"/>
        <v>D+</v>
      </c>
      <c r="M793" s="7" t="str">
        <f t="shared" si="77"/>
        <v>Failed</v>
      </c>
      <c r="N793" s="10"/>
      <c r="O793" s="9"/>
      <c r="P793" s="10"/>
    </row>
    <row r="794" spans="1:16" ht="15.6" x14ac:dyDescent="0.3">
      <c r="A794" s="3">
        <f t="shared" si="80"/>
        <v>52</v>
      </c>
      <c r="B794" s="12" t="s">
        <v>477</v>
      </c>
      <c r="C794" s="307" t="s">
        <v>408</v>
      </c>
      <c r="D794" s="5" t="s">
        <v>594</v>
      </c>
      <c r="E794" s="3">
        <v>8</v>
      </c>
      <c r="F794" s="5">
        <v>0</v>
      </c>
      <c r="G794" s="3">
        <f t="shared" si="78"/>
        <v>8</v>
      </c>
      <c r="H794" s="3"/>
      <c r="I794" s="3"/>
      <c r="J794" s="5">
        <v>47</v>
      </c>
      <c r="K794" s="3">
        <f t="shared" si="79"/>
        <v>55</v>
      </c>
      <c r="L794" s="7" t="str">
        <f t="shared" si="76"/>
        <v>C+</v>
      </c>
      <c r="M794" s="7" t="str">
        <f t="shared" si="77"/>
        <v>Passed</v>
      </c>
      <c r="N794" s="10"/>
      <c r="O794" s="9"/>
      <c r="P794" s="10"/>
    </row>
    <row r="795" spans="1:16" ht="15.6" x14ac:dyDescent="0.3">
      <c r="A795" s="3">
        <f t="shared" si="80"/>
        <v>53</v>
      </c>
      <c r="B795" s="12" t="s">
        <v>478</v>
      </c>
      <c r="C795" s="307" t="s">
        <v>409</v>
      </c>
      <c r="D795" s="5" t="s">
        <v>582</v>
      </c>
      <c r="E795" s="3">
        <v>8</v>
      </c>
      <c r="F795" s="5">
        <v>24</v>
      </c>
      <c r="G795" s="3">
        <f t="shared" si="78"/>
        <v>32</v>
      </c>
      <c r="H795" s="3"/>
      <c r="I795" s="3"/>
      <c r="J795" s="5">
        <v>12</v>
      </c>
      <c r="K795" s="3">
        <f t="shared" si="79"/>
        <v>44</v>
      </c>
      <c r="L795" s="7" t="str">
        <f t="shared" si="76"/>
        <v>D</v>
      </c>
      <c r="M795" s="7" t="str">
        <f t="shared" si="77"/>
        <v>Failed</v>
      </c>
      <c r="N795" s="10"/>
      <c r="O795" s="9"/>
      <c r="P795" s="10"/>
    </row>
    <row r="796" spans="1:16" ht="15.6" x14ac:dyDescent="0.3">
      <c r="A796" s="3">
        <f t="shared" si="80"/>
        <v>54</v>
      </c>
      <c r="B796" s="12" t="s">
        <v>479</v>
      </c>
      <c r="C796" s="12" t="s">
        <v>410</v>
      </c>
      <c r="D796" s="5" t="s">
        <v>572</v>
      </c>
      <c r="E796" s="3">
        <v>8</v>
      </c>
      <c r="F796" s="5">
        <v>22</v>
      </c>
      <c r="G796" s="3">
        <f t="shared" si="78"/>
        <v>30</v>
      </c>
      <c r="H796" s="5"/>
      <c r="I796" s="5"/>
      <c r="J796" s="5">
        <v>43</v>
      </c>
      <c r="K796" s="3">
        <f t="shared" si="79"/>
        <v>73</v>
      </c>
      <c r="L796" s="7" t="str">
        <f t="shared" si="76"/>
        <v>B+</v>
      </c>
      <c r="M796" s="7" t="str">
        <f t="shared" si="77"/>
        <v>Passed</v>
      </c>
      <c r="N796" s="10"/>
      <c r="O796" s="9"/>
      <c r="P796" s="10"/>
    </row>
    <row r="797" spans="1:16" ht="15.6" x14ac:dyDescent="0.3">
      <c r="A797" s="10"/>
      <c r="B797" s="10"/>
      <c r="C797" s="75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9"/>
      <c r="P797" s="10"/>
    </row>
    <row r="798" spans="1:16" ht="15.6" x14ac:dyDescent="0.3">
      <c r="A798" s="10"/>
      <c r="B798" s="10"/>
      <c r="C798" s="75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9"/>
      <c r="P798" s="10"/>
    </row>
    <row r="799" spans="1:16" ht="15.6" x14ac:dyDescent="0.3">
      <c r="A799" s="10"/>
      <c r="B799" s="10"/>
      <c r="C799" s="75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9"/>
      <c r="P799" s="10"/>
    </row>
    <row r="800" spans="1:16" ht="15.6" x14ac:dyDescent="0.3">
      <c r="A800" s="17" t="s">
        <v>0</v>
      </c>
      <c r="B800" s="18"/>
      <c r="C800" s="71"/>
      <c r="D800" s="18"/>
      <c r="E800" s="18"/>
      <c r="F800" s="18"/>
      <c r="G800" s="18"/>
      <c r="H800" s="67"/>
      <c r="I800" s="67"/>
      <c r="J800" s="18"/>
      <c r="K800" s="18"/>
      <c r="L800" s="10"/>
      <c r="M800" s="10"/>
      <c r="N800" s="10"/>
      <c r="O800" s="9"/>
      <c r="P800" s="10"/>
    </row>
    <row r="801" spans="1:16" ht="15.6" x14ac:dyDescent="0.3">
      <c r="A801" s="503" t="s">
        <v>44</v>
      </c>
      <c r="B801" s="504"/>
      <c r="C801" s="504"/>
      <c r="D801" s="504"/>
      <c r="E801" s="504"/>
      <c r="F801" s="504"/>
      <c r="G801" s="504"/>
      <c r="H801" s="504"/>
      <c r="I801" s="504"/>
      <c r="J801" s="18"/>
      <c r="K801" s="18"/>
      <c r="L801" s="10"/>
      <c r="M801" s="10"/>
      <c r="N801" s="10"/>
      <c r="O801" s="9"/>
      <c r="P801" s="10"/>
    </row>
    <row r="802" spans="1:16" ht="15.6" x14ac:dyDescent="0.3">
      <c r="A802" s="86" t="s">
        <v>143</v>
      </c>
      <c r="B802" s="87"/>
      <c r="C802" s="87"/>
      <c r="D802" s="87"/>
      <c r="E802" s="87"/>
      <c r="F802" s="87"/>
      <c r="G802" s="87"/>
      <c r="H802" s="87"/>
      <c r="I802" s="87"/>
      <c r="J802" s="18"/>
      <c r="K802" s="18"/>
      <c r="L802" s="19"/>
      <c r="M802" s="10"/>
      <c r="N802" s="10"/>
      <c r="O802" s="9"/>
      <c r="P802" s="10"/>
    </row>
    <row r="803" spans="1:16" ht="15.6" x14ac:dyDescent="0.3">
      <c r="A803" s="20" t="s">
        <v>1</v>
      </c>
      <c r="B803" s="21"/>
      <c r="C803" s="86" t="s">
        <v>414</v>
      </c>
      <c r="D803" s="87"/>
      <c r="E803" s="87"/>
      <c r="F803" s="87"/>
      <c r="G803" s="87"/>
      <c r="H803" s="87"/>
      <c r="I803" s="87"/>
      <c r="J803" s="87"/>
      <c r="K803" s="18"/>
      <c r="L803" s="19"/>
      <c r="M803" s="10"/>
      <c r="N803" s="10"/>
      <c r="O803" s="9"/>
      <c r="P803" s="10"/>
    </row>
    <row r="804" spans="1:16" ht="15.6" x14ac:dyDescent="0.3">
      <c r="A804" s="20" t="s">
        <v>3</v>
      </c>
      <c r="B804" s="21"/>
      <c r="C804" s="84" t="s">
        <v>64</v>
      </c>
      <c r="D804" s="85"/>
      <c r="E804" s="85"/>
      <c r="F804" s="85"/>
      <c r="G804" s="85"/>
      <c r="H804" s="85"/>
      <c r="I804" s="85"/>
      <c r="J804" s="85"/>
      <c r="K804" s="18"/>
      <c r="L804" s="19"/>
      <c r="M804" s="10"/>
      <c r="N804" s="10"/>
      <c r="O804" s="9"/>
      <c r="P804" s="10"/>
    </row>
    <row r="805" spans="1:16" ht="15.6" x14ac:dyDescent="0.3">
      <c r="A805" s="20" t="s">
        <v>4</v>
      </c>
      <c r="B805" s="21"/>
      <c r="C805" s="84" t="s">
        <v>65</v>
      </c>
      <c r="D805" s="85"/>
      <c r="E805" s="85"/>
      <c r="F805" s="85"/>
      <c r="G805" s="85"/>
      <c r="H805" s="85"/>
      <c r="I805" s="85"/>
      <c r="J805" s="85"/>
      <c r="K805" s="18"/>
      <c r="L805" s="19"/>
      <c r="M805" s="10"/>
      <c r="N805" s="10"/>
      <c r="O805" s="9"/>
      <c r="P805" s="10"/>
    </row>
    <row r="806" spans="1:16" ht="15.6" x14ac:dyDescent="0.3">
      <c r="A806" s="20" t="s">
        <v>5</v>
      </c>
      <c r="B806" s="21"/>
      <c r="C806" s="86">
        <v>3</v>
      </c>
      <c r="D806" s="87"/>
      <c r="E806" s="87"/>
      <c r="F806" s="87"/>
      <c r="G806" s="87"/>
      <c r="H806" s="87"/>
      <c r="I806" s="87"/>
      <c r="J806" s="87"/>
      <c r="K806" s="18"/>
      <c r="L806" s="19"/>
      <c r="M806" s="10"/>
      <c r="N806" s="10"/>
      <c r="O806" s="9"/>
      <c r="P806" s="10"/>
    </row>
    <row r="807" spans="1:16" ht="15.6" x14ac:dyDescent="0.3">
      <c r="A807" s="508" t="s">
        <v>6</v>
      </c>
      <c r="B807" s="509"/>
      <c r="C807" s="300" t="s">
        <v>420</v>
      </c>
      <c r="D807" s="85"/>
      <c r="E807" s="85"/>
      <c r="F807" s="85"/>
      <c r="G807" s="85"/>
      <c r="H807" s="85"/>
      <c r="I807" s="85"/>
      <c r="J807" s="85"/>
      <c r="K807" s="18"/>
      <c r="L807" s="19"/>
      <c r="M807" s="10"/>
      <c r="N807" s="10"/>
      <c r="O807" s="9"/>
      <c r="P807" s="10"/>
    </row>
    <row r="808" spans="1:16" ht="16.2" x14ac:dyDescent="0.35">
      <c r="A808" s="508" t="s">
        <v>7</v>
      </c>
      <c r="B808" s="509"/>
      <c r="C808" s="72" t="s">
        <v>677</v>
      </c>
      <c r="D808" s="18"/>
      <c r="E808" s="22"/>
      <c r="F808" s="18"/>
      <c r="G808" s="18"/>
      <c r="H808" s="67"/>
      <c r="I808" s="67"/>
      <c r="J808" s="18"/>
      <c r="K808" s="18"/>
      <c r="L808" s="19"/>
      <c r="M808" s="10"/>
      <c r="N808" s="10"/>
      <c r="O808" s="9"/>
      <c r="P808" s="10"/>
    </row>
    <row r="809" spans="1:16" ht="68.400000000000006" x14ac:dyDescent="0.3">
      <c r="A809" s="24" t="s">
        <v>8</v>
      </c>
      <c r="B809" s="24" t="s">
        <v>9</v>
      </c>
      <c r="C809" s="73" t="s">
        <v>10</v>
      </c>
      <c r="D809" s="26" t="s">
        <v>11</v>
      </c>
      <c r="E809" s="27" t="s">
        <v>12</v>
      </c>
      <c r="F809" s="27" t="s">
        <v>13</v>
      </c>
      <c r="G809" s="27" t="s">
        <v>14</v>
      </c>
      <c r="H809" s="27" t="s">
        <v>208</v>
      </c>
      <c r="I809" s="27" t="s">
        <v>209</v>
      </c>
      <c r="J809" s="27" t="s">
        <v>15</v>
      </c>
      <c r="K809" s="27" t="s">
        <v>16</v>
      </c>
      <c r="L809" s="19"/>
      <c r="M809" s="10"/>
      <c r="N809" s="10"/>
      <c r="O809" s="9"/>
      <c r="P809" s="10"/>
    </row>
    <row r="810" spans="1:16" ht="21.75" customHeight="1" x14ac:dyDescent="0.3">
      <c r="A810" s="3"/>
      <c r="B810" s="10"/>
      <c r="C810" s="75"/>
      <c r="D810" s="10"/>
      <c r="E810" s="10"/>
      <c r="F810" s="10"/>
      <c r="G810" s="10"/>
      <c r="H810" s="10"/>
      <c r="I810" s="10"/>
      <c r="J810" s="10"/>
      <c r="K810" s="10"/>
      <c r="L810" s="34" t="s">
        <v>17</v>
      </c>
      <c r="M810" s="34" t="s">
        <v>18</v>
      </c>
      <c r="N810" s="10"/>
      <c r="O810" s="9"/>
      <c r="P810" s="10"/>
    </row>
    <row r="811" spans="1:16" ht="15.6" x14ac:dyDescent="0.3">
      <c r="A811" s="3">
        <f t="shared" ref="A811:A842" si="81">ROW(A1)</f>
        <v>1</v>
      </c>
      <c r="B811" s="306" t="s">
        <v>431</v>
      </c>
      <c r="C811" s="307" t="s">
        <v>365</v>
      </c>
      <c r="D811" s="5" t="s">
        <v>873</v>
      </c>
      <c r="E811" s="3">
        <v>9</v>
      </c>
      <c r="F811" s="3">
        <v>26</v>
      </c>
      <c r="G811" s="3">
        <f>SUM(E811:F811)</f>
        <v>35</v>
      </c>
      <c r="H811" s="3"/>
      <c r="I811" s="3"/>
      <c r="J811" s="3">
        <v>45</v>
      </c>
      <c r="K811" s="3">
        <f>SUM(G811:J811)</f>
        <v>80</v>
      </c>
      <c r="L811" s="7" t="str">
        <f>IF(K811&gt;=80,"A",IF(K811&gt;=70,"B+",IF(K811&gt;=60,"B",IF(K811&gt;=55,"C+",IF(K811&gt;=50,"C",IF(K811&gt;=45,"D+",IF(K811&gt;=40,"D","F")))))))</f>
        <v>A</v>
      </c>
      <c r="M811" s="7" t="str">
        <f>IF(K811&gt;=50,"Passed","Failed")</f>
        <v>Passed</v>
      </c>
      <c r="N811" s="8"/>
      <c r="O811" s="9"/>
      <c r="P811" s="10"/>
    </row>
    <row r="812" spans="1:16" ht="31.2" x14ac:dyDescent="0.3">
      <c r="A812" s="3">
        <f t="shared" si="81"/>
        <v>2</v>
      </c>
      <c r="B812" s="306" t="s">
        <v>586</v>
      </c>
      <c r="C812" s="308" t="s">
        <v>366</v>
      </c>
      <c r="D812" s="5" t="s">
        <v>861</v>
      </c>
      <c r="E812" s="3">
        <v>10</v>
      </c>
      <c r="F812" s="3">
        <v>24</v>
      </c>
      <c r="G812" s="3">
        <f t="shared" ref="G812:G866" si="82">SUM(E812:F812)</f>
        <v>34</v>
      </c>
      <c r="H812" s="3"/>
      <c r="I812" s="3"/>
      <c r="J812" s="3">
        <v>48</v>
      </c>
      <c r="K812" s="3">
        <f t="shared" ref="K812:K866" si="83">SUM(G812:J812)</f>
        <v>82</v>
      </c>
      <c r="L812" s="7" t="str">
        <f t="shared" ref="L812:L866" si="84">IF(K812&gt;=80,"A",IF(K812&gt;=70,"B+",IF(K812&gt;=60,"B",IF(K812&gt;=55,"C+",IF(K812&gt;=50,"C",IF(K812&gt;=45,"D+",IF(K812&gt;=40,"D","F")))))))</f>
        <v>A</v>
      </c>
      <c r="M812" s="7" t="str">
        <f t="shared" ref="M812:M866" si="85">IF(K812&gt;=50,"Passed","Failed")</f>
        <v>Passed</v>
      </c>
      <c r="N812" s="8" t="s">
        <v>19</v>
      </c>
      <c r="O812" s="9"/>
      <c r="P812" s="10"/>
    </row>
    <row r="813" spans="1:16" ht="15.6" x14ac:dyDescent="0.3">
      <c r="A813" s="3">
        <f t="shared" si="81"/>
        <v>3</v>
      </c>
      <c r="B813" s="306" t="s">
        <v>432</v>
      </c>
      <c r="C813" s="309" t="s">
        <v>367</v>
      </c>
      <c r="D813" s="5" t="s">
        <v>880</v>
      </c>
      <c r="E813" s="3">
        <v>10</v>
      </c>
      <c r="F813" s="3">
        <v>24</v>
      </c>
      <c r="G813" s="3">
        <f t="shared" si="82"/>
        <v>34</v>
      </c>
      <c r="H813" s="3"/>
      <c r="I813" s="3"/>
      <c r="J813" s="3">
        <v>29</v>
      </c>
      <c r="K813" s="3">
        <f t="shared" si="83"/>
        <v>63</v>
      </c>
      <c r="L813" s="7" t="str">
        <f t="shared" si="84"/>
        <v>B</v>
      </c>
      <c r="M813" s="7" t="str">
        <f t="shared" si="85"/>
        <v>Passed</v>
      </c>
      <c r="N813" s="7" t="s">
        <v>20</v>
      </c>
      <c r="O813" s="9">
        <f>COUNT(G811:G866)</f>
        <v>56</v>
      </c>
      <c r="P813" s="10"/>
    </row>
    <row r="814" spans="1:16" ht="15.6" x14ac:dyDescent="0.3">
      <c r="A814" s="3">
        <f t="shared" si="81"/>
        <v>4</v>
      </c>
      <c r="B814" s="306" t="s">
        <v>433</v>
      </c>
      <c r="C814" s="310" t="s">
        <v>368</v>
      </c>
      <c r="D814" s="5" t="s">
        <v>868</v>
      </c>
      <c r="E814" s="3">
        <v>10</v>
      </c>
      <c r="F814" s="3">
        <v>26</v>
      </c>
      <c r="G814" s="3">
        <f t="shared" si="82"/>
        <v>36</v>
      </c>
      <c r="H814" s="3"/>
      <c r="I814" s="3"/>
      <c r="J814" s="3">
        <v>18</v>
      </c>
      <c r="K814" s="3">
        <f t="shared" si="83"/>
        <v>54</v>
      </c>
      <c r="L814" s="7" t="str">
        <f t="shared" si="84"/>
        <v>C</v>
      </c>
      <c r="M814" s="7" t="str">
        <f t="shared" si="85"/>
        <v>Passed</v>
      </c>
      <c r="N814" s="7" t="s">
        <v>21</v>
      </c>
      <c r="O814" s="9">
        <f>COUNT(J811:J866)</f>
        <v>55</v>
      </c>
      <c r="P814" s="10"/>
    </row>
    <row r="815" spans="1:16" ht="15.6" x14ac:dyDescent="0.3">
      <c r="A815" s="3">
        <f t="shared" si="81"/>
        <v>5</v>
      </c>
      <c r="B815" s="306" t="s">
        <v>434</v>
      </c>
      <c r="C815" s="310" t="s">
        <v>606</v>
      </c>
      <c r="D815" s="5" t="s">
        <v>850</v>
      </c>
      <c r="E815" s="3">
        <v>10</v>
      </c>
      <c r="F815" s="3">
        <v>22</v>
      </c>
      <c r="G815" s="3">
        <f t="shared" si="82"/>
        <v>32</v>
      </c>
      <c r="H815" s="3"/>
      <c r="I815" s="3"/>
      <c r="J815" s="3">
        <v>49</v>
      </c>
      <c r="K815" s="3">
        <f t="shared" si="83"/>
        <v>81</v>
      </c>
      <c r="L815" s="7" t="str">
        <f t="shared" si="84"/>
        <v>A</v>
      </c>
      <c r="M815" s="7" t="str">
        <f t="shared" si="85"/>
        <v>Passed</v>
      </c>
      <c r="N815" s="7" t="s">
        <v>22</v>
      </c>
      <c r="O815" s="9">
        <f>O813-O814</f>
        <v>1</v>
      </c>
      <c r="P815" s="10"/>
    </row>
    <row r="816" spans="1:16" ht="15.6" x14ac:dyDescent="0.3">
      <c r="A816" s="3">
        <f t="shared" si="81"/>
        <v>6</v>
      </c>
      <c r="B816" s="306" t="s">
        <v>544</v>
      </c>
      <c r="C816" s="309" t="s">
        <v>369</v>
      </c>
      <c r="D816" s="5" t="s">
        <v>882</v>
      </c>
      <c r="E816" s="3">
        <v>10</v>
      </c>
      <c r="F816" s="3">
        <v>25</v>
      </c>
      <c r="G816" s="3">
        <f t="shared" si="82"/>
        <v>35</v>
      </c>
      <c r="H816" s="3"/>
      <c r="I816" s="3"/>
      <c r="J816" s="3">
        <v>40</v>
      </c>
      <c r="K816" s="3">
        <f t="shared" si="83"/>
        <v>75</v>
      </c>
      <c r="L816" s="7" t="str">
        <f t="shared" si="84"/>
        <v>B+</v>
      </c>
      <c r="M816" s="7" t="str">
        <f t="shared" si="85"/>
        <v>Passed</v>
      </c>
      <c r="N816" s="7" t="s">
        <v>23</v>
      </c>
      <c r="O816" s="9">
        <f>COUNTIF(M811:M866,"Passed")</f>
        <v>41</v>
      </c>
      <c r="P816" s="10"/>
    </row>
    <row r="817" spans="1:22" ht="15.6" x14ac:dyDescent="0.3">
      <c r="A817" s="3">
        <f t="shared" si="81"/>
        <v>7</v>
      </c>
      <c r="B817" s="306" t="s">
        <v>562</v>
      </c>
      <c r="C817" s="309" t="s">
        <v>370</v>
      </c>
      <c r="D817" s="5" t="s">
        <v>856</v>
      </c>
      <c r="E817" s="5">
        <v>10</v>
      </c>
      <c r="F817" s="5">
        <v>25</v>
      </c>
      <c r="G817" s="3">
        <f t="shared" si="82"/>
        <v>35</v>
      </c>
      <c r="H817" s="3"/>
      <c r="I817" s="3"/>
      <c r="J817" s="3">
        <v>45</v>
      </c>
      <c r="K817" s="3">
        <f t="shared" si="83"/>
        <v>80</v>
      </c>
      <c r="L817" s="7" t="str">
        <f t="shared" si="84"/>
        <v>A</v>
      </c>
      <c r="M817" s="7" t="str">
        <f t="shared" si="85"/>
        <v>Passed</v>
      </c>
      <c r="N817" s="7" t="s">
        <v>24</v>
      </c>
      <c r="O817" s="29">
        <f>O816/O814%</f>
        <v>74.545454545454533</v>
      </c>
      <c r="P817" s="10"/>
    </row>
    <row r="818" spans="1:22" ht="15.6" x14ac:dyDescent="0.3">
      <c r="A818" s="3">
        <f t="shared" si="81"/>
        <v>8</v>
      </c>
      <c r="B818" s="306" t="s">
        <v>435</v>
      </c>
      <c r="C818" s="310" t="s">
        <v>595</v>
      </c>
      <c r="D818" s="5" t="s">
        <v>851</v>
      </c>
      <c r="E818" s="5">
        <v>10</v>
      </c>
      <c r="F818" s="5">
        <v>26</v>
      </c>
      <c r="G818" s="3">
        <f t="shared" si="82"/>
        <v>36</v>
      </c>
      <c r="H818" s="3"/>
      <c r="I818" s="3"/>
      <c r="J818" s="3">
        <v>53</v>
      </c>
      <c r="K818" s="3">
        <f t="shared" si="83"/>
        <v>89</v>
      </c>
      <c r="L818" s="7" t="str">
        <f t="shared" si="84"/>
        <v>A</v>
      </c>
      <c r="M818" s="7" t="str">
        <f t="shared" si="85"/>
        <v>Passed</v>
      </c>
      <c r="N818" s="10" t="s">
        <v>25</v>
      </c>
      <c r="O818" s="9">
        <f>COUNTIF(M811:M866,"failed")</f>
        <v>14</v>
      </c>
      <c r="P818" s="10"/>
    </row>
    <row r="819" spans="1:22" ht="15.6" x14ac:dyDescent="0.3">
      <c r="A819" s="3">
        <f t="shared" si="81"/>
        <v>9</v>
      </c>
      <c r="B819" s="306" t="s">
        <v>436</v>
      </c>
      <c r="C819" s="309" t="s">
        <v>371</v>
      </c>
      <c r="D819" s="5" t="s">
        <v>853</v>
      </c>
      <c r="E819" s="5">
        <v>10</v>
      </c>
      <c r="F819" s="5">
        <v>22</v>
      </c>
      <c r="G819" s="3">
        <f t="shared" si="82"/>
        <v>32</v>
      </c>
      <c r="H819" s="3"/>
      <c r="I819" s="3"/>
      <c r="J819" s="3">
        <v>40</v>
      </c>
      <c r="K819" s="3">
        <f t="shared" si="83"/>
        <v>72</v>
      </c>
      <c r="L819" s="7" t="str">
        <f t="shared" si="84"/>
        <v>B+</v>
      </c>
      <c r="M819" s="7" t="str">
        <f t="shared" si="85"/>
        <v>Passed</v>
      </c>
      <c r="N819" s="10" t="s">
        <v>26</v>
      </c>
      <c r="O819" s="29">
        <f>O818/O814%</f>
        <v>25.454545454545453</v>
      </c>
      <c r="P819" s="10"/>
    </row>
    <row r="820" spans="1:22" ht="15.6" x14ac:dyDescent="0.3">
      <c r="A820" s="3">
        <f t="shared" si="81"/>
        <v>10</v>
      </c>
      <c r="B820" s="306" t="s">
        <v>437</v>
      </c>
      <c r="C820" s="310" t="s">
        <v>372</v>
      </c>
      <c r="D820" s="5" t="s">
        <v>844</v>
      </c>
      <c r="E820" s="5">
        <v>10</v>
      </c>
      <c r="F820" s="5">
        <v>25</v>
      </c>
      <c r="G820" s="3">
        <f t="shared" si="82"/>
        <v>35</v>
      </c>
      <c r="H820" s="3"/>
      <c r="I820" s="3"/>
      <c r="J820" s="3">
        <v>10</v>
      </c>
      <c r="K820" s="3">
        <f t="shared" si="83"/>
        <v>45</v>
      </c>
      <c r="L820" s="7" t="str">
        <f t="shared" si="84"/>
        <v>D+</v>
      </c>
      <c r="M820" s="7" t="str">
        <f t="shared" si="85"/>
        <v>Failed</v>
      </c>
      <c r="N820" s="10" t="s">
        <v>27</v>
      </c>
      <c r="O820" s="29">
        <f>AVERAGE(K811:K866)</f>
        <v>60.372727272727275</v>
      </c>
      <c r="P820" s="10"/>
    </row>
    <row r="821" spans="1:22" ht="15.6" x14ac:dyDescent="0.3">
      <c r="A821" s="3">
        <f t="shared" si="81"/>
        <v>11</v>
      </c>
      <c r="B821" s="306" t="s">
        <v>438</v>
      </c>
      <c r="C821" s="307" t="s">
        <v>373</v>
      </c>
      <c r="D821" s="5" t="s">
        <v>848</v>
      </c>
      <c r="E821" s="5">
        <v>10</v>
      </c>
      <c r="F821" s="5">
        <v>26</v>
      </c>
      <c r="G821" s="3">
        <f t="shared" si="82"/>
        <v>36</v>
      </c>
      <c r="H821" s="3"/>
      <c r="I821" s="3"/>
      <c r="J821" s="3">
        <v>52</v>
      </c>
      <c r="K821" s="3">
        <f t="shared" si="83"/>
        <v>88</v>
      </c>
      <c r="L821" s="7" t="str">
        <f t="shared" si="84"/>
        <v>A</v>
      </c>
      <c r="M821" s="7" t="str">
        <f t="shared" si="85"/>
        <v>Passed</v>
      </c>
      <c r="N821" s="10"/>
      <c r="O821" s="9"/>
      <c r="P821" s="10"/>
    </row>
    <row r="822" spans="1:22" ht="15.6" x14ac:dyDescent="0.3">
      <c r="A822" s="3">
        <f t="shared" si="81"/>
        <v>12</v>
      </c>
      <c r="B822" s="306" t="s">
        <v>439</v>
      </c>
      <c r="C822" s="307" t="s">
        <v>565</v>
      </c>
      <c r="D822" s="5" t="s">
        <v>889</v>
      </c>
      <c r="E822" s="5">
        <v>9</v>
      </c>
      <c r="F822" s="5">
        <v>22</v>
      </c>
      <c r="G822" s="3">
        <f t="shared" si="82"/>
        <v>31</v>
      </c>
      <c r="H822" s="3"/>
      <c r="I822" s="3"/>
      <c r="J822" s="3">
        <v>39</v>
      </c>
      <c r="K822" s="3">
        <f t="shared" si="83"/>
        <v>70</v>
      </c>
      <c r="L822" s="7" t="str">
        <f t="shared" si="84"/>
        <v>B+</v>
      </c>
      <c r="M822" s="7" t="str">
        <f t="shared" si="85"/>
        <v>Passed</v>
      </c>
      <c r="N822" s="11"/>
      <c r="O822" s="9"/>
      <c r="P822" s="10"/>
    </row>
    <row r="823" spans="1:22" ht="15.6" x14ac:dyDescent="0.3">
      <c r="A823" s="3">
        <f t="shared" si="81"/>
        <v>13</v>
      </c>
      <c r="B823" s="306" t="s">
        <v>440</v>
      </c>
      <c r="C823" s="310" t="s">
        <v>374</v>
      </c>
      <c r="D823" s="5" t="s">
        <v>885</v>
      </c>
      <c r="E823" s="5">
        <v>10</v>
      </c>
      <c r="F823" s="5">
        <v>22</v>
      </c>
      <c r="G823" s="3">
        <f t="shared" si="82"/>
        <v>32</v>
      </c>
      <c r="H823" s="3"/>
      <c r="I823" s="3"/>
      <c r="J823" s="3">
        <v>52</v>
      </c>
      <c r="K823" s="3">
        <f t="shared" si="83"/>
        <v>84</v>
      </c>
      <c r="L823" s="7" t="str">
        <f t="shared" si="84"/>
        <v>A</v>
      </c>
      <c r="M823" s="7" t="str">
        <f t="shared" si="85"/>
        <v>Passed</v>
      </c>
      <c r="N823" s="11"/>
      <c r="O823" s="9"/>
      <c r="P823" s="10"/>
    </row>
    <row r="824" spans="1:22" ht="15.6" x14ac:dyDescent="0.3">
      <c r="A824" s="3">
        <f t="shared" si="81"/>
        <v>14</v>
      </c>
      <c r="B824" s="306" t="s">
        <v>441</v>
      </c>
      <c r="C824" s="310" t="s">
        <v>375</v>
      </c>
      <c r="D824" s="5" t="s">
        <v>865</v>
      </c>
      <c r="E824" s="65">
        <v>7.5</v>
      </c>
      <c r="F824" s="339">
        <v>25</v>
      </c>
      <c r="G824" s="64">
        <f t="shared" si="82"/>
        <v>32.5</v>
      </c>
      <c r="H824" s="3"/>
      <c r="I824" s="3"/>
      <c r="J824" s="3">
        <v>18</v>
      </c>
      <c r="K824" s="6">
        <f t="shared" si="83"/>
        <v>50.5</v>
      </c>
      <c r="L824" s="7" t="str">
        <f t="shared" si="84"/>
        <v>C</v>
      </c>
      <c r="M824" s="7" t="str">
        <f t="shared" si="85"/>
        <v>Passed</v>
      </c>
      <c r="N824" s="10"/>
      <c r="O824" s="9"/>
      <c r="P824" s="10"/>
    </row>
    <row r="825" spans="1:22" ht="15.6" x14ac:dyDescent="0.3">
      <c r="A825" s="3">
        <f t="shared" si="81"/>
        <v>15</v>
      </c>
      <c r="B825" s="306" t="s">
        <v>442</v>
      </c>
      <c r="C825" s="310" t="s">
        <v>376</v>
      </c>
      <c r="D825" s="5" t="s">
        <v>847</v>
      </c>
      <c r="E825" s="5">
        <v>10</v>
      </c>
      <c r="F825" s="5">
        <v>20</v>
      </c>
      <c r="G825" s="3">
        <f t="shared" si="82"/>
        <v>30</v>
      </c>
      <c r="H825" s="3"/>
      <c r="I825" s="3"/>
      <c r="J825" s="3">
        <v>7</v>
      </c>
      <c r="K825" s="3">
        <f t="shared" si="83"/>
        <v>37</v>
      </c>
      <c r="L825" s="7" t="str">
        <f t="shared" si="84"/>
        <v>F</v>
      </c>
      <c r="M825" s="7" t="str">
        <f t="shared" si="85"/>
        <v>Failed</v>
      </c>
      <c r="N825" s="10"/>
      <c r="O825" s="9" t="s">
        <v>28</v>
      </c>
      <c r="P825" s="10" t="s">
        <v>29</v>
      </c>
      <c r="Q825" t="s">
        <v>30</v>
      </c>
      <c r="R825" t="s">
        <v>31</v>
      </c>
      <c r="S825" t="s">
        <v>32</v>
      </c>
      <c r="T825" t="s">
        <v>33</v>
      </c>
      <c r="U825" t="s">
        <v>34</v>
      </c>
      <c r="V825" t="s">
        <v>35</v>
      </c>
    </row>
    <row r="826" spans="1:22" ht="15.6" x14ac:dyDescent="0.3">
      <c r="A826" s="3">
        <f t="shared" si="81"/>
        <v>16</v>
      </c>
      <c r="B826" s="306" t="s">
        <v>443</v>
      </c>
      <c r="C826" s="307" t="s">
        <v>377</v>
      </c>
      <c r="D826" s="5" t="s">
        <v>854</v>
      </c>
      <c r="E826" s="5">
        <v>9</v>
      </c>
      <c r="F826" s="5">
        <v>21</v>
      </c>
      <c r="G826" s="3">
        <f t="shared" si="82"/>
        <v>30</v>
      </c>
      <c r="H826" s="3"/>
      <c r="I826" s="3"/>
      <c r="J826" s="3">
        <v>50</v>
      </c>
      <c r="K826" s="3">
        <f t="shared" si="83"/>
        <v>80</v>
      </c>
      <c r="L826" s="7" t="str">
        <f t="shared" si="84"/>
        <v>A</v>
      </c>
      <c r="M826" s="7" t="str">
        <f t="shared" si="85"/>
        <v>Passed</v>
      </c>
      <c r="N826" s="10"/>
      <c r="O826" s="9">
        <f>COUNTIF(L811:L866,"A")</f>
        <v>9</v>
      </c>
      <c r="P826" s="10">
        <f>COUNTIF(L811:L866,"B+")</f>
        <v>14</v>
      </c>
      <c r="Q826">
        <f>COUNTIF(L811:L866,"B")</f>
        <v>7</v>
      </c>
      <c r="R826">
        <f>COUNTIF(L811:L866,"C+")</f>
        <v>4</v>
      </c>
      <c r="S826">
        <f>COUNTIF(L811:L866,"C")</f>
        <v>7</v>
      </c>
      <c r="T826">
        <f>COUNTIF(L811:L866,"D+")</f>
        <v>2</v>
      </c>
      <c r="U826">
        <f>COUNTIF(L811:L866,"D")</f>
        <v>3</v>
      </c>
      <c r="V826">
        <f>COUNTIF(L811:L866,"F")</f>
        <v>9</v>
      </c>
    </row>
    <row r="827" spans="1:22" ht="15.6" x14ac:dyDescent="0.3">
      <c r="A827" s="3">
        <f t="shared" si="81"/>
        <v>17</v>
      </c>
      <c r="B827" s="306" t="s">
        <v>444</v>
      </c>
      <c r="C827" s="310" t="s">
        <v>378</v>
      </c>
      <c r="D827" s="5" t="s">
        <v>863</v>
      </c>
      <c r="E827" s="5">
        <v>10</v>
      </c>
      <c r="F827" s="5">
        <v>20</v>
      </c>
      <c r="G827" s="3">
        <f t="shared" si="82"/>
        <v>30</v>
      </c>
      <c r="H827" s="3"/>
      <c r="I827" s="3"/>
      <c r="J827" s="3">
        <v>11</v>
      </c>
      <c r="K827" s="3">
        <f t="shared" si="83"/>
        <v>41</v>
      </c>
      <c r="L827" s="7" t="str">
        <f t="shared" si="84"/>
        <v>D</v>
      </c>
      <c r="M827" s="7" t="str">
        <f t="shared" si="85"/>
        <v>Failed</v>
      </c>
      <c r="N827" s="10"/>
      <c r="O827" s="9"/>
      <c r="P827" s="10"/>
    </row>
    <row r="828" spans="1:22" ht="15.6" x14ac:dyDescent="0.3">
      <c r="A828" s="3">
        <f t="shared" si="81"/>
        <v>18</v>
      </c>
      <c r="B828" s="306" t="s">
        <v>445</v>
      </c>
      <c r="C828" s="308" t="s">
        <v>379</v>
      </c>
      <c r="D828" s="5" t="s">
        <v>846</v>
      </c>
      <c r="E828" s="5">
        <v>10</v>
      </c>
      <c r="F828" s="5">
        <v>22</v>
      </c>
      <c r="G828" s="3">
        <f t="shared" si="82"/>
        <v>32</v>
      </c>
      <c r="H828" s="3"/>
      <c r="I828" s="3"/>
      <c r="J828" s="3">
        <v>50</v>
      </c>
      <c r="K828" s="3">
        <f t="shared" si="83"/>
        <v>82</v>
      </c>
      <c r="L828" s="7" t="str">
        <f t="shared" si="84"/>
        <v>A</v>
      </c>
      <c r="M828" s="7" t="str">
        <f t="shared" si="85"/>
        <v>Passed</v>
      </c>
      <c r="N828" s="10"/>
      <c r="O828" s="9"/>
      <c r="P828" s="10"/>
    </row>
    <row r="829" spans="1:22" ht="15.6" x14ac:dyDescent="0.3">
      <c r="A829" s="3">
        <f t="shared" si="81"/>
        <v>19</v>
      </c>
      <c r="B829" s="306" t="s">
        <v>446</v>
      </c>
      <c r="C829" s="310" t="s">
        <v>602</v>
      </c>
      <c r="D829" s="5" t="s">
        <v>884</v>
      </c>
      <c r="E829" s="5">
        <v>10</v>
      </c>
      <c r="F829" s="5">
        <v>23</v>
      </c>
      <c r="G829" s="3">
        <f t="shared" si="82"/>
        <v>33</v>
      </c>
      <c r="H829" s="3"/>
      <c r="I829" s="3"/>
      <c r="J829" s="3">
        <v>42</v>
      </c>
      <c r="K829" s="3">
        <f t="shared" si="83"/>
        <v>75</v>
      </c>
      <c r="L829" s="7" t="str">
        <f t="shared" si="84"/>
        <v>B+</v>
      </c>
      <c r="M829" s="7" t="str">
        <f t="shared" si="85"/>
        <v>Passed</v>
      </c>
      <c r="N829" s="10"/>
      <c r="O829" s="9"/>
      <c r="P829" s="10"/>
    </row>
    <row r="830" spans="1:22" ht="15.6" x14ac:dyDescent="0.3">
      <c r="A830" s="3">
        <f t="shared" si="81"/>
        <v>20</v>
      </c>
      <c r="B830" s="306" t="s">
        <v>448</v>
      </c>
      <c r="C830" s="308" t="s">
        <v>380</v>
      </c>
      <c r="D830" s="5" t="s">
        <v>888</v>
      </c>
      <c r="E830" s="5">
        <v>10</v>
      </c>
      <c r="F830" s="5">
        <v>20</v>
      </c>
      <c r="G830" s="3">
        <f t="shared" si="82"/>
        <v>30</v>
      </c>
      <c r="H830" s="3"/>
      <c r="I830" s="3"/>
      <c r="J830" s="3">
        <v>43</v>
      </c>
      <c r="K830" s="3">
        <f t="shared" si="83"/>
        <v>73</v>
      </c>
      <c r="L830" s="7" t="str">
        <f t="shared" si="84"/>
        <v>B+</v>
      </c>
      <c r="M830" s="7" t="str">
        <f t="shared" si="85"/>
        <v>Passed</v>
      </c>
      <c r="N830" s="10"/>
      <c r="O830" s="9"/>
      <c r="P830" s="10"/>
    </row>
    <row r="831" spans="1:22" ht="15.6" x14ac:dyDescent="0.3">
      <c r="A831" s="3">
        <f t="shared" si="81"/>
        <v>21</v>
      </c>
      <c r="B831" s="306" t="s">
        <v>447</v>
      </c>
      <c r="C831" s="310" t="s">
        <v>381</v>
      </c>
      <c r="D831" s="5" t="s">
        <v>859</v>
      </c>
      <c r="E831" s="5">
        <v>10</v>
      </c>
      <c r="F831" s="5">
        <v>24</v>
      </c>
      <c r="G831" s="3">
        <f t="shared" si="82"/>
        <v>34</v>
      </c>
      <c r="H831" s="3"/>
      <c r="I831" s="3"/>
      <c r="J831" s="3">
        <v>40</v>
      </c>
      <c r="K831" s="3">
        <f t="shared" si="83"/>
        <v>74</v>
      </c>
      <c r="L831" s="7" t="str">
        <f t="shared" si="84"/>
        <v>B+</v>
      </c>
      <c r="M831" s="7" t="str">
        <f t="shared" si="85"/>
        <v>Passed</v>
      </c>
      <c r="N831" s="10"/>
      <c r="O831" s="9"/>
      <c r="P831" s="10"/>
    </row>
    <row r="832" spans="1:22" ht="15.6" x14ac:dyDescent="0.3">
      <c r="A832" s="3">
        <f t="shared" si="81"/>
        <v>22</v>
      </c>
      <c r="B832" s="313" t="s">
        <v>570</v>
      </c>
      <c r="C832" s="309" t="s">
        <v>382</v>
      </c>
      <c r="D832" s="5" t="s">
        <v>845</v>
      </c>
      <c r="E832" s="5">
        <v>10</v>
      </c>
      <c r="F832" s="5">
        <v>23</v>
      </c>
      <c r="G832" s="3">
        <f t="shared" si="82"/>
        <v>33</v>
      </c>
      <c r="H832" s="3"/>
      <c r="I832" s="3"/>
      <c r="J832" s="3">
        <v>20</v>
      </c>
      <c r="K832" s="3">
        <f t="shared" si="83"/>
        <v>53</v>
      </c>
      <c r="L832" s="7" t="str">
        <f t="shared" si="84"/>
        <v>C</v>
      </c>
      <c r="M832" s="7" t="str">
        <f t="shared" si="85"/>
        <v>Passed</v>
      </c>
      <c r="N832" s="10"/>
      <c r="O832" s="9"/>
      <c r="P832" s="10"/>
    </row>
    <row r="833" spans="1:16" ht="15.6" x14ac:dyDescent="0.3">
      <c r="A833" s="3">
        <f t="shared" si="81"/>
        <v>23</v>
      </c>
      <c r="B833" s="306" t="s">
        <v>449</v>
      </c>
      <c r="C833" s="309" t="s">
        <v>383</v>
      </c>
      <c r="D833" s="5" t="s">
        <v>837</v>
      </c>
      <c r="E833" s="5">
        <v>10</v>
      </c>
      <c r="F833" s="5">
        <v>26</v>
      </c>
      <c r="G833" s="3">
        <f t="shared" si="82"/>
        <v>36</v>
      </c>
      <c r="H833" s="3"/>
      <c r="I833" s="3"/>
      <c r="J833" s="3">
        <v>30</v>
      </c>
      <c r="K833" s="3">
        <f t="shared" si="83"/>
        <v>66</v>
      </c>
      <c r="L833" s="7" t="str">
        <f t="shared" si="84"/>
        <v>B</v>
      </c>
      <c r="M833" s="7" t="str">
        <f t="shared" si="85"/>
        <v>Passed</v>
      </c>
      <c r="N833" s="10"/>
      <c r="O833" s="9"/>
      <c r="P833" s="10"/>
    </row>
    <row r="834" spans="1:16" ht="15.6" x14ac:dyDescent="0.3">
      <c r="A834" s="3">
        <f t="shared" si="81"/>
        <v>24</v>
      </c>
      <c r="B834" s="306" t="s">
        <v>450</v>
      </c>
      <c r="C834" s="309" t="s">
        <v>384</v>
      </c>
      <c r="D834" s="5" t="s">
        <v>875</v>
      </c>
      <c r="E834" s="5">
        <v>10</v>
      </c>
      <c r="F834" s="5">
        <v>25</v>
      </c>
      <c r="G834" s="3">
        <f t="shared" si="82"/>
        <v>35</v>
      </c>
      <c r="H834" s="3"/>
      <c r="I834" s="3"/>
      <c r="J834" s="3">
        <v>40</v>
      </c>
      <c r="K834" s="3">
        <f t="shared" si="83"/>
        <v>75</v>
      </c>
      <c r="L834" s="7" t="str">
        <f t="shared" si="84"/>
        <v>B+</v>
      </c>
      <c r="M834" s="7" t="str">
        <f t="shared" si="85"/>
        <v>Passed</v>
      </c>
      <c r="N834" s="10"/>
      <c r="O834" s="9"/>
      <c r="P834" s="10"/>
    </row>
    <row r="835" spans="1:16" ht="15.6" x14ac:dyDescent="0.3">
      <c r="A835" s="3">
        <f t="shared" si="81"/>
        <v>25</v>
      </c>
      <c r="B835" s="306" t="s">
        <v>451</v>
      </c>
      <c r="C835" s="310" t="s">
        <v>385</v>
      </c>
      <c r="D835" s="5" t="s">
        <v>878</v>
      </c>
      <c r="E835" s="5">
        <v>10</v>
      </c>
      <c r="F835" s="5">
        <v>22</v>
      </c>
      <c r="G835" s="3">
        <f t="shared" si="82"/>
        <v>32</v>
      </c>
      <c r="H835" s="3"/>
      <c r="I835" s="3"/>
      <c r="J835" s="3">
        <v>9</v>
      </c>
      <c r="K835" s="3">
        <f t="shared" si="83"/>
        <v>41</v>
      </c>
      <c r="L835" s="7" t="str">
        <f t="shared" si="84"/>
        <v>D</v>
      </c>
      <c r="M835" s="7" t="str">
        <f t="shared" si="85"/>
        <v>Failed</v>
      </c>
      <c r="N835" s="10"/>
      <c r="O835" s="9"/>
      <c r="P835" s="10"/>
    </row>
    <row r="836" spans="1:16" ht="15.6" x14ac:dyDescent="0.3">
      <c r="A836" s="3">
        <f t="shared" si="81"/>
        <v>26</v>
      </c>
      <c r="B836" s="306" t="s">
        <v>452</v>
      </c>
      <c r="C836" s="310" t="s">
        <v>386</v>
      </c>
      <c r="D836" s="5" t="s">
        <v>886</v>
      </c>
      <c r="E836" s="5">
        <v>10</v>
      </c>
      <c r="F836" s="5">
        <v>24</v>
      </c>
      <c r="G836" s="3">
        <f t="shared" si="82"/>
        <v>34</v>
      </c>
      <c r="H836" s="3"/>
      <c r="I836" s="3"/>
      <c r="J836" s="3">
        <v>40</v>
      </c>
      <c r="K836" s="3">
        <f t="shared" si="83"/>
        <v>74</v>
      </c>
      <c r="L836" s="7" t="str">
        <f t="shared" si="84"/>
        <v>B+</v>
      </c>
      <c r="M836" s="7" t="str">
        <f t="shared" si="85"/>
        <v>Passed</v>
      </c>
      <c r="N836" s="10"/>
      <c r="O836" s="9"/>
      <c r="P836" s="10"/>
    </row>
    <row r="837" spans="1:16" ht="15.6" x14ac:dyDescent="0.3">
      <c r="A837" s="3">
        <f t="shared" si="81"/>
        <v>27</v>
      </c>
      <c r="B837" s="306" t="s">
        <v>453</v>
      </c>
      <c r="C837" s="309" t="s">
        <v>387</v>
      </c>
      <c r="D837" s="5" t="s">
        <v>881</v>
      </c>
      <c r="E837" s="5">
        <v>10</v>
      </c>
      <c r="F837" s="5">
        <v>24</v>
      </c>
      <c r="G837" s="3">
        <f t="shared" si="82"/>
        <v>34</v>
      </c>
      <c r="H837" s="3"/>
      <c r="I837" s="3"/>
      <c r="J837" s="5">
        <v>41</v>
      </c>
      <c r="K837" s="3">
        <f t="shared" si="83"/>
        <v>75</v>
      </c>
      <c r="L837" s="7" t="str">
        <f t="shared" si="84"/>
        <v>B+</v>
      </c>
      <c r="M837" s="7" t="str">
        <f t="shared" si="85"/>
        <v>Passed</v>
      </c>
      <c r="N837" s="10"/>
      <c r="O837" s="9"/>
      <c r="P837" s="10"/>
    </row>
    <row r="838" spans="1:16" ht="15.6" x14ac:dyDescent="0.3">
      <c r="A838" s="3">
        <f t="shared" si="81"/>
        <v>28</v>
      </c>
      <c r="B838" s="388">
        <v>400123</v>
      </c>
      <c r="C838" s="310" t="s">
        <v>388</v>
      </c>
      <c r="D838" s="5" t="s">
        <v>879</v>
      </c>
      <c r="E838" s="5">
        <v>10</v>
      </c>
      <c r="F838" s="5">
        <v>25</v>
      </c>
      <c r="G838" s="3">
        <f t="shared" si="82"/>
        <v>35</v>
      </c>
      <c r="H838" s="3"/>
      <c r="I838" s="3"/>
      <c r="J838" s="5">
        <v>40</v>
      </c>
      <c r="K838" s="3">
        <f t="shared" si="83"/>
        <v>75</v>
      </c>
      <c r="L838" s="7" t="str">
        <f>IF(K838&gt;=80,"A",IF(K838&gt;=70,"B+",IF(K838&gt;=60,"B",IF(K838&gt;=55,"C+",IF(K838&gt;=50,"C",IF(K838&gt;=45,"D+",IF(K838&gt;=40,"D","F")))))))</f>
        <v>B+</v>
      </c>
      <c r="M838" s="7" t="str">
        <f>IF(K838&gt;=50,"Passed","Failed")</f>
        <v>Passed</v>
      </c>
      <c r="N838" s="10"/>
      <c r="O838" s="9"/>
      <c r="P838" s="10"/>
    </row>
    <row r="839" spans="1:16" ht="15.6" x14ac:dyDescent="0.3">
      <c r="A839" s="3">
        <f t="shared" si="81"/>
        <v>29</v>
      </c>
      <c r="B839" s="306" t="s">
        <v>454</v>
      </c>
      <c r="C839" s="309" t="s">
        <v>771</v>
      </c>
      <c r="D839" s="5" t="s">
        <v>857</v>
      </c>
      <c r="E839" s="4">
        <v>10</v>
      </c>
      <c r="F839" s="4">
        <v>26</v>
      </c>
      <c r="G839" s="3">
        <f t="shared" si="82"/>
        <v>36</v>
      </c>
      <c r="H839" s="3"/>
      <c r="I839" s="3"/>
      <c r="J839" s="4">
        <v>18</v>
      </c>
      <c r="K839" s="3">
        <f t="shared" si="83"/>
        <v>54</v>
      </c>
      <c r="L839" s="7" t="str">
        <f>IF(K839&gt;=80,"A",IF(K839&gt;=70,"B+",IF(K839&gt;=60,"B",IF(K839&gt;=55,"C+",IF(K839&gt;=50,"C",IF(K839&gt;=45,"D+",IF(K839&gt;=40,"D","F")))))))</f>
        <v>C</v>
      </c>
      <c r="M839" s="7" t="str">
        <f>IF(K839&gt;=50,"Passed","Failed")</f>
        <v>Passed</v>
      </c>
      <c r="N839" s="37"/>
      <c r="O839" s="37"/>
      <c r="P839" s="37"/>
    </row>
    <row r="840" spans="1:16" ht="15.6" x14ac:dyDescent="0.3">
      <c r="A840" s="3">
        <f t="shared" si="81"/>
        <v>30</v>
      </c>
      <c r="B840" s="306" t="s">
        <v>455</v>
      </c>
      <c r="C840" s="307" t="s">
        <v>389</v>
      </c>
      <c r="D840" s="5" t="s">
        <v>858</v>
      </c>
      <c r="E840" s="4">
        <v>10</v>
      </c>
      <c r="F840" s="4">
        <v>24</v>
      </c>
      <c r="G840" s="3">
        <f t="shared" si="82"/>
        <v>34</v>
      </c>
      <c r="H840" s="3"/>
      <c r="I840" s="3"/>
      <c r="J840" s="4">
        <v>36</v>
      </c>
      <c r="K840" s="3">
        <f t="shared" si="83"/>
        <v>70</v>
      </c>
      <c r="L840" s="7" t="str">
        <f t="shared" si="84"/>
        <v>B+</v>
      </c>
      <c r="M840" s="7" t="str">
        <f t="shared" si="85"/>
        <v>Passed</v>
      </c>
      <c r="N840" s="37"/>
      <c r="O840" s="37"/>
      <c r="P840" s="37"/>
    </row>
    <row r="841" spans="1:16" ht="15.6" x14ac:dyDescent="0.3">
      <c r="A841" s="3">
        <f t="shared" si="81"/>
        <v>31</v>
      </c>
      <c r="B841" s="306" t="s">
        <v>456</v>
      </c>
      <c r="C841" s="310" t="s">
        <v>535</v>
      </c>
      <c r="D841" s="5" t="s">
        <v>876</v>
      </c>
      <c r="E841" s="4">
        <v>10</v>
      </c>
      <c r="F841" s="4">
        <v>25</v>
      </c>
      <c r="G841" s="3">
        <f t="shared" si="82"/>
        <v>35</v>
      </c>
      <c r="H841" s="3"/>
      <c r="I841" s="3"/>
      <c r="J841" s="4">
        <v>41</v>
      </c>
      <c r="K841" s="3">
        <f t="shared" si="83"/>
        <v>76</v>
      </c>
      <c r="L841" s="7" t="str">
        <f t="shared" si="84"/>
        <v>B+</v>
      </c>
      <c r="M841" s="7" t="str">
        <f t="shared" si="85"/>
        <v>Passed</v>
      </c>
      <c r="N841" s="37"/>
      <c r="O841" s="37"/>
      <c r="P841" s="37"/>
    </row>
    <row r="842" spans="1:16" ht="15.6" x14ac:dyDescent="0.3">
      <c r="A842" s="3">
        <f t="shared" si="81"/>
        <v>32</v>
      </c>
      <c r="B842" s="306" t="s">
        <v>457</v>
      </c>
      <c r="C842" s="307" t="s">
        <v>390</v>
      </c>
      <c r="D842" s="5" t="s">
        <v>864</v>
      </c>
      <c r="E842" s="4">
        <v>10</v>
      </c>
      <c r="F842" s="4">
        <v>18</v>
      </c>
      <c r="G842" s="3">
        <f t="shared" si="82"/>
        <v>28</v>
      </c>
      <c r="H842" s="3"/>
      <c r="I842" s="3"/>
      <c r="J842" s="4">
        <v>1</v>
      </c>
      <c r="K842" s="3">
        <f t="shared" si="83"/>
        <v>29</v>
      </c>
      <c r="L842" s="7" t="str">
        <f t="shared" si="84"/>
        <v>F</v>
      </c>
      <c r="M842" s="7" t="str">
        <f t="shared" si="85"/>
        <v>Failed</v>
      </c>
      <c r="N842" s="37"/>
      <c r="O842" s="37"/>
      <c r="P842" s="37"/>
    </row>
    <row r="843" spans="1:16" ht="15.6" x14ac:dyDescent="0.3">
      <c r="A843" s="3">
        <f t="shared" ref="A843:A864" si="86">ROW(A33)</f>
        <v>33</v>
      </c>
      <c r="B843" s="306" t="s">
        <v>458</v>
      </c>
      <c r="C843" s="307" t="s">
        <v>391</v>
      </c>
      <c r="D843" s="5" t="s">
        <v>835</v>
      </c>
      <c r="E843" s="4">
        <v>10</v>
      </c>
      <c r="F843" s="458">
        <v>28</v>
      </c>
      <c r="G843" s="3">
        <f t="shared" si="82"/>
        <v>38</v>
      </c>
      <c r="H843" s="3"/>
      <c r="I843" s="3"/>
      <c r="J843" s="4">
        <v>12</v>
      </c>
      <c r="K843" s="3">
        <f t="shared" si="83"/>
        <v>50</v>
      </c>
      <c r="L843" s="7" t="str">
        <f t="shared" si="84"/>
        <v>C</v>
      </c>
      <c r="M843" s="7" t="str">
        <f t="shared" si="85"/>
        <v>Passed</v>
      </c>
      <c r="N843" s="37"/>
      <c r="O843" s="37"/>
      <c r="P843" s="37"/>
    </row>
    <row r="844" spans="1:16" ht="15.6" x14ac:dyDescent="0.3">
      <c r="A844" s="3">
        <f t="shared" si="86"/>
        <v>34</v>
      </c>
      <c r="B844" s="306" t="s">
        <v>459</v>
      </c>
      <c r="C844" s="309" t="s">
        <v>557</v>
      </c>
      <c r="D844" s="5" t="s">
        <v>862</v>
      </c>
      <c r="E844" s="4">
        <v>10</v>
      </c>
      <c r="F844" s="4">
        <v>20</v>
      </c>
      <c r="G844" s="3">
        <f t="shared" si="82"/>
        <v>30</v>
      </c>
      <c r="H844" s="3"/>
      <c r="I844" s="3"/>
      <c r="J844" s="4">
        <v>3</v>
      </c>
      <c r="K844" s="3">
        <f t="shared" si="83"/>
        <v>33</v>
      </c>
      <c r="L844" s="7" t="str">
        <f t="shared" si="84"/>
        <v>F</v>
      </c>
      <c r="M844" s="7" t="str">
        <f t="shared" si="85"/>
        <v>Failed</v>
      </c>
      <c r="N844" s="37"/>
      <c r="O844" s="37"/>
      <c r="P844" s="37"/>
    </row>
    <row r="845" spans="1:16" ht="15.6" x14ac:dyDescent="0.3">
      <c r="A845" s="3">
        <f t="shared" si="86"/>
        <v>35</v>
      </c>
      <c r="B845" s="306" t="s">
        <v>460</v>
      </c>
      <c r="C845" s="309" t="s">
        <v>392</v>
      </c>
      <c r="D845" s="5" t="s">
        <v>867</v>
      </c>
      <c r="E845" s="4">
        <v>10</v>
      </c>
      <c r="F845" s="4">
        <v>22</v>
      </c>
      <c r="G845" s="3">
        <f t="shared" si="82"/>
        <v>32</v>
      </c>
      <c r="H845" s="3"/>
      <c r="I845" s="3"/>
      <c r="J845" s="4">
        <v>40</v>
      </c>
      <c r="K845" s="3">
        <f t="shared" si="83"/>
        <v>72</v>
      </c>
      <c r="L845" s="7" t="str">
        <f t="shared" si="84"/>
        <v>B+</v>
      </c>
      <c r="M845" s="7" t="str">
        <f t="shared" si="85"/>
        <v>Passed</v>
      </c>
      <c r="N845" s="37"/>
      <c r="O845" s="37"/>
      <c r="P845" s="37"/>
    </row>
    <row r="846" spans="1:16" ht="15.6" x14ac:dyDescent="0.3">
      <c r="A846" s="3">
        <f t="shared" si="86"/>
        <v>36</v>
      </c>
      <c r="B846" s="306" t="s">
        <v>461</v>
      </c>
      <c r="C846" s="309" t="s">
        <v>393</v>
      </c>
      <c r="D846" s="5" t="s">
        <v>852</v>
      </c>
      <c r="E846" s="4">
        <v>10</v>
      </c>
      <c r="F846" s="4">
        <v>25</v>
      </c>
      <c r="G846" s="3">
        <f t="shared" si="82"/>
        <v>35</v>
      </c>
      <c r="H846" s="3"/>
      <c r="I846" s="3"/>
      <c r="J846" s="4">
        <v>1</v>
      </c>
      <c r="K846" s="3">
        <f t="shared" si="83"/>
        <v>36</v>
      </c>
      <c r="L846" s="7" t="str">
        <f t="shared" si="84"/>
        <v>F</v>
      </c>
      <c r="M846" s="7" t="str">
        <f t="shared" si="85"/>
        <v>Failed</v>
      </c>
      <c r="N846" s="37"/>
      <c r="O846" s="37"/>
      <c r="P846" s="37"/>
    </row>
    <row r="847" spans="1:16" ht="15.6" x14ac:dyDescent="0.3">
      <c r="A847" s="3">
        <f t="shared" si="86"/>
        <v>37</v>
      </c>
      <c r="B847" s="306" t="s">
        <v>462</v>
      </c>
      <c r="C847" s="309" t="s">
        <v>394</v>
      </c>
      <c r="D847" s="5" t="s">
        <v>866</v>
      </c>
      <c r="E847" s="4">
        <v>10</v>
      </c>
      <c r="F847" s="4">
        <v>19</v>
      </c>
      <c r="G847" s="3">
        <f t="shared" si="82"/>
        <v>29</v>
      </c>
      <c r="H847" s="3"/>
      <c r="I847" s="3"/>
      <c r="J847" s="4">
        <v>30</v>
      </c>
      <c r="K847" s="3">
        <f t="shared" si="83"/>
        <v>59</v>
      </c>
      <c r="L847" s="7" t="str">
        <f t="shared" si="84"/>
        <v>C+</v>
      </c>
      <c r="M847" s="7" t="str">
        <f t="shared" si="85"/>
        <v>Passed</v>
      </c>
      <c r="N847" s="37"/>
      <c r="O847" s="37"/>
      <c r="P847" s="37"/>
    </row>
    <row r="848" spans="1:16" ht="15.6" x14ac:dyDescent="0.3">
      <c r="A848" s="3">
        <f t="shared" si="86"/>
        <v>38</v>
      </c>
      <c r="B848" s="306" t="s">
        <v>463</v>
      </c>
      <c r="C848" s="309" t="s">
        <v>395</v>
      </c>
      <c r="D848" s="5" t="s">
        <v>855</v>
      </c>
      <c r="E848" s="4">
        <v>10</v>
      </c>
      <c r="F848" s="4">
        <v>18</v>
      </c>
      <c r="G848" s="3">
        <f t="shared" si="82"/>
        <v>28</v>
      </c>
      <c r="H848" s="3"/>
      <c r="I848" s="3"/>
      <c r="J848" s="4">
        <v>1</v>
      </c>
      <c r="K848" s="3">
        <f t="shared" si="83"/>
        <v>29</v>
      </c>
      <c r="L848" s="7" t="str">
        <f t="shared" si="84"/>
        <v>F</v>
      </c>
      <c r="M848" s="7" t="str">
        <f t="shared" si="85"/>
        <v>Failed</v>
      </c>
      <c r="N848" s="37"/>
      <c r="O848" s="37"/>
      <c r="P848" s="37"/>
    </row>
    <row r="849" spans="1:16" ht="15.6" x14ac:dyDescent="0.3">
      <c r="A849" s="3">
        <f t="shared" si="86"/>
        <v>39</v>
      </c>
      <c r="B849" s="306" t="s">
        <v>464</v>
      </c>
      <c r="C849" s="309" t="s">
        <v>396</v>
      </c>
      <c r="D849" s="5" t="s">
        <v>874</v>
      </c>
      <c r="E849" s="4">
        <v>10</v>
      </c>
      <c r="F849" s="4">
        <v>22</v>
      </c>
      <c r="G849" s="3">
        <f t="shared" si="82"/>
        <v>32</v>
      </c>
      <c r="H849" s="3"/>
      <c r="I849" s="3"/>
      <c r="J849" s="4">
        <v>13</v>
      </c>
      <c r="K849" s="3">
        <f t="shared" si="83"/>
        <v>45</v>
      </c>
      <c r="L849" s="7" t="str">
        <f t="shared" si="84"/>
        <v>D+</v>
      </c>
      <c r="M849" s="7" t="str">
        <f t="shared" si="85"/>
        <v>Failed</v>
      </c>
      <c r="N849" s="37"/>
      <c r="O849" s="37"/>
      <c r="P849" s="37"/>
    </row>
    <row r="850" spans="1:16" ht="15.6" x14ac:dyDescent="0.3">
      <c r="A850" s="3">
        <f t="shared" si="86"/>
        <v>40</v>
      </c>
      <c r="B850" s="306" t="s">
        <v>465</v>
      </c>
      <c r="C850" s="309" t="s">
        <v>397</v>
      </c>
      <c r="D850" s="5" t="s">
        <v>887</v>
      </c>
      <c r="E850" s="4">
        <v>10</v>
      </c>
      <c r="F850" s="4">
        <v>19</v>
      </c>
      <c r="G850" s="3">
        <f t="shared" si="82"/>
        <v>29</v>
      </c>
      <c r="H850" s="3"/>
      <c r="I850" s="3"/>
      <c r="J850" s="4">
        <v>32</v>
      </c>
      <c r="K850" s="3">
        <f t="shared" si="83"/>
        <v>61</v>
      </c>
      <c r="L850" s="7" t="str">
        <f t="shared" si="84"/>
        <v>B</v>
      </c>
      <c r="M850" s="7" t="str">
        <f t="shared" si="85"/>
        <v>Passed</v>
      </c>
      <c r="N850" s="37"/>
      <c r="O850" s="37"/>
      <c r="P850" s="37"/>
    </row>
    <row r="851" spans="1:16" ht="15.6" x14ac:dyDescent="0.3">
      <c r="A851" s="3">
        <f t="shared" si="86"/>
        <v>41</v>
      </c>
      <c r="B851" s="306" t="s">
        <v>466</v>
      </c>
      <c r="C851" s="307" t="s">
        <v>398</v>
      </c>
      <c r="D851" s="5" t="s">
        <v>840</v>
      </c>
      <c r="E851" s="4">
        <v>10</v>
      </c>
      <c r="F851" s="4">
        <v>24</v>
      </c>
      <c r="G851" s="3">
        <f t="shared" si="82"/>
        <v>34</v>
      </c>
      <c r="H851" s="3"/>
      <c r="I851" s="3"/>
      <c r="J851" s="4">
        <v>1</v>
      </c>
      <c r="K851" s="3">
        <f t="shared" si="83"/>
        <v>35</v>
      </c>
      <c r="L851" s="7" t="str">
        <f t="shared" si="84"/>
        <v>F</v>
      </c>
      <c r="M851" s="7" t="str">
        <f t="shared" si="85"/>
        <v>Failed</v>
      </c>
      <c r="N851" s="37"/>
      <c r="O851" s="37"/>
      <c r="P851" s="37"/>
    </row>
    <row r="852" spans="1:16" ht="15.6" x14ac:dyDescent="0.3">
      <c r="A852" s="3">
        <f t="shared" si="86"/>
        <v>42</v>
      </c>
      <c r="B852" s="306" t="s">
        <v>467</v>
      </c>
      <c r="C852" s="307" t="s">
        <v>399</v>
      </c>
      <c r="D852" s="5" t="s">
        <v>883</v>
      </c>
      <c r="E852" s="4">
        <v>9</v>
      </c>
      <c r="F852" s="4">
        <v>20</v>
      </c>
      <c r="G852" s="3">
        <f t="shared" si="82"/>
        <v>29</v>
      </c>
      <c r="H852" s="3"/>
      <c r="I852" s="3"/>
      <c r="J852" s="4">
        <v>41</v>
      </c>
      <c r="K852" s="3">
        <f t="shared" si="83"/>
        <v>70</v>
      </c>
      <c r="L852" s="7" t="str">
        <f t="shared" si="84"/>
        <v>B+</v>
      </c>
      <c r="M852" s="7" t="str">
        <f t="shared" si="85"/>
        <v>Passed</v>
      </c>
      <c r="N852" s="37"/>
      <c r="O852" s="37"/>
      <c r="P852" s="37"/>
    </row>
    <row r="853" spans="1:16" ht="15.6" x14ac:dyDescent="0.3">
      <c r="A853" s="3">
        <f t="shared" si="86"/>
        <v>43</v>
      </c>
      <c r="B853" s="306" t="s">
        <v>468</v>
      </c>
      <c r="C853" s="383" t="s">
        <v>552</v>
      </c>
      <c r="D853" s="5" t="s">
        <v>877</v>
      </c>
      <c r="E853" s="4">
        <v>10</v>
      </c>
      <c r="F853" s="4">
        <v>21</v>
      </c>
      <c r="G853" s="3">
        <f t="shared" si="82"/>
        <v>31</v>
      </c>
      <c r="H853" s="3"/>
      <c r="I853" s="3"/>
      <c r="J853" s="4">
        <v>24</v>
      </c>
      <c r="K853" s="3">
        <f t="shared" si="83"/>
        <v>55</v>
      </c>
      <c r="L853" s="7" t="str">
        <f t="shared" si="84"/>
        <v>C+</v>
      </c>
      <c r="M853" s="7" t="str">
        <f t="shared" si="85"/>
        <v>Passed</v>
      </c>
      <c r="N853" s="37"/>
      <c r="O853" s="37"/>
      <c r="P853" s="37"/>
    </row>
    <row r="854" spans="1:16" ht="15.6" x14ac:dyDescent="0.3">
      <c r="A854" s="3">
        <f t="shared" si="86"/>
        <v>44</v>
      </c>
      <c r="B854" s="306" t="s">
        <v>469</v>
      </c>
      <c r="C854" s="308" t="s">
        <v>400</v>
      </c>
      <c r="D854" s="5" t="s">
        <v>836</v>
      </c>
      <c r="E854" s="4">
        <v>10</v>
      </c>
      <c r="F854" s="4">
        <v>24</v>
      </c>
      <c r="G854" s="3">
        <f t="shared" si="82"/>
        <v>34</v>
      </c>
      <c r="H854" s="3"/>
      <c r="I854" s="3"/>
      <c r="J854" s="4">
        <v>25</v>
      </c>
      <c r="K854" s="3">
        <f t="shared" si="83"/>
        <v>59</v>
      </c>
      <c r="L854" s="7" t="str">
        <f t="shared" si="84"/>
        <v>C+</v>
      </c>
      <c r="M854" s="7" t="str">
        <f t="shared" si="85"/>
        <v>Passed</v>
      </c>
      <c r="N854" s="37"/>
      <c r="O854" s="37"/>
      <c r="P854" s="37"/>
    </row>
    <row r="855" spans="1:16" ht="15.6" x14ac:dyDescent="0.3">
      <c r="A855" s="3">
        <f t="shared" si="86"/>
        <v>45</v>
      </c>
      <c r="B855" s="306" t="s">
        <v>470</v>
      </c>
      <c r="C855" s="307" t="s">
        <v>401</v>
      </c>
      <c r="D855" s="5" t="s">
        <v>842</v>
      </c>
      <c r="E855" s="4">
        <v>10</v>
      </c>
      <c r="F855" s="4">
        <v>19</v>
      </c>
      <c r="G855" s="3">
        <f t="shared" si="82"/>
        <v>29</v>
      </c>
      <c r="H855" s="3"/>
      <c r="I855" s="3"/>
      <c r="J855" s="4">
        <v>5</v>
      </c>
      <c r="K855" s="3">
        <f t="shared" si="83"/>
        <v>34</v>
      </c>
      <c r="L855" s="7" t="str">
        <f t="shared" ref="L855" si="87">IF(K855&gt;=80,"A",IF(K855&gt;=70,"B+",IF(K855&gt;=60,"B",IF(K855&gt;=55,"C+",IF(K855&gt;=50,"C",IF(K855&gt;=45,"D+",IF(K855&gt;=40,"D","F")))))))</f>
        <v>F</v>
      </c>
      <c r="M855" s="7" t="str">
        <f t="shared" ref="M855" si="88">IF(K855&gt;=50,"Passed","Failed")</f>
        <v>Failed</v>
      </c>
      <c r="N855" s="37"/>
      <c r="O855" s="37"/>
      <c r="P855" s="37"/>
    </row>
    <row r="856" spans="1:16" ht="15.6" x14ac:dyDescent="0.3">
      <c r="A856" s="3">
        <f t="shared" si="86"/>
        <v>46</v>
      </c>
      <c r="B856" s="306" t="s">
        <v>471</v>
      </c>
      <c r="C856" s="307" t="s">
        <v>402</v>
      </c>
      <c r="D856" s="5" t="s">
        <v>870</v>
      </c>
      <c r="E856" s="4">
        <v>10</v>
      </c>
      <c r="F856" s="4">
        <v>24</v>
      </c>
      <c r="G856" s="3">
        <f t="shared" si="82"/>
        <v>34</v>
      </c>
      <c r="H856" s="3"/>
      <c r="I856" s="3"/>
      <c r="J856" s="4">
        <v>34</v>
      </c>
      <c r="K856" s="3">
        <f t="shared" si="83"/>
        <v>68</v>
      </c>
      <c r="L856" s="7" t="str">
        <f t="shared" si="84"/>
        <v>B</v>
      </c>
      <c r="M856" s="7" t="str">
        <f t="shared" si="85"/>
        <v>Passed</v>
      </c>
      <c r="N856" s="37"/>
      <c r="O856" s="37"/>
      <c r="P856" s="37"/>
    </row>
    <row r="857" spans="1:16" ht="15.6" x14ac:dyDescent="0.3">
      <c r="A857" s="3">
        <f t="shared" si="86"/>
        <v>47</v>
      </c>
      <c r="B857" s="306" t="s">
        <v>472</v>
      </c>
      <c r="C857" s="12" t="s">
        <v>403</v>
      </c>
      <c r="D857" s="5" t="s">
        <v>871</v>
      </c>
      <c r="E857" s="4">
        <v>10</v>
      </c>
      <c r="F857" s="4">
        <v>20</v>
      </c>
      <c r="G857" s="3">
        <f t="shared" si="82"/>
        <v>30</v>
      </c>
      <c r="H857" s="3"/>
      <c r="I857" s="3"/>
      <c r="J857" s="4">
        <v>31</v>
      </c>
      <c r="K857" s="3">
        <f t="shared" si="83"/>
        <v>61</v>
      </c>
      <c r="L857" s="7" t="str">
        <f t="shared" si="84"/>
        <v>B</v>
      </c>
      <c r="M857" s="7" t="str">
        <f t="shared" si="85"/>
        <v>Passed</v>
      </c>
      <c r="N857" s="37"/>
      <c r="O857" s="37"/>
      <c r="P857" s="37"/>
    </row>
    <row r="858" spans="1:16" ht="15.6" x14ac:dyDescent="0.3">
      <c r="A858" s="3">
        <f t="shared" si="86"/>
        <v>48</v>
      </c>
      <c r="B858" s="12" t="s">
        <v>473</v>
      </c>
      <c r="C858" s="307" t="s">
        <v>404</v>
      </c>
      <c r="D858" s="5" t="s">
        <v>860</v>
      </c>
      <c r="E858" s="4">
        <v>10</v>
      </c>
      <c r="F858" s="4">
        <v>22</v>
      </c>
      <c r="G858" s="3">
        <f t="shared" si="82"/>
        <v>32</v>
      </c>
      <c r="H858" s="3"/>
      <c r="I858" s="3"/>
      <c r="J858" s="4">
        <v>18</v>
      </c>
      <c r="K858" s="3">
        <f t="shared" si="83"/>
        <v>50</v>
      </c>
      <c r="L858" s="7" t="str">
        <f t="shared" si="84"/>
        <v>C</v>
      </c>
      <c r="M858" s="7" t="str">
        <f t="shared" si="85"/>
        <v>Passed</v>
      </c>
      <c r="N858" s="37"/>
      <c r="O858" s="37"/>
      <c r="P858" s="37"/>
    </row>
    <row r="859" spans="1:16" ht="15.6" x14ac:dyDescent="0.3">
      <c r="A859" s="3">
        <f t="shared" si="86"/>
        <v>49</v>
      </c>
      <c r="B859" s="12" t="s">
        <v>474</v>
      </c>
      <c r="C859" s="307" t="s">
        <v>405</v>
      </c>
      <c r="D859" s="5" t="s">
        <v>841</v>
      </c>
      <c r="E859" s="4">
        <v>10</v>
      </c>
      <c r="F859" s="4">
        <v>24</v>
      </c>
      <c r="G859" s="3">
        <f t="shared" si="82"/>
        <v>34</v>
      </c>
      <c r="H859" s="3"/>
      <c r="I859" s="3"/>
      <c r="J859" s="4">
        <v>1</v>
      </c>
      <c r="K859" s="3">
        <f t="shared" si="83"/>
        <v>35</v>
      </c>
      <c r="L859" s="7" t="str">
        <f t="shared" si="84"/>
        <v>F</v>
      </c>
      <c r="M859" s="7" t="str">
        <f t="shared" si="85"/>
        <v>Failed</v>
      </c>
      <c r="N859" s="37"/>
      <c r="O859" s="37"/>
      <c r="P859" s="37"/>
    </row>
    <row r="860" spans="1:16" ht="15.6" x14ac:dyDescent="0.3">
      <c r="A860" s="3">
        <f t="shared" si="86"/>
        <v>50</v>
      </c>
      <c r="B860" s="12" t="s">
        <v>475</v>
      </c>
      <c r="C860" s="307" t="s">
        <v>406</v>
      </c>
      <c r="D860" s="5" t="s">
        <v>843</v>
      </c>
      <c r="E860" s="4">
        <v>10</v>
      </c>
      <c r="F860" s="4">
        <v>19</v>
      </c>
      <c r="G860" s="3">
        <f t="shared" si="82"/>
        <v>29</v>
      </c>
      <c r="H860" s="3"/>
      <c r="I860" s="3"/>
      <c r="J860" s="4">
        <v>28</v>
      </c>
      <c r="K860" s="3">
        <f t="shared" si="83"/>
        <v>57</v>
      </c>
      <c r="L860" s="7" t="str">
        <f t="shared" si="84"/>
        <v>C+</v>
      </c>
      <c r="M860" s="7" t="str">
        <f t="shared" si="85"/>
        <v>Passed</v>
      </c>
      <c r="N860" s="37"/>
      <c r="O860" s="37"/>
      <c r="P860" s="37"/>
    </row>
    <row r="861" spans="1:16" ht="15.6" x14ac:dyDescent="0.3">
      <c r="A861" s="3">
        <f t="shared" si="86"/>
        <v>51</v>
      </c>
      <c r="B861" s="12" t="s">
        <v>476</v>
      </c>
      <c r="C861" s="307" t="s">
        <v>407</v>
      </c>
      <c r="D861" s="5" t="s">
        <v>839</v>
      </c>
      <c r="E861" s="12">
        <v>10</v>
      </c>
      <c r="F861" s="340">
        <v>20</v>
      </c>
      <c r="G861" s="3">
        <f t="shared" si="82"/>
        <v>30</v>
      </c>
      <c r="H861" s="3"/>
      <c r="I861" s="3"/>
      <c r="J861" s="12">
        <v>20</v>
      </c>
      <c r="K861" s="3">
        <f t="shared" si="83"/>
        <v>50</v>
      </c>
      <c r="L861" s="7" t="str">
        <f t="shared" si="84"/>
        <v>C</v>
      </c>
      <c r="M861" s="7" t="str">
        <f t="shared" si="85"/>
        <v>Passed</v>
      </c>
    </row>
    <row r="862" spans="1:16" ht="15.6" x14ac:dyDescent="0.3">
      <c r="A862" s="3">
        <f t="shared" si="86"/>
        <v>52</v>
      </c>
      <c r="B862" s="12" t="s">
        <v>477</v>
      </c>
      <c r="C862" s="307" t="s">
        <v>408</v>
      </c>
      <c r="D862" s="5" t="s">
        <v>849</v>
      </c>
      <c r="E862" s="12">
        <v>10</v>
      </c>
      <c r="F862" s="12">
        <v>25</v>
      </c>
      <c r="G862" s="3">
        <f t="shared" si="82"/>
        <v>35</v>
      </c>
      <c r="H862" s="3"/>
      <c r="I862" s="3"/>
      <c r="J862" s="12">
        <v>9</v>
      </c>
      <c r="K862" s="3">
        <f t="shared" si="83"/>
        <v>44</v>
      </c>
      <c r="L862" s="7" t="str">
        <f t="shared" si="84"/>
        <v>D</v>
      </c>
      <c r="M862" s="7" t="str">
        <f t="shared" si="85"/>
        <v>Failed</v>
      </c>
    </row>
    <row r="863" spans="1:16" ht="15.6" x14ac:dyDescent="0.3">
      <c r="A863" s="3">
        <f t="shared" si="86"/>
        <v>53</v>
      </c>
      <c r="B863" s="12" t="s">
        <v>478</v>
      </c>
      <c r="C863" s="307" t="s">
        <v>409</v>
      </c>
      <c r="D863" s="5" t="s">
        <v>869</v>
      </c>
      <c r="E863" s="12">
        <v>9</v>
      </c>
      <c r="F863" s="12">
        <v>18</v>
      </c>
      <c r="G863" s="3">
        <f t="shared" si="82"/>
        <v>27</v>
      </c>
      <c r="H863" s="3"/>
      <c r="I863" s="3"/>
      <c r="J863" s="12">
        <v>1</v>
      </c>
      <c r="K863" s="3">
        <f t="shared" si="83"/>
        <v>28</v>
      </c>
      <c r="L863" s="7" t="str">
        <f t="shared" si="84"/>
        <v>F</v>
      </c>
      <c r="M863" s="7" t="str">
        <f t="shared" si="85"/>
        <v>Failed</v>
      </c>
    </row>
    <row r="864" spans="1:16" ht="15.6" x14ac:dyDescent="0.3">
      <c r="A864" s="3">
        <f t="shared" si="86"/>
        <v>54</v>
      </c>
      <c r="B864" s="12" t="s">
        <v>479</v>
      </c>
      <c r="C864" s="12" t="s">
        <v>410</v>
      </c>
      <c r="D864" s="5" t="s">
        <v>872</v>
      </c>
      <c r="E864" s="12">
        <v>10</v>
      </c>
      <c r="F864" s="12">
        <v>21</v>
      </c>
      <c r="G864" s="3">
        <f t="shared" si="82"/>
        <v>31</v>
      </c>
      <c r="H864" s="12"/>
      <c r="I864" s="12"/>
      <c r="J864" s="12">
        <v>30</v>
      </c>
      <c r="K864" s="3">
        <f t="shared" si="83"/>
        <v>61</v>
      </c>
      <c r="L864" s="7" t="str">
        <f t="shared" si="84"/>
        <v>B</v>
      </c>
      <c r="M864" s="7" t="str">
        <f t="shared" si="85"/>
        <v>Passed</v>
      </c>
    </row>
    <row r="865" spans="1:16" ht="15.6" x14ac:dyDescent="0.3">
      <c r="A865" s="340">
        <v>55</v>
      </c>
      <c r="B865" s="340"/>
      <c r="C865" s="413" t="s">
        <v>504</v>
      </c>
      <c r="D865" s="368" t="s">
        <v>1019</v>
      </c>
      <c r="E865" s="414">
        <v>7.5</v>
      </c>
      <c r="F865" s="340">
        <v>20</v>
      </c>
      <c r="G865" s="339">
        <f t="shared" si="82"/>
        <v>27.5</v>
      </c>
      <c r="H865" s="340"/>
      <c r="I865" s="340"/>
      <c r="J865" s="340" t="s">
        <v>1938</v>
      </c>
      <c r="K865" s="339"/>
      <c r="L865" s="7"/>
      <c r="M865" s="7"/>
    </row>
    <row r="866" spans="1:16" ht="15.6" x14ac:dyDescent="0.3">
      <c r="A866" s="340">
        <v>56</v>
      </c>
      <c r="B866" s="340">
        <v>301521</v>
      </c>
      <c r="C866" s="411" t="s">
        <v>505</v>
      </c>
      <c r="D866" s="368" t="s">
        <v>838</v>
      </c>
      <c r="E866" s="414">
        <v>8</v>
      </c>
      <c r="F866" s="340">
        <v>24</v>
      </c>
      <c r="G866" s="339">
        <f t="shared" si="82"/>
        <v>32</v>
      </c>
      <c r="H866" s="340"/>
      <c r="I866" s="340"/>
      <c r="J866" s="340">
        <v>33</v>
      </c>
      <c r="K866" s="339">
        <f t="shared" si="83"/>
        <v>65</v>
      </c>
      <c r="L866" s="400" t="str">
        <f t="shared" si="84"/>
        <v>B</v>
      </c>
      <c r="M866" s="7" t="str">
        <f t="shared" si="85"/>
        <v>Passed</v>
      </c>
    </row>
    <row r="871" spans="1:16" ht="15.6" x14ac:dyDescent="0.3">
      <c r="A871" s="506" t="s">
        <v>0</v>
      </c>
      <c r="B871" s="507"/>
      <c r="C871" s="507"/>
      <c r="D871" s="507"/>
      <c r="E871" s="507"/>
      <c r="F871" s="507"/>
      <c r="G871" s="18"/>
      <c r="H871" s="67"/>
      <c r="I871" s="67"/>
      <c r="J871" s="18"/>
      <c r="K871" s="18"/>
      <c r="L871" s="10"/>
      <c r="M871" s="10"/>
      <c r="N871" s="10"/>
      <c r="O871" s="9"/>
      <c r="P871" s="10"/>
    </row>
    <row r="872" spans="1:16" ht="15.6" x14ac:dyDescent="0.3">
      <c r="A872" s="503" t="s">
        <v>44</v>
      </c>
      <c r="B872" s="504"/>
      <c r="C872" s="504"/>
      <c r="D872" s="504"/>
      <c r="E872" s="504"/>
      <c r="F872" s="504"/>
      <c r="G872" s="504"/>
      <c r="H872" s="504"/>
      <c r="I872" s="504"/>
      <c r="J872" s="18"/>
      <c r="K872" s="18"/>
      <c r="L872" s="10"/>
      <c r="M872" s="10"/>
      <c r="N872" s="10"/>
      <c r="O872" s="9"/>
      <c r="P872" s="10"/>
    </row>
    <row r="873" spans="1:16" ht="15.6" x14ac:dyDescent="0.3">
      <c r="A873" s="503" t="s">
        <v>362</v>
      </c>
      <c r="B873" s="504"/>
      <c r="C873" s="504"/>
      <c r="D873" s="504"/>
      <c r="E873" s="504"/>
      <c r="F873" s="87"/>
      <c r="G873" s="87"/>
      <c r="H873" s="87"/>
      <c r="I873" s="87"/>
      <c r="J873" s="18"/>
      <c r="K873" s="18"/>
      <c r="L873" s="19"/>
      <c r="M873" s="10"/>
      <c r="N873" s="10"/>
      <c r="O873" s="9"/>
      <c r="P873" s="10"/>
    </row>
    <row r="874" spans="1:16" ht="15.6" x14ac:dyDescent="0.3">
      <c r="A874" s="506" t="s">
        <v>214</v>
      </c>
      <c r="B874" s="507"/>
      <c r="C874" s="507"/>
      <c r="D874" s="85"/>
      <c r="E874" s="85"/>
      <c r="F874" s="85"/>
      <c r="G874" s="85"/>
      <c r="H874" s="85"/>
      <c r="I874" s="85"/>
      <c r="J874" s="18"/>
      <c r="K874" s="18"/>
      <c r="L874" s="19"/>
      <c r="M874" s="10"/>
      <c r="N874" s="10"/>
      <c r="O874" s="9"/>
      <c r="P874" s="10"/>
    </row>
    <row r="875" spans="1:16" ht="15.6" x14ac:dyDescent="0.3">
      <c r="A875" s="506" t="s">
        <v>215</v>
      </c>
      <c r="B875" s="507"/>
      <c r="C875" s="507"/>
      <c r="D875" s="85"/>
      <c r="E875" s="85"/>
      <c r="F875" s="85"/>
      <c r="G875" s="85"/>
      <c r="H875" s="85"/>
      <c r="I875" s="85"/>
      <c r="J875" s="18"/>
      <c r="K875" s="18"/>
      <c r="L875" s="19"/>
      <c r="M875" s="10"/>
      <c r="N875" s="10"/>
      <c r="O875" s="9"/>
      <c r="P875" s="10"/>
    </row>
    <row r="876" spans="1:16" ht="15.6" x14ac:dyDescent="0.3">
      <c r="A876" s="84" t="s">
        <v>216</v>
      </c>
      <c r="B876" s="85"/>
      <c r="C876" s="85"/>
      <c r="D876" s="85"/>
      <c r="E876" s="85"/>
      <c r="F876" s="85"/>
      <c r="G876" s="85"/>
      <c r="H876" s="85"/>
      <c r="I876" s="85"/>
      <c r="J876" s="18"/>
      <c r="K876" s="18"/>
      <c r="L876" s="19"/>
      <c r="M876" s="10"/>
      <c r="N876" s="10"/>
      <c r="O876" s="9"/>
      <c r="P876" s="10"/>
    </row>
    <row r="877" spans="1:16" ht="15.6" x14ac:dyDescent="0.3">
      <c r="A877" s="84" t="s">
        <v>217</v>
      </c>
      <c r="B877" s="85"/>
      <c r="C877" s="85"/>
      <c r="D877" s="85"/>
      <c r="E877" s="85"/>
      <c r="F877" s="85"/>
      <c r="G877" s="85"/>
      <c r="H877" s="85"/>
      <c r="I877" s="85"/>
      <c r="J877" s="18"/>
      <c r="K877" s="18"/>
      <c r="L877" s="19"/>
      <c r="M877" s="10"/>
      <c r="N877" s="10"/>
      <c r="O877" s="9"/>
      <c r="P877" s="10"/>
    </row>
    <row r="878" spans="1:16" ht="15.6" x14ac:dyDescent="0.3">
      <c r="A878" s="92" t="s">
        <v>218</v>
      </c>
      <c r="B878" s="93"/>
      <c r="C878" s="93"/>
      <c r="D878" s="93"/>
      <c r="E878" s="93"/>
      <c r="F878" s="93"/>
      <c r="G878" s="93"/>
      <c r="H878" s="93"/>
      <c r="I878" s="93"/>
      <c r="J878" s="18"/>
      <c r="K878" s="18"/>
      <c r="L878" s="19"/>
      <c r="M878" s="10"/>
      <c r="N878" s="10"/>
      <c r="O878" s="9"/>
      <c r="P878" s="10"/>
    </row>
    <row r="879" spans="1:16" ht="16.2" x14ac:dyDescent="0.35">
      <c r="A879" s="508" t="s">
        <v>7</v>
      </c>
      <c r="B879" s="509"/>
      <c r="C879" s="72" t="s">
        <v>539</v>
      </c>
      <c r="D879" s="18"/>
      <c r="E879" s="22"/>
      <c r="F879" s="18"/>
      <c r="G879" s="18"/>
      <c r="H879" s="67"/>
      <c r="I879" s="67"/>
      <c r="J879" s="18"/>
      <c r="K879" s="18"/>
      <c r="L879" s="19"/>
      <c r="M879" s="10"/>
      <c r="N879" s="10"/>
      <c r="O879" s="9"/>
      <c r="P879" s="10"/>
    </row>
    <row r="880" spans="1:16" ht="54" x14ac:dyDescent="0.3">
      <c r="A880" s="24" t="s">
        <v>8</v>
      </c>
      <c r="B880" s="24" t="s">
        <v>9</v>
      </c>
      <c r="C880" s="73" t="s">
        <v>10</v>
      </c>
      <c r="D880" s="25"/>
      <c r="E880" s="27" t="s">
        <v>12</v>
      </c>
      <c r="F880" s="27" t="s">
        <v>13</v>
      </c>
      <c r="G880" s="27" t="s">
        <v>14</v>
      </c>
      <c r="H880" s="27" t="s">
        <v>208</v>
      </c>
      <c r="I880" s="27" t="s">
        <v>209</v>
      </c>
      <c r="J880" s="27" t="s">
        <v>15</v>
      </c>
      <c r="K880" s="27" t="s">
        <v>16</v>
      </c>
      <c r="L880" s="19"/>
      <c r="M880" s="10"/>
      <c r="N880" s="10"/>
      <c r="O880" s="9"/>
      <c r="P880" s="10"/>
    </row>
    <row r="881" spans="1:22" ht="15.6" x14ac:dyDescent="0.3">
      <c r="A881" s="24" t="s">
        <v>42</v>
      </c>
      <c r="B881" s="24"/>
      <c r="C881" s="74"/>
      <c r="D881" s="3"/>
      <c r="E881" s="3"/>
      <c r="F881" s="3"/>
      <c r="G881" s="3"/>
      <c r="H881" s="3"/>
      <c r="I881" s="3"/>
      <c r="J881" s="3"/>
      <c r="K881" s="3"/>
      <c r="L881" s="23"/>
      <c r="M881" s="10"/>
      <c r="N881" s="10"/>
      <c r="O881" s="9"/>
      <c r="P881" s="10"/>
    </row>
    <row r="882" spans="1:22" ht="15.6" x14ac:dyDescent="0.3">
      <c r="A882" s="3"/>
      <c r="B882" s="10"/>
      <c r="C882" s="75"/>
      <c r="D882" s="10"/>
      <c r="E882" s="10"/>
      <c r="F882" s="10"/>
      <c r="G882" s="10"/>
      <c r="H882" s="10"/>
      <c r="I882" s="10"/>
      <c r="J882" s="10"/>
      <c r="K882" s="10"/>
      <c r="L882" s="34" t="s">
        <v>17</v>
      </c>
      <c r="M882" s="34" t="s">
        <v>18</v>
      </c>
      <c r="N882" s="8"/>
      <c r="O882" s="9"/>
      <c r="P882" s="10"/>
    </row>
    <row r="883" spans="1:22" ht="15.6" x14ac:dyDescent="0.3">
      <c r="A883" s="3">
        <f t="shared" ref="A883:A914" si="89">ROW(A1)</f>
        <v>1</v>
      </c>
      <c r="B883" s="306" t="s">
        <v>431</v>
      </c>
      <c r="C883" s="307" t="s">
        <v>365</v>
      </c>
      <c r="D883" s="5" t="s">
        <v>773</v>
      </c>
      <c r="E883" s="3">
        <v>10</v>
      </c>
      <c r="F883" s="3">
        <v>17</v>
      </c>
      <c r="G883" s="3">
        <f>SUM(E883:F883)</f>
        <v>27</v>
      </c>
      <c r="H883" s="3"/>
      <c r="I883" s="3"/>
      <c r="J883" s="3">
        <v>42</v>
      </c>
      <c r="K883" s="3">
        <f>SUM(G883:J883)</f>
        <v>69</v>
      </c>
      <c r="L883" s="7" t="str">
        <f t="shared" ref="L883:L936" si="90">IF(K883&gt;=80,"A",IF(K883&gt;=70,"B+",IF(K883&gt;=60,"B",IF(K883&gt;=55,"C+",IF(K883&gt;=50,"C",IF(K883&gt;=45,"D+",IF(K883&gt;=40,"D","F")))))))</f>
        <v>B</v>
      </c>
      <c r="M883" s="7" t="str">
        <f t="shared" ref="M883:M936" si="91">IF(K883&gt;=50,"Passed","Failed")</f>
        <v>Passed</v>
      </c>
      <c r="N883" s="8"/>
      <c r="O883" s="9"/>
      <c r="P883" s="10"/>
    </row>
    <row r="884" spans="1:22" ht="31.2" x14ac:dyDescent="0.3">
      <c r="A884" s="3">
        <f t="shared" si="89"/>
        <v>2</v>
      </c>
      <c r="B884" s="306" t="s">
        <v>586</v>
      </c>
      <c r="C884" s="308" t="s">
        <v>366</v>
      </c>
      <c r="D884" s="5" t="s">
        <v>751</v>
      </c>
      <c r="E884" s="3">
        <v>10</v>
      </c>
      <c r="F884" s="3">
        <v>23</v>
      </c>
      <c r="G884" s="3">
        <f t="shared" ref="G884:G936" si="92">SUM(E884:F884)</f>
        <v>33</v>
      </c>
      <c r="H884" s="3"/>
      <c r="I884" s="3"/>
      <c r="J884" s="3">
        <v>42</v>
      </c>
      <c r="K884" s="3">
        <f t="shared" ref="K884:K936" si="93">SUM(G884:J884)</f>
        <v>75</v>
      </c>
      <c r="L884" s="7" t="str">
        <f t="shared" si="90"/>
        <v>B+</v>
      </c>
      <c r="M884" s="7" t="str">
        <f t="shared" si="91"/>
        <v>Passed</v>
      </c>
      <c r="N884" s="8" t="s">
        <v>19</v>
      </c>
      <c r="O884" s="9"/>
      <c r="P884" s="10"/>
    </row>
    <row r="885" spans="1:22" ht="15.6" x14ac:dyDescent="0.3">
      <c r="A885" s="3">
        <f t="shared" si="89"/>
        <v>3</v>
      </c>
      <c r="B885" s="306" t="s">
        <v>432</v>
      </c>
      <c r="C885" s="309" t="s">
        <v>367</v>
      </c>
      <c r="D885" s="5" t="s">
        <v>760</v>
      </c>
      <c r="E885" s="3">
        <v>10</v>
      </c>
      <c r="F885" s="3">
        <v>19</v>
      </c>
      <c r="G885" s="3">
        <f t="shared" si="92"/>
        <v>29</v>
      </c>
      <c r="H885" s="3"/>
      <c r="I885" s="3"/>
      <c r="J885" s="3">
        <v>42</v>
      </c>
      <c r="K885" s="3">
        <f t="shared" si="93"/>
        <v>71</v>
      </c>
      <c r="L885" s="7" t="str">
        <f t="shared" si="90"/>
        <v>B+</v>
      </c>
      <c r="M885" s="7" t="str">
        <f t="shared" si="91"/>
        <v>Passed</v>
      </c>
      <c r="N885" s="7" t="s">
        <v>20</v>
      </c>
      <c r="O885" s="9">
        <f>COUNT(G883:G936)</f>
        <v>54</v>
      </c>
      <c r="P885" s="10"/>
    </row>
    <row r="886" spans="1:22" ht="15.6" x14ac:dyDescent="0.3">
      <c r="A886" s="3">
        <f t="shared" si="89"/>
        <v>4</v>
      </c>
      <c r="B886" s="306" t="s">
        <v>433</v>
      </c>
      <c r="C886" s="310" t="s">
        <v>368</v>
      </c>
      <c r="D886" s="5" t="s">
        <v>750</v>
      </c>
      <c r="E886" s="3">
        <v>9</v>
      </c>
      <c r="F886" s="3">
        <v>17</v>
      </c>
      <c r="G886" s="3">
        <f t="shared" si="92"/>
        <v>26</v>
      </c>
      <c r="H886" s="3"/>
      <c r="I886" s="3"/>
      <c r="J886" s="3">
        <v>42</v>
      </c>
      <c r="K886" s="3">
        <f t="shared" si="93"/>
        <v>68</v>
      </c>
      <c r="L886" s="7" t="str">
        <f t="shared" si="90"/>
        <v>B</v>
      </c>
      <c r="M886" s="7" t="str">
        <f t="shared" si="91"/>
        <v>Passed</v>
      </c>
      <c r="N886" s="7" t="s">
        <v>21</v>
      </c>
      <c r="O886" s="9">
        <f>COUNT(J883:J936)</f>
        <v>54</v>
      </c>
      <c r="P886" s="10"/>
    </row>
    <row r="887" spans="1:22" ht="15.6" x14ac:dyDescent="0.3">
      <c r="A887" s="3">
        <f t="shared" si="89"/>
        <v>5</v>
      </c>
      <c r="B887" s="306" t="s">
        <v>434</v>
      </c>
      <c r="C887" s="310" t="s">
        <v>606</v>
      </c>
      <c r="D887" s="5" t="s">
        <v>764</v>
      </c>
      <c r="E887" s="3">
        <v>9</v>
      </c>
      <c r="F887" s="3">
        <v>18</v>
      </c>
      <c r="G887" s="3">
        <f t="shared" si="92"/>
        <v>27</v>
      </c>
      <c r="H887" s="3"/>
      <c r="I887" s="3"/>
      <c r="J887" s="3">
        <v>44</v>
      </c>
      <c r="K887" s="3">
        <f t="shared" si="93"/>
        <v>71</v>
      </c>
      <c r="L887" s="7" t="str">
        <f t="shared" si="90"/>
        <v>B+</v>
      </c>
      <c r="M887" s="7" t="str">
        <f t="shared" si="91"/>
        <v>Passed</v>
      </c>
      <c r="N887" s="7" t="s">
        <v>22</v>
      </c>
      <c r="O887" s="9">
        <f>O885-O886</f>
        <v>0</v>
      </c>
      <c r="P887" s="10"/>
    </row>
    <row r="888" spans="1:22" ht="15.6" x14ac:dyDescent="0.3">
      <c r="A888" s="3">
        <f t="shared" si="89"/>
        <v>6</v>
      </c>
      <c r="B888" s="306" t="s">
        <v>544</v>
      </c>
      <c r="C888" s="309" t="s">
        <v>369</v>
      </c>
      <c r="D888" s="5" t="s">
        <v>777</v>
      </c>
      <c r="E888" s="3">
        <v>10</v>
      </c>
      <c r="F888" s="3">
        <v>21</v>
      </c>
      <c r="G888" s="3">
        <f t="shared" si="92"/>
        <v>31</v>
      </c>
      <c r="H888" s="3"/>
      <c r="I888" s="3"/>
      <c r="J888" s="5">
        <v>42</v>
      </c>
      <c r="K888" s="3">
        <f t="shared" si="93"/>
        <v>73</v>
      </c>
      <c r="L888" s="7" t="str">
        <f t="shared" si="90"/>
        <v>B+</v>
      </c>
      <c r="M888" s="7" t="str">
        <f t="shared" si="91"/>
        <v>Passed</v>
      </c>
      <c r="N888" s="7" t="s">
        <v>23</v>
      </c>
      <c r="O888" s="9">
        <f>COUNTIF(M883:M936,"Passed")</f>
        <v>54</v>
      </c>
      <c r="P888" s="10"/>
    </row>
    <row r="889" spans="1:22" ht="15.6" x14ac:dyDescent="0.3">
      <c r="A889" s="3">
        <f t="shared" si="89"/>
        <v>7</v>
      </c>
      <c r="B889" s="306" t="s">
        <v>562</v>
      </c>
      <c r="C889" s="309" t="s">
        <v>370</v>
      </c>
      <c r="D889" s="5" t="s">
        <v>731</v>
      </c>
      <c r="E889" s="5">
        <v>10</v>
      </c>
      <c r="F889" s="5">
        <v>20</v>
      </c>
      <c r="G889" s="3">
        <f t="shared" si="92"/>
        <v>30</v>
      </c>
      <c r="H889" s="3"/>
      <c r="I889" s="3"/>
      <c r="J889" s="5">
        <v>41</v>
      </c>
      <c r="K889" s="3">
        <f t="shared" si="93"/>
        <v>71</v>
      </c>
      <c r="L889" s="7" t="str">
        <f t="shared" si="90"/>
        <v>B+</v>
      </c>
      <c r="M889" s="7" t="str">
        <f t="shared" si="91"/>
        <v>Passed</v>
      </c>
      <c r="N889" s="7" t="s">
        <v>24</v>
      </c>
      <c r="O889" s="29">
        <f>O888/O886%</f>
        <v>100</v>
      </c>
      <c r="P889" s="10"/>
    </row>
    <row r="890" spans="1:22" ht="15.6" x14ac:dyDescent="0.3">
      <c r="A890" s="3">
        <f t="shared" si="89"/>
        <v>8</v>
      </c>
      <c r="B890" s="306" t="s">
        <v>435</v>
      </c>
      <c r="C890" s="310" t="s">
        <v>595</v>
      </c>
      <c r="D890" s="5" t="s">
        <v>757</v>
      </c>
      <c r="E890" s="5">
        <v>10</v>
      </c>
      <c r="F890" s="5">
        <v>20</v>
      </c>
      <c r="G890" s="3">
        <f t="shared" si="92"/>
        <v>30</v>
      </c>
      <c r="H890" s="3"/>
      <c r="I890" s="3"/>
      <c r="J890" s="5">
        <v>44</v>
      </c>
      <c r="K890" s="3">
        <f t="shared" si="93"/>
        <v>74</v>
      </c>
      <c r="L890" s="7" t="str">
        <f t="shared" si="90"/>
        <v>B+</v>
      </c>
      <c r="M890" s="7" t="str">
        <f t="shared" si="91"/>
        <v>Passed</v>
      </c>
      <c r="N890" s="10" t="s">
        <v>25</v>
      </c>
      <c r="O890" s="9">
        <f>COUNTIF(M883:M936,"failed")</f>
        <v>0</v>
      </c>
      <c r="P890" s="10"/>
    </row>
    <row r="891" spans="1:22" ht="15.6" x14ac:dyDescent="0.3">
      <c r="A891" s="3">
        <f t="shared" si="89"/>
        <v>9</v>
      </c>
      <c r="B891" s="306" t="s">
        <v>436</v>
      </c>
      <c r="C891" s="309" t="s">
        <v>371</v>
      </c>
      <c r="D891" s="5" t="s">
        <v>740</v>
      </c>
      <c r="E891" s="5">
        <v>10</v>
      </c>
      <c r="F891" s="5">
        <v>21</v>
      </c>
      <c r="G891" s="3">
        <f t="shared" si="92"/>
        <v>31</v>
      </c>
      <c r="H891" s="3"/>
      <c r="I891" s="3"/>
      <c r="J891" s="5">
        <v>45</v>
      </c>
      <c r="K891" s="3">
        <f t="shared" si="93"/>
        <v>76</v>
      </c>
      <c r="L891" s="7" t="str">
        <f t="shared" si="90"/>
        <v>B+</v>
      </c>
      <c r="M891" s="7" t="str">
        <f t="shared" si="91"/>
        <v>Passed</v>
      </c>
      <c r="N891" s="10" t="s">
        <v>26</v>
      </c>
      <c r="O891" s="29">
        <f>O890/O886%</f>
        <v>0</v>
      </c>
      <c r="P891" s="10"/>
    </row>
    <row r="892" spans="1:22" ht="15.6" x14ac:dyDescent="0.3">
      <c r="A892" s="3">
        <f t="shared" si="89"/>
        <v>10</v>
      </c>
      <c r="B892" s="306" t="s">
        <v>437</v>
      </c>
      <c r="C892" s="310" t="s">
        <v>372</v>
      </c>
      <c r="D892" s="5" t="s">
        <v>737</v>
      </c>
      <c r="E892" s="5">
        <v>10</v>
      </c>
      <c r="F892" s="5">
        <v>23</v>
      </c>
      <c r="G892" s="3">
        <f t="shared" si="92"/>
        <v>33</v>
      </c>
      <c r="H892" s="3"/>
      <c r="I892" s="3"/>
      <c r="J892" s="5">
        <v>33</v>
      </c>
      <c r="K892" s="3">
        <f t="shared" si="93"/>
        <v>66</v>
      </c>
      <c r="L892" s="7" t="str">
        <f t="shared" si="90"/>
        <v>B</v>
      </c>
      <c r="M892" s="7" t="str">
        <f t="shared" si="91"/>
        <v>Passed</v>
      </c>
      <c r="N892" s="10" t="s">
        <v>27</v>
      </c>
      <c r="O892" s="29">
        <f>AVERAGE(K883:K936)</f>
        <v>65.268518518518519</v>
      </c>
      <c r="P892" s="10"/>
    </row>
    <row r="893" spans="1:22" ht="15.6" x14ac:dyDescent="0.3">
      <c r="A893" s="3">
        <f t="shared" si="89"/>
        <v>11</v>
      </c>
      <c r="B893" s="306" t="s">
        <v>438</v>
      </c>
      <c r="C893" s="307" t="s">
        <v>373</v>
      </c>
      <c r="D893" s="5" t="s">
        <v>779</v>
      </c>
      <c r="E893" s="5">
        <v>10</v>
      </c>
      <c r="F893" s="5">
        <v>22</v>
      </c>
      <c r="G893" s="3">
        <f t="shared" si="92"/>
        <v>32</v>
      </c>
      <c r="H893" s="3"/>
      <c r="I893" s="3"/>
      <c r="J893" s="5">
        <v>45</v>
      </c>
      <c r="K893" s="3">
        <f t="shared" si="93"/>
        <v>77</v>
      </c>
      <c r="L893" s="7" t="str">
        <f t="shared" si="90"/>
        <v>B+</v>
      </c>
      <c r="M893" s="7" t="str">
        <f t="shared" si="91"/>
        <v>Passed</v>
      </c>
      <c r="N893" s="10"/>
      <c r="O893" s="9"/>
      <c r="P893" s="10"/>
    </row>
    <row r="894" spans="1:22" ht="15.6" x14ac:dyDescent="0.3">
      <c r="A894" s="3">
        <f t="shared" si="89"/>
        <v>12</v>
      </c>
      <c r="B894" s="306" t="s">
        <v>439</v>
      </c>
      <c r="C894" s="307" t="s">
        <v>565</v>
      </c>
      <c r="D894" s="5" t="s">
        <v>732</v>
      </c>
      <c r="E894" s="5">
        <v>10</v>
      </c>
      <c r="F894" s="5">
        <v>17</v>
      </c>
      <c r="G894" s="3">
        <f t="shared" si="92"/>
        <v>27</v>
      </c>
      <c r="H894" s="3"/>
      <c r="I894" s="3"/>
      <c r="J894" s="5">
        <v>30</v>
      </c>
      <c r="K894" s="3">
        <f t="shared" si="93"/>
        <v>57</v>
      </c>
      <c r="L894" s="7" t="str">
        <f t="shared" si="90"/>
        <v>C+</v>
      </c>
      <c r="M894" s="7" t="str">
        <f t="shared" si="91"/>
        <v>Passed</v>
      </c>
      <c r="N894" s="10"/>
      <c r="O894" s="9"/>
      <c r="P894" s="10"/>
    </row>
    <row r="895" spans="1:22" ht="15.6" x14ac:dyDescent="0.3">
      <c r="A895" s="3">
        <f t="shared" si="89"/>
        <v>13</v>
      </c>
      <c r="B895" s="306" t="s">
        <v>440</v>
      </c>
      <c r="C895" s="310" t="s">
        <v>374</v>
      </c>
      <c r="D895" s="5" t="s">
        <v>775</v>
      </c>
      <c r="E895" s="5">
        <v>10</v>
      </c>
      <c r="F895" s="5">
        <v>20</v>
      </c>
      <c r="G895" s="3">
        <f t="shared" si="92"/>
        <v>30</v>
      </c>
      <c r="H895" s="3"/>
      <c r="I895" s="3"/>
      <c r="J895" s="5">
        <v>41</v>
      </c>
      <c r="K895" s="3">
        <f t="shared" si="93"/>
        <v>71</v>
      </c>
      <c r="L895" s="7" t="str">
        <f t="shared" si="90"/>
        <v>B+</v>
      </c>
      <c r="M895" s="7" t="str">
        <f t="shared" si="91"/>
        <v>Passed</v>
      </c>
      <c r="N895" s="10"/>
      <c r="O895" s="9"/>
      <c r="P895" s="10"/>
    </row>
    <row r="896" spans="1:22" ht="15.6" x14ac:dyDescent="0.3">
      <c r="A896" s="3">
        <f t="shared" si="89"/>
        <v>14</v>
      </c>
      <c r="B896" s="306" t="s">
        <v>441</v>
      </c>
      <c r="C896" s="310" t="s">
        <v>375</v>
      </c>
      <c r="D896" s="5" t="s">
        <v>753</v>
      </c>
      <c r="E896" s="5">
        <v>9</v>
      </c>
      <c r="F896" s="5">
        <v>20</v>
      </c>
      <c r="G896" s="3">
        <f t="shared" si="92"/>
        <v>29</v>
      </c>
      <c r="H896" s="3"/>
      <c r="I896" s="3"/>
      <c r="J896" s="5">
        <v>42</v>
      </c>
      <c r="K896" s="3">
        <f t="shared" si="93"/>
        <v>71</v>
      </c>
      <c r="L896" s="7" t="str">
        <f t="shared" ref="L896" si="94">IF(K896&gt;=80,"A",IF(K896&gt;=70,"B+",IF(K896&gt;=60,"B",IF(K896&gt;=55,"C+",IF(K896&gt;=50,"C",IF(K896&gt;=45,"D+",IF(K896&gt;=40,"D","F")))))))</f>
        <v>B+</v>
      </c>
      <c r="M896" s="7" t="str">
        <f t="shared" ref="M896" si="95">IF(K896&gt;=50,"Passed","Failed")</f>
        <v>Passed</v>
      </c>
      <c r="N896" s="11"/>
      <c r="O896" s="9" t="s">
        <v>28</v>
      </c>
      <c r="P896" s="10" t="s">
        <v>29</v>
      </c>
      <c r="Q896" t="s">
        <v>30</v>
      </c>
      <c r="R896" t="s">
        <v>31</v>
      </c>
      <c r="S896" t="s">
        <v>32</v>
      </c>
      <c r="T896" t="s">
        <v>33</v>
      </c>
      <c r="U896" t="s">
        <v>34</v>
      </c>
      <c r="V896" t="s">
        <v>35</v>
      </c>
    </row>
    <row r="897" spans="1:22" ht="15.6" x14ac:dyDescent="0.3">
      <c r="A897" s="3">
        <f t="shared" si="89"/>
        <v>15</v>
      </c>
      <c r="B897" s="306" t="s">
        <v>442</v>
      </c>
      <c r="C897" s="310" t="s">
        <v>376</v>
      </c>
      <c r="D897" s="5" t="s">
        <v>776</v>
      </c>
      <c r="E897" s="5">
        <v>10</v>
      </c>
      <c r="F897" s="5">
        <v>17</v>
      </c>
      <c r="G897" s="3">
        <f t="shared" si="92"/>
        <v>27</v>
      </c>
      <c r="H897" s="3"/>
      <c r="I897" s="3"/>
      <c r="J897" s="5">
        <v>33</v>
      </c>
      <c r="K897" s="3">
        <f t="shared" si="93"/>
        <v>60</v>
      </c>
      <c r="L897" s="7" t="str">
        <f t="shared" si="90"/>
        <v>B</v>
      </c>
      <c r="M897" s="7" t="str">
        <f t="shared" si="91"/>
        <v>Passed</v>
      </c>
      <c r="N897" s="10"/>
      <c r="O897" s="9">
        <f>COUNTIF(L883:L936,"A")</f>
        <v>0</v>
      </c>
      <c r="P897" s="10">
        <f>COUNTIF(L883:L936,"B+")</f>
        <v>20</v>
      </c>
      <c r="Q897">
        <f>COUNTIF(L883:L936,"B")</f>
        <v>20</v>
      </c>
      <c r="R897">
        <f>COUNTIF(L883:L936,"C+")</f>
        <v>8</v>
      </c>
      <c r="S897">
        <f>COUNTIF(L883:L936,"C")</f>
        <v>6</v>
      </c>
      <c r="T897">
        <f>COUNTIF(L883:L936,"D+")</f>
        <v>0</v>
      </c>
      <c r="U897">
        <f>COUNTIF(L883:L936,"D")</f>
        <v>0</v>
      </c>
      <c r="V897">
        <f>COUNTIF(L883:L936,"F")</f>
        <v>0</v>
      </c>
    </row>
    <row r="898" spans="1:22" ht="15.6" x14ac:dyDescent="0.3">
      <c r="A898" s="3">
        <f t="shared" si="89"/>
        <v>16</v>
      </c>
      <c r="B898" s="306" t="s">
        <v>443</v>
      </c>
      <c r="C898" s="307" t="s">
        <v>377</v>
      </c>
      <c r="D898" s="5" t="s">
        <v>733</v>
      </c>
      <c r="E898" s="5">
        <v>9</v>
      </c>
      <c r="F898" s="5">
        <v>11</v>
      </c>
      <c r="G898" s="3">
        <f t="shared" si="92"/>
        <v>20</v>
      </c>
      <c r="H898" s="3"/>
      <c r="I898" s="3"/>
      <c r="J898" s="5">
        <v>38</v>
      </c>
      <c r="K898" s="3">
        <f t="shared" si="93"/>
        <v>58</v>
      </c>
      <c r="L898" s="7" t="str">
        <f t="shared" si="90"/>
        <v>C+</v>
      </c>
      <c r="M898" s="7" t="str">
        <f t="shared" si="91"/>
        <v>Passed</v>
      </c>
      <c r="N898" s="10"/>
      <c r="O898" s="9"/>
      <c r="P898" s="10"/>
    </row>
    <row r="899" spans="1:22" ht="15.6" x14ac:dyDescent="0.3">
      <c r="A899" s="3">
        <f t="shared" si="89"/>
        <v>17</v>
      </c>
      <c r="B899" s="306" t="s">
        <v>444</v>
      </c>
      <c r="C899" s="310" t="s">
        <v>378</v>
      </c>
      <c r="D899" s="5" t="s">
        <v>766</v>
      </c>
      <c r="E899" s="5">
        <v>10</v>
      </c>
      <c r="F899" s="5">
        <v>21</v>
      </c>
      <c r="G899" s="3">
        <f t="shared" si="92"/>
        <v>31</v>
      </c>
      <c r="H899" s="3"/>
      <c r="I899" s="3"/>
      <c r="J899" s="5">
        <v>42</v>
      </c>
      <c r="K899" s="3">
        <f t="shared" si="93"/>
        <v>73</v>
      </c>
      <c r="L899" s="7" t="str">
        <f t="shared" si="90"/>
        <v>B+</v>
      </c>
      <c r="M899" s="7" t="str">
        <f t="shared" si="91"/>
        <v>Passed</v>
      </c>
      <c r="N899" s="10"/>
      <c r="O899" s="9"/>
      <c r="P899" s="10"/>
    </row>
    <row r="900" spans="1:22" ht="15.6" x14ac:dyDescent="0.3">
      <c r="A900" s="3">
        <f t="shared" si="89"/>
        <v>18</v>
      </c>
      <c r="B900" s="306" t="s">
        <v>445</v>
      </c>
      <c r="C900" s="308" t="s">
        <v>379</v>
      </c>
      <c r="D900" s="5" t="s">
        <v>754</v>
      </c>
      <c r="E900" s="5">
        <v>9</v>
      </c>
      <c r="F900" s="5">
        <v>22</v>
      </c>
      <c r="G900" s="3">
        <f t="shared" si="92"/>
        <v>31</v>
      </c>
      <c r="H900" s="3"/>
      <c r="I900" s="3"/>
      <c r="J900" s="5">
        <v>38</v>
      </c>
      <c r="K900" s="3">
        <f t="shared" si="93"/>
        <v>69</v>
      </c>
      <c r="L900" s="7" t="str">
        <f t="shared" si="90"/>
        <v>B</v>
      </c>
      <c r="M900" s="7" t="str">
        <f t="shared" si="91"/>
        <v>Passed</v>
      </c>
      <c r="N900" s="10"/>
      <c r="O900" s="9"/>
      <c r="P900" s="10"/>
    </row>
    <row r="901" spans="1:22" ht="15.6" x14ac:dyDescent="0.3">
      <c r="A901" s="3">
        <f t="shared" si="89"/>
        <v>19</v>
      </c>
      <c r="B901" s="306" t="s">
        <v>446</v>
      </c>
      <c r="C901" s="310" t="s">
        <v>602</v>
      </c>
      <c r="D901" s="5" t="s">
        <v>746</v>
      </c>
      <c r="E901" s="5">
        <v>10</v>
      </c>
      <c r="F901" s="5">
        <v>21</v>
      </c>
      <c r="G901" s="3">
        <f t="shared" si="92"/>
        <v>31</v>
      </c>
      <c r="H901" s="3"/>
      <c r="I901" s="3"/>
      <c r="J901" s="5">
        <v>38</v>
      </c>
      <c r="K901" s="3">
        <f t="shared" si="93"/>
        <v>69</v>
      </c>
      <c r="L901" s="7" t="str">
        <f t="shared" si="90"/>
        <v>B</v>
      </c>
      <c r="M901" s="7" t="str">
        <f t="shared" si="91"/>
        <v>Passed</v>
      </c>
      <c r="N901" s="10"/>
      <c r="O901" s="9"/>
      <c r="P901" s="10"/>
    </row>
    <row r="902" spans="1:22" ht="15.6" x14ac:dyDescent="0.3">
      <c r="A902" s="3">
        <f t="shared" si="89"/>
        <v>20</v>
      </c>
      <c r="B902" s="306" t="s">
        <v>448</v>
      </c>
      <c r="C902" s="308" t="s">
        <v>380</v>
      </c>
      <c r="D902" s="5" t="s">
        <v>742</v>
      </c>
      <c r="E902" s="5">
        <v>10</v>
      </c>
      <c r="F902" s="5">
        <v>17</v>
      </c>
      <c r="G902" s="3">
        <f t="shared" si="92"/>
        <v>27</v>
      </c>
      <c r="H902" s="3"/>
      <c r="I902" s="3"/>
      <c r="J902" s="5">
        <v>28</v>
      </c>
      <c r="K902" s="3">
        <f t="shared" si="93"/>
        <v>55</v>
      </c>
      <c r="L902" s="7" t="str">
        <f t="shared" si="90"/>
        <v>C+</v>
      </c>
      <c r="M902" s="7" t="str">
        <f t="shared" si="91"/>
        <v>Passed</v>
      </c>
      <c r="N902" s="10"/>
      <c r="O902" s="9"/>
      <c r="P902" s="10"/>
    </row>
    <row r="903" spans="1:22" ht="15.6" x14ac:dyDescent="0.3">
      <c r="A903" s="3">
        <f t="shared" si="89"/>
        <v>21</v>
      </c>
      <c r="B903" s="306" t="s">
        <v>447</v>
      </c>
      <c r="C903" s="310" t="s">
        <v>381</v>
      </c>
      <c r="D903" s="5" t="s">
        <v>761</v>
      </c>
      <c r="E903" s="5">
        <v>10</v>
      </c>
      <c r="F903" s="5">
        <v>21</v>
      </c>
      <c r="G903" s="3">
        <f t="shared" si="92"/>
        <v>31</v>
      </c>
      <c r="H903" s="3"/>
      <c r="I903" s="3"/>
      <c r="J903" s="5">
        <v>33</v>
      </c>
      <c r="K903" s="3">
        <f t="shared" si="93"/>
        <v>64</v>
      </c>
      <c r="L903" s="7" t="str">
        <f t="shared" si="90"/>
        <v>B</v>
      </c>
      <c r="M903" s="7" t="str">
        <f t="shared" si="91"/>
        <v>Passed</v>
      </c>
      <c r="N903" s="10"/>
      <c r="O903" s="9"/>
      <c r="P903" s="10"/>
    </row>
    <row r="904" spans="1:22" ht="15.6" x14ac:dyDescent="0.3">
      <c r="A904" s="3">
        <f t="shared" si="89"/>
        <v>22</v>
      </c>
      <c r="B904" s="313" t="s">
        <v>570</v>
      </c>
      <c r="C904" s="309" t="s">
        <v>382</v>
      </c>
      <c r="D904" s="5" t="s">
        <v>743</v>
      </c>
      <c r="E904" s="5">
        <v>10</v>
      </c>
      <c r="F904" s="5">
        <v>12</v>
      </c>
      <c r="G904" s="3">
        <f t="shared" si="92"/>
        <v>22</v>
      </c>
      <c r="H904" s="3"/>
      <c r="I904" s="3"/>
      <c r="J904" s="5">
        <v>39</v>
      </c>
      <c r="K904" s="3">
        <f t="shared" si="93"/>
        <v>61</v>
      </c>
      <c r="L904" s="7" t="str">
        <f t="shared" si="90"/>
        <v>B</v>
      </c>
      <c r="M904" s="7" t="str">
        <f t="shared" si="91"/>
        <v>Passed</v>
      </c>
      <c r="N904" s="10"/>
      <c r="O904" s="9"/>
      <c r="P904" s="10"/>
    </row>
    <row r="905" spans="1:22" ht="15.6" x14ac:dyDescent="0.3">
      <c r="A905" s="3">
        <f t="shared" si="89"/>
        <v>23</v>
      </c>
      <c r="B905" s="306" t="s">
        <v>449</v>
      </c>
      <c r="C905" s="309" t="s">
        <v>383</v>
      </c>
      <c r="D905" s="5" t="s">
        <v>730</v>
      </c>
      <c r="E905" s="5">
        <v>9</v>
      </c>
      <c r="F905" s="5">
        <v>22</v>
      </c>
      <c r="G905" s="3">
        <f t="shared" si="92"/>
        <v>31</v>
      </c>
      <c r="H905" s="3"/>
      <c r="I905" s="3"/>
      <c r="J905" s="5">
        <v>38</v>
      </c>
      <c r="K905" s="3">
        <f t="shared" si="93"/>
        <v>69</v>
      </c>
      <c r="L905" s="7" t="str">
        <f t="shared" si="90"/>
        <v>B</v>
      </c>
      <c r="M905" s="7" t="str">
        <f t="shared" si="91"/>
        <v>Passed</v>
      </c>
      <c r="N905" s="10"/>
      <c r="O905" s="9"/>
      <c r="P905" s="10"/>
    </row>
    <row r="906" spans="1:22" ht="15.6" x14ac:dyDescent="0.3">
      <c r="A906" s="3">
        <f t="shared" si="89"/>
        <v>24</v>
      </c>
      <c r="B906" s="306" t="s">
        <v>450</v>
      </c>
      <c r="C906" s="309" t="s">
        <v>384</v>
      </c>
      <c r="D906" s="5" t="s">
        <v>755</v>
      </c>
      <c r="E906" s="5">
        <v>10</v>
      </c>
      <c r="F906" s="5">
        <v>20</v>
      </c>
      <c r="G906" s="3">
        <f t="shared" si="92"/>
        <v>30</v>
      </c>
      <c r="H906" s="3"/>
      <c r="I906" s="3"/>
      <c r="J906" s="5">
        <v>37</v>
      </c>
      <c r="K906" s="3">
        <f t="shared" si="93"/>
        <v>67</v>
      </c>
      <c r="L906" s="7" t="str">
        <f t="shared" si="90"/>
        <v>B</v>
      </c>
      <c r="M906" s="7" t="str">
        <f t="shared" si="91"/>
        <v>Passed</v>
      </c>
      <c r="N906" s="10"/>
      <c r="O906" s="9"/>
      <c r="P906" s="10"/>
    </row>
    <row r="907" spans="1:22" ht="15.6" x14ac:dyDescent="0.3">
      <c r="A907" s="3">
        <f t="shared" si="89"/>
        <v>25</v>
      </c>
      <c r="B907" s="306" t="s">
        <v>451</v>
      </c>
      <c r="C907" s="310" t="s">
        <v>385</v>
      </c>
      <c r="D907" s="5" t="s">
        <v>767</v>
      </c>
      <c r="E907" s="5">
        <v>10</v>
      </c>
      <c r="F907" s="5">
        <v>11</v>
      </c>
      <c r="G907" s="3">
        <f t="shared" si="92"/>
        <v>21</v>
      </c>
      <c r="H907" s="3"/>
      <c r="I907" s="3"/>
      <c r="J907" s="5">
        <v>38</v>
      </c>
      <c r="K907" s="3">
        <f t="shared" si="93"/>
        <v>59</v>
      </c>
      <c r="L907" s="7" t="str">
        <f t="shared" si="90"/>
        <v>C+</v>
      </c>
      <c r="M907" s="7" t="str">
        <f t="shared" si="91"/>
        <v>Passed</v>
      </c>
      <c r="N907" s="10"/>
      <c r="O907" s="9"/>
      <c r="P907" s="10"/>
    </row>
    <row r="908" spans="1:22" ht="15.6" x14ac:dyDescent="0.3">
      <c r="A908" s="3">
        <f t="shared" si="89"/>
        <v>26</v>
      </c>
      <c r="B908" s="306" t="s">
        <v>452</v>
      </c>
      <c r="C908" s="310" t="s">
        <v>386</v>
      </c>
      <c r="D908" s="5" t="s">
        <v>762</v>
      </c>
      <c r="E908" s="5">
        <v>9</v>
      </c>
      <c r="F908" s="5">
        <v>11</v>
      </c>
      <c r="G908" s="3">
        <f t="shared" si="92"/>
        <v>20</v>
      </c>
      <c r="H908" s="3"/>
      <c r="I908" s="3"/>
      <c r="J908" s="5">
        <v>38</v>
      </c>
      <c r="K908" s="3">
        <f t="shared" si="93"/>
        <v>58</v>
      </c>
      <c r="L908" s="7" t="str">
        <f t="shared" si="90"/>
        <v>C+</v>
      </c>
      <c r="M908" s="7" t="str">
        <f t="shared" si="91"/>
        <v>Passed</v>
      </c>
      <c r="N908" s="10"/>
      <c r="O908" s="9"/>
      <c r="P908" s="10"/>
    </row>
    <row r="909" spans="1:22" ht="15.6" x14ac:dyDescent="0.3">
      <c r="A909" s="3">
        <f t="shared" si="89"/>
        <v>27</v>
      </c>
      <c r="B909" s="306" t="s">
        <v>453</v>
      </c>
      <c r="C909" s="309" t="s">
        <v>387</v>
      </c>
      <c r="D909" s="5" t="s">
        <v>735</v>
      </c>
      <c r="E909" s="5">
        <v>10</v>
      </c>
      <c r="F909" s="65">
        <v>19.5</v>
      </c>
      <c r="G909" s="3">
        <f t="shared" si="92"/>
        <v>29.5</v>
      </c>
      <c r="H909" s="3"/>
      <c r="I909" s="3"/>
      <c r="J909" s="5">
        <v>41</v>
      </c>
      <c r="K909" s="6">
        <f t="shared" si="93"/>
        <v>70.5</v>
      </c>
      <c r="L909" s="7" t="str">
        <f t="shared" si="90"/>
        <v>B+</v>
      </c>
      <c r="M909" s="7" t="str">
        <f t="shared" si="91"/>
        <v>Passed</v>
      </c>
      <c r="N909" s="10"/>
      <c r="O909" s="9"/>
      <c r="P909" s="10"/>
    </row>
    <row r="910" spans="1:22" ht="15.6" x14ac:dyDescent="0.3">
      <c r="A910" s="3">
        <f t="shared" si="89"/>
        <v>28</v>
      </c>
      <c r="B910" s="388">
        <v>400123</v>
      </c>
      <c r="C910" s="310" t="s">
        <v>388</v>
      </c>
      <c r="D910" s="5" t="s">
        <v>747</v>
      </c>
      <c r="E910" s="5">
        <v>8</v>
      </c>
      <c r="F910" s="5">
        <v>18</v>
      </c>
      <c r="G910" s="3">
        <f t="shared" si="92"/>
        <v>26</v>
      </c>
      <c r="H910" s="3"/>
      <c r="I910" s="3"/>
      <c r="J910" s="5">
        <v>37</v>
      </c>
      <c r="K910" s="3">
        <f t="shared" si="93"/>
        <v>63</v>
      </c>
      <c r="L910" s="7" t="str">
        <f t="shared" si="90"/>
        <v>B</v>
      </c>
      <c r="M910" s="7" t="str">
        <f t="shared" si="91"/>
        <v>Passed</v>
      </c>
      <c r="N910" s="10"/>
      <c r="O910" s="9"/>
      <c r="P910" s="10"/>
    </row>
    <row r="911" spans="1:22" ht="15.6" x14ac:dyDescent="0.3">
      <c r="A911" s="3">
        <f t="shared" si="89"/>
        <v>29</v>
      </c>
      <c r="B911" s="306" t="s">
        <v>454</v>
      </c>
      <c r="C911" s="309" t="s">
        <v>771</v>
      </c>
      <c r="D911" s="5" t="s">
        <v>772</v>
      </c>
      <c r="E911" s="5">
        <v>10</v>
      </c>
      <c r="F911" s="5">
        <v>20</v>
      </c>
      <c r="G911" s="3">
        <f t="shared" si="92"/>
        <v>30</v>
      </c>
      <c r="H911" s="3"/>
      <c r="I911" s="3"/>
      <c r="J911" s="5">
        <v>43</v>
      </c>
      <c r="K911" s="3">
        <f t="shared" si="93"/>
        <v>73</v>
      </c>
      <c r="L911" s="7" t="str">
        <f t="shared" ref="L911" si="96">IF(K911&gt;=80,"A",IF(K911&gt;=70,"B+",IF(K911&gt;=60,"B",IF(K911&gt;=55,"C+",IF(K911&gt;=50,"C",IF(K911&gt;=45,"D+",IF(K911&gt;=40,"D","F")))))))</f>
        <v>B+</v>
      </c>
      <c r="M911" s="7" t="str">
        <f t="shared" ref="M911" si="97">IF(K911&gt;=50,"Passed","Failed")</f>
        <v>Passed</v>
      </c>
      <c r="N911" s="10"/>
      <c r="O911" s="9"/>
      <c r="P911" s="10"/>
    </row>
    <row r="912" spans="1:22" ht="15.6" x14ac:dyDescent="0.3">
      <c r="A912" s="3">
        <f t="shared" si="89"/>
        <v>30</v>
      </c>
      <c r="B912" s="306" t="s">
        <v>455</v>
      </c>
      <c r="C912" s="307" t="s">
        <v>389</v>
      </c>
      <c r="D912" s="5" t="s">
        <v>749</v>
      </c>
      <c r="E912" s="5">
        <v>10</v>
      </c>
      <c r="F912" s="5">
        <v>19</v>
      </c>
      <c r="G912" s="3">
        <f t="shared" si="92"/>
        <v>29</v>
      </c>
      <c r="H912" s="3"/>
      <c r="I912" s="3"/>
      <c r="J912" s="5">
        <v>32</v>
      </c>
      <c r="K912" s="3">
        <f t="shared" si="93"/>
        <v>61</v>
      </c>
      <c r="L912" s="7" t="str">
        <f t="shared" si="90"/>
        <v>B</v>
      </c>
      <c r="M912" s="7" t="str">
        <f t="shared" si="91"/>
        <v>Passed</v>
      </c>
      <c r="N912" s="10"/>
      <c r="O912" s="9"/>
      <c r="P912" s="10"/>
    </row>
    <row r="913" spans="1:16" ht="15.6" x14ac:dyDescent="0.3">
      <c r="A913" s="3">
        <f t="shared" si="89"/>
        <v>31</v>
      </c>
      <c r="B913" s="306" t="s">
        <v>456</v>
      </c>
      <c r="C913" s="310" t="s">
        <v>535</v>
      </c>
      <c r="D913" s="5" t="s">
        <v>736</v>
      </c>
      <c r="E913" s="5">
        <v>10</v>
      </c>
      <c r="F913" s="5">
        <v>9</v>
      </c>
      <c r="G913" s="3">
        <f t="shared" si="92"/>
        <v>19</v>
      </c>
      <c r="H913" s="3"/>
      <c r="I913" s="3"/>
      <c r="J913" s="5">
        <v>34</v>
      </c>
      <c r="K913" s="3">
        <f t="shared" si="93"/>
        <v>53</v>
      </c>
      <c r="L913" s="7" t="str">
        <f t="shared" si="90"/>
        <v>C</v>
      </c>
      <c r="M913" s="7" t="str">
        <f t="shared" si="91"/>
        <v>Passed</v>
      </c>
      <c r="N913" s="10"/>
      <c r="O913" s="9"/>
      <c r="P913" s="10"/>
    </row>
    <row r="914" spans="1:16" ht="15.6" x14ac:dyDescent="0.3">
      <c r="A914" s="3">
        <f t="shared" si="89"/>
        <v>32</v>
      </c>
      <c r="B914" s="306" t="s">
        <v>457</v>
      </c>
      <c r="C914" s="307" t="s">
        <v>390</v>
      </c>
      <c r="D914" s="5" t="s">
        <v>774</v>
      </c>
      <c r="E914" s="5">
        <v>10</v>
      </c>
      <c r="F914" s="5">
        <v>20</v>
      </c>
      <c r="G914" s="3">
        <f t="shared" si="92"/>
        <v>30</v>
      </c>
      <c r="H914" s="3"/>
      <c r="I914" s="3"/>
      <c r="J914" s="5">
        <v>44</v>
      </c>
      <c r="K914" s="3">
        <f t="shared" si="93"/>
        <v>74</v>
      </c>
      <c r="L914" s="7" t="str">
        <f t="shared" si="90"/>
        <v>B+</v>
      </c>
      <c r="M914" s="7" t="str">
        <f t="shared" si="91"/>
        <v>Passed</v>
      </c>
      <c r="N914" s="10"/>
      <c r="O914" s="9"/>
      <c r="P914" s="10"/>
    </row>
    <row r="915" spans="1:16" ht="15.6" x14ac:dyDescent="0.3">
      <c r="A915" s="3">
        <f t="shared" ref="A915:A936" si="98">ROW(A33)</f>
        <v>33</v>
      </c>
      <c r="B915" s="306" t="s">
        <v>458</v>
      </c>
      <c r="C915" s="307" t="s">
        <v>391</v>
      </c>
      <c r="D915" s="5" t="s">
        <v>738</v>
      </c>
      <c r="E915" s="5">
        <v>8</v>
      </c>
      <c r="F915" s="5">
        <v>8</v>
      </c>
      <c r="G915" s="3">
        <f t="shared" si="92"/>
        <v>16</v>
      </c>
      <c r="H915" s="3"/>
      <c r="I915" s="3"/>
      <c r="J915" s="5">
        <v>39</v>
      </c>
      <c r="K915" s="3">
        <f t="shared" si="93"/>
        <v>55</v>
      </c>
      <c r="L915" s="7" t="str">
        <f t="shared" si="90"/>
        <v>C+</v>
      </c>
      <c r="M915" s="7" t="str">
        <f t="shared" si="91"/>
        <v>Passed</v>
      </c>
      <c r="N915" s="10"/>
      <c r="O915" s="9"/>
      <c r="P915" s="10"/>
    </row>
    <row r="916" spans="1:16" ht="15.6" x14ac:dyDescent="0.3">
      <c r="A916" s="3">
        <f t="shared" si="98"/>
        <v>34</v>
      </c>
      <c r="B916" s="306" t="s">
        <v>459</v>
      </c>
      <c r="C916" s="309" t="s">
        <v>557</v>
      </c>
      <c r="D916" s="5" t="s">
        <v>781</v>
      </c>
      <c r="E916" s="5">
        <v>8</v>
      </c>
      <c r="F916" s="5">
        <v>10</v>
      </c>
      <c r="G916" s="3">
        <f t="shared" si="92"/>
        <v>18</v>
      </c>
      <c r="H916" s="3"/>
      <c r="I916" s="3"/>
      <c r="J916" s="5">
        <v>35</v>
      </c>
      <c r="K916" s="3">
        <f t="shared" si="93"/>
        <v>53</v>
      </c>
      <c r="L916" s="7" t="str">
        <f t="shared" si="90"/>
        <v>C</v>
      </c>
      <c r="M916" s="7" t="str">
        <f t="shared" si="91"/>
        <v>Passed</v>
      </c>
      <c r="N916" s="10"/>
      <c r="O916" s="9"/>
      <c r="P916" s="10"/>
    </row>
    <row r="917" spans="1:16" ht="15.6" x14ac:dyDescent="0.3">
      <c r="A917" s="3">
        <f t="shared" si="98"/>
        <v>35</v>
      </c>
      <c r="B917" s="306" t="s">
        <v>460</v>
      </c>
      <c r="C917" s="309" t="s">
        <v>392</v>
      </c>
      <c r="D917" s="5" t="s">
        <v>758</v>
      </c>
      <c r="E917" s="5">
        <v>10</v>
      </c>
      <c r="F917" s="5">
        <v>21</v>
      </c>
      <c r="G917" s="3">
        <f t="shared" si="92"/>
        <v>31</v>
      </c>
      <c r="H917" s="3"/>
      <c r="I917" s="3"/>
      <c r="J917" s="5">
        <v>33</v>
      </c>
      <c r="K917" s="3">
        <f t="shared" si="93"/>
        <v>64</v>
      </c>
      <c r="L917" s="7" t="str">
        <f t="shared" si="90"/>
        <v>B</v>
      </c>
      <c r="M917" s="7" t="str">
        <f t="shared" si="91"/>
        <v>Passed</v>
      </c>
      <c r="N917" s="10"/>
      <c r="O917" s="9"/>
      <c r="P917" s="10"/>
    </row>
    <row r="918" spans="1:16" ht="15.6" x14ac:dyDescent="0.3">
      <c r="A918" s="3">
        <f t="shared" si="98"/>
        <v>36</v>
      </c>
      <c r="B918" s="306" t="s">
        <v>461</v>
      </c>
      <c r="C918" s="309" t="s">
        <v>393</v>
      </c>
      <c r="D918" s="5" t="s">
        <v>782</v>
      </c>
      <c r="E918" s="5">
        <v>8</v>
      </c>
      <c r="F918" s="5">
        <v>13</v>
      </c>
      <c r="G918" s="3">
        <f t="shared" si="92"/>
        <v>21</v>
      </c>
      <c r="H918" s="3"/>
      <c r="I918" s="3"/>
      <c r="J918" s="5">
        <v>32</v>
      </c>
      <c r="K918" s="3">
        <f t="shared" si="93"/>
        <v>53</v>
      </c>
      <c r="L918" s="7" t="str">
        <f t="shared" si="90"/>
        <v>C</v>
      </c>
      <c r="M918" s="7" t="str">
        <f t="shared" si="91"/>
        <v>Passed</v>
      </c>
      <c r="N918" s="10"/>
      <c r="O918" s="9"/>
      <c r="P918" s="10"/>
    </row>
    <row r="919" spans="1:16" ht="15.6" x14ac:dyDescent="0.3">
      <c r="A919" s="3">
        <f t="shared" si="98"/>
        <v>37</v>
      </c>
      <c r="B919" s="306" t="s">
        <v>462</v>
      </c>
      <c r="C919" s="309" t="s">
        <v>394</v>
      </c>
      <c r="D919" s="5" t="s">
        <v>739</v>
      </c>
      <c r="E919" s="5">
        <v>10</v>
      </c>
      <c r="F919" s="5">
        <v>17</v>
      </c>
      <c r="G919" s="3">
        <f t="shared" si="92"/>
        <v>27</v>
      </c>
      <c r="H919" s="3"/>
      <c r="I919" s="3"/>
      <c r="J919" s="5">
        <v>43</v>
      </c>
      <c r="K919" s="3">
        <f t="shared" si="93"/>
        <v>70</v>
      </c>
      <c r="L919" s="7" t="str">
        <f t="shared" si="90"/>
        <v>B+</v>
      </c>
      <c r="M919" s="7" t="str">
        <f t="shared" si="91"/>
        <v>Passed</v>
      </c>
      <c r="N919" s="10"/>
      <c r="O919" s="9"/>
      <c r="P919" s="10"/>
    </row>
    <row r="920" spans="1:16" ht="15.6" x14ac:dyDescent="0.3">
      <c r="A920" s="3">
        <f t="shared" si="98"/>
        <v>38</v>
      </c>
      <c r="B920" s="306" t="s">
        <v>463</v>
      </c>
      <c r="C920" s="309" t="s">
        <v>395</v>
      </c>
      <c r="D920" s="5" t="s">
        <v>770</v>
      </c>
      <c r="E920" s="5">
        <v>8</v>
      </c>
      <c r="F920" s="5">
        <v>8</v>
      </c>
      <c r="G920" s="3">
        <f t="shared" si="92"/>
        <v>16</v>
      </c>
      <c r="H920" s="3"/>
      <c r="I920" s="3"/>
      <c r="J920" s="5">
        <v>37</v>
      </c>
      <c r="K920" s="3">
        <f t="shared" si="93"/>
        <v>53</v>
      </c>
      <c r="L920" s="7" t="str">
        <f t="shared" si="90"/>
        <v>C</v>
      </c>
      <c r="M920" s="7" t="str">
        <f t="shared" si="91"/>
        <v>Passed</v>
      </c>
      <c r="N920" s="10"/>
      <c r="O920" s="9"/>
      <c r="P920" s="10"/>
    </row>
    <row r="921" spans="1:16" ht="15.6" x14ac:dyDescent="0.3">
      <c r="A921" s="3">
        <f t="shared" si="98"/>
        <v>39</v>
      </c>
      <c r="B921" s="306" t="s">
        <v>464</v>
      </c>
      <c r="C921" s="309" t="s">
        <v>396</v>
      </c>
      <c r="D921" s="5" t="s">
        <v>765</v>
      </c>
      <c r="E921" s="5">
        <v>10</v>
      </c>
      <c r="F921" s="5">
        <v>19</v>
      </c>
      <c r="G921" s="3">
        <f t="shared" si="92"/>
        <v>29</v>
      </c>
      <c r="H921" s="3"/>
      <c r="I921" s="3"/>
      <c r="J921" s="5">
        <v>43</v>
      </c>
      <c r="K921" s="3">
        <f t="shared" si="93"/>
        <v>72</v>
      </c>
      <c r="L921" s="7" t="str">
        <f t="shared" ref="L921:L922" si="99">IF(K921&gt;=80,"A",IF(K921&gt;=70,"B+",IF(K921&gt;=60,"B",IF(K921&gt;=55,"C+",IF(K921&gt;=50,"C",IF(K921&gt;=45,"D+",IF(K921&gt;=40,"D","F")))))))</f>
        <v>B+</v>
      </c>
      <c r="M921" s="7" t="str">
        <f t="shared" ref="M921:M922" si="100">IF(K921&gt;=50,"Passed","Failed")</f>
        <v>Passed</v>
      </c>
      <c r="N921" s="10"/>
      <c r="O921" s="9"/>
      <c r="P921" s="10"/>
    </row>
    <row r="922" spans="1:16" ht="15.6" x14ac:dyDescent="0.3">
      <c r="A922" s="3">
        <f t="shared" si="98"/>
        <v>40</v>
      </c>
      <c r="B922" s="306" t="s">
        <v>465</v>
      </c>
      <c r="C922" s="309" t="s">
        <v>397</v>
      </c>
      <c r="D922" s="5" t="s">
        <v>744</v>
      </c>
      <c r="E922" s="5">
        <v>9</v>
      </c>
      <c r="F922" s="5">
        <v>19</v>
      </c>
      <c r="G922" s="3">
        <f t="shared" si="92"/>
        <v>28</v>
      </c>
      <c r="H922" s="3"/>
      <c r="I922" s="3"/>
      <c r="J922" s="5">
        <v>41</v>
      </c>
      <c r="K922" s="3">
        <f t="shared" si="93"/>
        <v>69</v>
      </c>
      <c r="L922" s="7" t="str">
        <f t="shared" si="99"/>
        <v>B</v>
      </c>
      <c r="M922" s="7" t="str">
        <f t="shared" si="100"/>
        <v>Passed</v>
      </c>
      <c r="N922" s="10"/>
      <c r="O922" s="9"/>
      <c r="P922" s="10"/>
    </row>
    <row r="923" spans="1:16" ht="15.6" x14ac:dyDescent="0.3">
      <c r="A923" s="3">
        <f t="shared" si="98"/>
        <v>41</v>
      </c>
      <c r="B923" s="306" t="s">
        <v>466</v>
      </c>
      <c r="C923" s="307" t="s">
        <v>398</v>
      </c>
      <c r="D923" s="5" t="s">
        <v>734</v>
      </c>
      <c r="E923" s="5">
        <v>10</v>
      </c>
      <c r="F923" s="5">
        <v>7</v>
      </c>
      <c r="G923" s="3">
        <f t="shared" si="92"/>
        <v>17</v>
      </c>
      <c r="H923" s="3"/>
      <c r="I923" s="3"/>
      <c r="J923" s="5">
        <v>36</v>
      </c>
      <c r="K923" s="3">
        <f t="shared" si="93"/>
        <v>53</v>
      </c>
      <c r="L923" s="7" t="str">
        <f t="shared" si="90"/>
        <v>C</v>
      </c>
      <c r="M923" s="7" t="str">
        <f t="shared" si="91"/>
        <v>Passed</v>
      </c>
      <c r="N923" s="10"/>
      <c r="O923" s="9"/>
      <c r="P923" s="10"/>
    </row>
    <row r="924" spans="1:16" ht="15.6" x14ac:dyDescent="0.3">
      <c r="A924" s="3">
        <f t="shared" si="98"/>
        <v>42</v>
      </c>
      <c r="B924" s="306" t="s">
        <v>467</v>
      </c>
      <c r="C924" s="307" t="s">
        <v>399</v>
      </c>
      <c r="D924" s="5" t="s">
        <v>729</v>
      </c>
      <c r="E924" s="5">
        <v>10</v>
      </c>
      <c r="F924" s="5">
        <v>20</v>
      </c>
      <c r="G924" s="3">
        <f t="shared" si="92"/>
        <v>30</v>
      </c>
      <c r="H924" s="3"/>
      <c r="I924" s="3"/>
      <c r="J924" s="5">
        <v>40</v>
      </c>
      <c r="K924" s="3">
        <f t="shared" si="93"/>
        <v>70</v>
      </c>
      <c r="L924" s="7" t="str">
        <f t="shared" si="90"/>
        <v>B+</v>
      </c>
      <c r="M924" s="7" t="str">
        <f t="shared" si="91"/>
        <v>Passed</v>
      </c>
      <c r="N924" s="10"/>
      <c r="O924" s="9"/>
      <c r="P924" s="10"/>
    </row>
    <row r="925" spans="1:16" ht="15.6" x14ac:dyDescent="0.3">
      <c r="A925" s="3">
        <f t="shared" si="98"/>
        <v>43</v>
      </c>
      <c r="B925" s="306" t="s">
        <v>468</v>
      </c>
      <c r="C925" s="383" t="s">
        <v>552</v>
      </c>
      <c r="D925" s="5" t="s">
        <v>778</v>
      </c>
      <c r="E925" s="5">
        <v>10</v>
      </c>
      <c r="F925" s="5">
        <v>10</v>
      </c>
      <c r="G925" s="3">
        <f t="shared" si="92"/>
        <v>20</v>
      </c>
      <c r="H925" s="3"/>
      <c r="I925" s="3"/>
      <c r="J925" s="5">
        <v>42</v>
      </c>
      <c r="K925" s="3">
        <f t="shared" si="93"/>
        <v>62</v>
      </c>
      <c r="L925" s="7" t="str">
        <f t="shared" si="90"/>
        <v>B</v>
      </c>
      <c r="M925" s="7" t="str">
        <f t="shared" si="91"/>
        <v>Passed</v>
      </c>
      <c r="N925" s="10"/>
      <c r="O925" s="9"/>
      <c r="P925" s="10"/>
    </row>
    <row r="926" spans="1:16" ht="15.6" x14ac:dyDescent="0.3">
      <c r="A926" s="3">
        <f t="shared" si="98"/>
        <v>44</v>
      </c>
      <c r="B926" s="306" t="s">
        <v>469</v>
      </c>
      <c r="C926" s="308" t="s">
        <v>400</v>
      </c>
      <c r="D926" s="5" t="s">
        <v>780</v>
      </c>
      <c r="E926" s="5">
        <v>9</v>
      </c>
      <c r="F926" s="5">
        <v>20</v>
      </c>
      <c r="G926" s="3">
        <f t="shared" si="92"/>
        <v>29</v>
      </c>
      <c r="H926" s="3"/>
      <c r="I926" s="3"/>
      <c r="J926" s="5">
        <v>41</v>
      </c>
      <c r="K926" s="3">
        <f t="shared" si="93"/>
        <v>70</v>
      </c>
      <c r="L926" s="7" t="str">
        <f t="shared" si="90"/>
        <v>B+</v>
      </c>
      <c r="M926" s="7" t="str">
        <f t="shared" si="91"/>
        <v>Passed</v>
      </c>
      <c r="N926" s="10"/>
      <c r="O926" s="9"/>
      <c r="P926" s="10"/>
    </row>
    <row r="927" spans="1:16" ht="15.6" x14ac:dyDescent="0.3">
      <c r="A927" s="3">
        <f t="shared" si="98"/>
        <v>45</v>
      </c>
      <c r="B927" s="306" t="s">
        <v>470</v>
      </c>
      <c r="C927" s="307" t="s">
        <v>401</v>
      </c>
      <c r="D927" s="5" t="s">
        <v>783</v>
      </c>
      <c r="E927" s="5">
        <v>8</v>
      </c>
      <c r="F927" s="5">
        <v>19</v>
      </c>
      <c r="G927" s="3">
        <f t="shared" si="92"/>
        <v>27</v>
      </c>
      <c r="H927" s="3"/>
      <c r="I927" s="3"/>
      <c r="J927" s="5">
        <v>35</v>
      </c>
      <c r="K927" s="3">
        <f t="shared" si="93"/>
        <v>62</v>
      </c>
      <c r="L927" s="7" t="str">
        <f t="shared" si="90"/>
        <v>B</v>
      </c>
      <c r="M927" s="7" t="str">
        <f t="shared" si="91"/>
        <v>Passed</v>
      </c>
      <c r="N927" s="10"/>
      <c r="O927" s="9"/>
      <c r="P927" s="10"/>
    </row>
    <row r="928" spans="1:16" ht="15.6" x14ac:dyDescent="0.3">
      <c r="A928" s="3">
        <f t="shared" si="98"/>
        <v>46</v>
      </c>
      <c r="B928" s="306" t="s">
        <v>471</v>
      </c>
      <c r="C928" s="307" t="s">
        <v>402</v>
      </c>
      <c r="D928" s="5" t="s">
        <v>756</v>
      </c>
      <c r="E928" s="5">
        <v>9</v>
      </c>
      <c r="F928" s="5">
        <v>12</v>
      </c>
      <c r="G928" s="3">
        <f t="shared" si="92"/>
        <v>21</v>
      </c>
      <c r="H928" s="3"/>
      <c r="I928" s="3"/>
      <c r="J928" s="5">
        <v>42</v>
      </c>
      <c r="K928" s="3">
        <f t="shared" si="93"/>
        <v>63</v>
      </c>
      <c r="L928" s="7" t="str">
        <f t="shared" si="90"/>
        <v>B</v>
      </c>
      <c r="M928" s="7" t="str">
        <f t="shared" si="91"/>
        <v>Passed</v>
      </c>
      <c r="N928" s="10"/>
      <c r="O928" s="9"/>
      <c r="P928" s="10"/>
    </row>
    <row r="929" spans="1:16" ht="15.6" x14ac:dyDescent="0.3">
      <c r="A929" s="3">
        <f t="shared" si="98"/>
        <v>47</v>
      </c>
      <c r="B929" s="306" t="s">
        <v>472</v>
      </c>
      <c r="C929" s="12" t="s">
        <v>403</v>
      </c>
      <c r="D929" s="5" t="s">
        <v>745</v>
      </c>
      <c r="E929" s="5">
        <v>10</v>
      </c>
      <c r="F929" s="5">
        <v>18</v>
      </c>
      <c r="G929" s="3">
        <f t="shared" si="92"/>
        <v>28</v>
      </c>
      <c r="H929" s="3"/>
      <c r="I929" s="3"/>
      <c r="J929" s="5">
        <v>45</v>
      </c>
      <c r="K929" s="3">
        <f t="shared" si="93"/>
        <v>73</v>
      </c>
      <c r="L929" s="7" t="str">
        <f t="shared" ref="L929:L930" si="101">IF(K929&gt;=80,"A",IF(K929&gt;=70,"B+",IF(K929&gt;=60,"B",IF(K929&gt;=55,"C+",IF(K929&gt;=50,"C",IF(K929&gt;=45,"D+",IF(K929&gt;=40,"D","F")))))))</f>
        <v>B+</v>
      </c>
      <c r="M929" s="7" t="str">
        <f t="shared" ref="M929:M930" si="102">IF(K929&gt;=50,"Passed","Failed")</f>
        <v>Passed</v>
      </c>
      <c r="N929" s="10"/>
      <c r="O929" s="9"/>
      <c r="P929" s="10"/>
    </row>
    <row r="930" spans="1:16" ht="15.6" x14ac:dyDescent="0.3">
      <c r="A930" s="3">
        <f t="shared" si="98"/>
        <v>48</v>
      </c>
      <c r="B930" s="12" t="s">
        <v>473</v>
      </c>
      <c r="C930" s="307" t="s">
        <v>404</v>
      </c>
      <c r="D930" s="5" t="s">
        <v>763</v>
      </c>
      <c r="E930" s="5">
        <v>10</v>
      </c>
      <c r="F930" s="5">
        <v>19</v>
      </c>
      <c r="G930" s="3">
        <f t="shared" si="92"/>
        <v>29</v>
      </c>
      <c r="H930" s="3"/>
      <c r="I930" s="3"/>
      <c r="J930" s="5">
        <v>28</v>
      </c>
      <c r="K930" s="3">
        <f t="shared" si="93"/>
        <v>57</v>
      </c>
      <c r="L930" s="7" t="str">
        <f t="shared" si="101"/>
        <v>C+</v>
      </c>
      <c r="M930" s="7" t="str">
        <f t="shared" si="102"/>
        <v>Passed</v>
      </c>
      <c r="N930" s="10"/>
      <c r="O930" s="9"/>
      <c r="P930" s="10"/>
    </row>
    <row r="931" spans="1:16" ht="15.6" x14ac:dyDescent="0.3">
      <c r="A931" s="3">
        <f t="shared" si="98"/>
        <v>49</v>
      </c>
      <c r="B931" s="12" t="s">
        <v>474</v>
      </c>
      <c r="C931" s="307" t="s">
        <v>405</v>
      </c>
      <c r="D931" s="5" t="s">
        <v>759</v>
      </c>
      <c r="E931" s="5">
        <v>8</v>
      </c>
      <c r="F931" s="5">
        <v>7</v>
      </c>
      <c r="G931" s="3">
        <f t="shared" si="92"/>
        <v>15</v>
      </c>
      <c r="H931" s="3"/>
      <c r="I931" s="3"/>
      <c r="J931" s="5">
        <v>37</v>
      </c>
      <c r="K931" s="3">
        <f t="shared" si="93"/>
        <v>52</v>
      </c>
      <c r="L931" s="7" t="str">
        <f t="shared" si="90"/>
        <v>C</v>
      </c>
      <c r="M931" s="7" t="str">
        <f t="shared" si="91"/>
        <v>Passed</v>
      </c>
      <c r="N931" s="10"/>
      <c r="O931" s="9"/>
      <c r="P931" s="10"/>
    </row>
    <row r="932" spans="1:16" ht="15.6" x14ac:dyDescent="0.3">
      <c r="A932" s="3">
        <f t="shared" si="98"/>
        <v>50</v>
      </c>
      <c r="B932" s="12" t="s">
        <v>475</v>
      </c>
      <c r="C932" s="307" t="s">
        <v>406</v>
      </c>
      <c r="D932" s="5" t="s">
        <v>741</v>
      </c>
      <c r="E932" s="5">
        <v>10</v>
      </c>
      <c r="F932" s="5">
        <v>17</v>
      </c>
      <c r="G932" s="3">
        <f t="shared" si="92"/>
        <v>27</v>
      </c>
      <c r="H932" s="3"/>
      <c r="I932" s="3"/>
      <c r="J932" s="5">
        <v>43</v>
      </c>
      <c r="K932" s="3">
        <f t="shared" si="93"/>
        <v>70</v>
      </c>
      <c r="L932" s="7" t="str">
        <f t="shared" si="90"/>
        <v>B+</v>
      </c>
      <c r="M932" s="7" t="str">
        <f t="shared" si="91"/>
        <v>Passed</v>
      </c>
      <c r="N932" s="10"/>
      <c r="O932" s="9"/>
      <c r="P932" s="10"/>
    </row>
    <row r="933" spans="1:16" ht="15.6" x14ac:dyDescent="0.3">
      <c r="A933" s="3">
        <f t="shared" si="98"/>
        <v>51</v>
      </c>
      <c r="B933" s="12" t="s">
        <v>476</v>
      </c>
      <c r="C933" s="307" t="s">
        <v>407</v>
      </c>
      <c r="D933" s="5" t="s">
        <v>752</v>
      </c>
      <c r="E933" s="5">
        <v>10</v>
      </c>
      <c r="F933" s="5">
        <v>20</v>
      </c>
      <c r="G933" s="3">
        <f t="shared" si="92"/>
        <v>30</v>
      </c>
      <c r="H933" s="3"/>
      <c r="I933" s="3"/>
      <c r="J933" s="5">
        <v>35</v>
      </c>
      <c r="K933" s="3">
        <f t="shared" si="93"/>
        <v>65</v>
      </c>
      <c r="L933" s="7" t="str">
        <f t="shared" si="90"/>
        <v>B</v>
      </c>
      <c r="M933" s="7" t="str">
        <f t="shared" si="91"/>
        <v>Passed</v>
      </c>
      <c r="N933" s="10"/>
      <c r="O933" s="9"/>
      <c r="P933" s="10"/>
    </row>
    <row r="934" spans="1:16" ht="15.6" x14ac:dyDescent="0.3">
      <c r="A934" s="3">
        <f t="shared" si="98"/>
        <v>52</v>
      </c>
      <c r="B934" s="12" t="s">
        <v>477</v>
      </c>
      <c r="C934" s="307" t="s">
        <v>408</v>
      </c>
      <c r="D934" s="5" t="s">
        <v>748</v>
      </c>
      <c r="E934" s="5">
        <v>9</v>
      </c>
      <c r="F934" s="5">
        <v>22</v>
      </c>
      <c r="G934" s="3">
        <f t="shared" si="92"/>
        <v>31</v>
      </c>
      <c r="H934" s="3"/>
      <c r="I934" s="3"/>
      <c r="J934" s="5">
        <v>37</v>
      </c>
      <c r="K934" s="3">
        <f t="shared" si="93"/>
        <v>68</v>
      </c>
      <c r="L934" s="7" t="str">
        <f t="shared" si="90"/>
        <v>B</v>
      </c>
      <c r="M934" s="7" t="str">
        <f t="shared" si="91"/>
        <v>Passed</v>
      </c>
      <c r="N934" s="10"/>
      <c r="O934" s="9"/>
      <c r="P934" s="10"/>
    </row>
    <row r="935" spans="1:16" ht="15.6" x14ac:dyDescent="0.3">
      <c r="A935" s="3">
        <f t="shared" si="98"/>
        <v>53</v>
      </c>
      <c r="B935" s="12" t="s">
        <v>478</v>
      </c>
      <c r="C935" s="307" t="s">
        <v>409</v>
      </c>
      <c r="D935" s="5" t="s">
        <v>768</v>
      </c>
      <c r="E935" s="5">
        <v>10</v>
      </c>
      <c r="F935" s="5">
        <v>16</v>
      </c>
      <c r="G935" s="3">
        <f t="shared" si="92"/>
        <v>26</v>
      </c>
      <c r="H935" s="3"/>
      <c r="I935" s="3"/>
      <c r="J935" s="5">
        <v>31</v>
      </c>
      <c r="K935" s="3">
        <f t="shared" si="93"/>
        <v>57</v>
      </c>
      <c r="L935" s="7" t="str">
        <f t="shared" si="90"/>
        <v>C+</v>
      </c>
      <c r="M935" s="7" t="str">
        <f t="shared" si="91"/>
        <v>Passed</v>
      </c>
      <c r="N935" s="10"/>
      <c r="O935" s="9"/>
      <c r="P935" s="10"/>
    </row>
    <row r="936" spans="1:16" ht="15.6" x14ac:dyDescent="0.3">
      <c r="A936" s="3">
        <f t="shared" si="98"/>
        <v>54</v>
      </c>
      <c r="B936" s="12" t="s">
        <v>479</v>
      </c>
      <c r="C936" s="12" t="s">
        <v>410</v>
      </c>
      <c r="D936" s="5" t="s">
        <v>769</v>
      </c>
      <c r="E936" s="5">
        <v>9</v>
      </c>
      <c r="F936" s="5">
        <v>19</v>
      </c>
      <c r="G936" s="3">
        <f t="shared" si="92"/>
        <v>28</v>
      </c>
      <c r="H936" s="5"/>
      <c r="I936" s="5"/>
      <c r="J936" s="5">
        <v>39</v>
      </c>
      <c r="K936" s="3">
        <f t="shared" si="93"/>
        <v>67</v>
      </c>
      <c r="L936" s="7" t="str">
        <f t="shared" si="90"/>
        <v>B</v>
      </c>
      <c r="M936" s="7" t="str">
        <f t="shared" si="91"/>
        <v>Passed</v>
      </c>
      <c r="N936" s="10"/>
      <c r="O936" s="9"/>
      <c r="P936" s="10"/>
    </row>
    <row r="937" spans="1:16" ht="15.6" x14ac:dyDescent="0.3">
      <c r="A937" s="10"/>
      <c r="B937" s="10"/>
      <c r="C937" s="75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9"/>
      <c r="P937" s="10"/>
    </row>
    <row r="938" spans="1:16" ht="15.6" x14ac:dyDescent="0.3">
      <c r="A938" s="10"/>
      <c r="B938" s="10"/>
      <c r="C938" s="75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9"/>
      <c r="P938" s="10"/>
    </row>
  </sheetData>
  <sortState ref="B13:C63">
    <sortCondition ref="C12"/>
  </sortState>
  <mergeCells count="53">
    <mergeCell ref="A879:B879"/>
    <mergeCell ref="A739:B739"/>
    <mergeCell ref="A807:B807"/>
    <mergeCell ref="A808:B808"/>
    <mergeCell ref="A593:B593"/>
    <mergeCell ref="A663:B663"/>
    <mergeCell ref="A664:B664"/>
    <mergeCell ref="A738:B738"/>
    <mergeCell ref="A871:F871"/>
    <mergeCell ref="A801:I801"/>
    <mergeCell ref="A872:I872"/>
    <mergeCell ref="A875:C875"/>
    <mergeCell ref="A733:C733"/>
    <mergeCell ref="A873:E873"/>
    <mergeCell ref="A874:C874"/>
    <mergeCell ref="A446:B446"/>
    <mergeCell ref="A447:B447"/>
    <mergeCell ref="A522:B522"/>
    <mergeCell ref="A732:I732"/>
    <mergeCell ref="A657:I657"/>
    <mergeCell ref="C590:F590"/>
    <mergeCell ref="A8:B8"/>
    <mergeCell ref="A9:B9"/>
    <mergeCell ref="A658:I658"/>
    <mergeCell ref="A523:B523"/>
    <mergeCell ref="A592:B592"/>
    <mergeCell ref="A368:B368"/>
    <mergeCell ref="A77:B77"/>
    <mergeCell ref="A78:B78"/>
    <mergeCell ref="A156:B156"/>
    <mergeCell ref="A157:B157"/>
    <mergeCell ref="A226:B226"/>
    <mergeCell ref="A227:B227"/>
    <mergeCell ref="A297:B297"/>
    <mergeCell ref="A150:H150"/>
    <mergeCell ref="A220:H220"/>
    <mergeCell ref="A369:B369"/>
    <mergeCell ref="A221:H221"/>
    <mergeCell ref="A2:G2"/>
    <mergeCell ref="A586:I586"/>
    <mergeCell ref="A440:H440"/>
    <mergeCell ref="A441:H441"/>
    <mergeCell ref="A516:I516"/>
    <mergeCell ref="A3:H3"/>
    <mergeCell ref="A72:G72"/>
    <mergeCell ref="A71:H71"/>
    <mergeCell ref="A291:H291"/>
    <mergeCell ref="A292:H292"/>
    <mergeCell ref="A362:H362"/>
    <mergeCell ref="A363:H363"/>
    <mergeCell ref="A151:G151"/>
    <mergeCell ref="C152:G152"/>
    <mergeCell ref="A298:B298"/>
  </mergeCells>
  <pageMargins left="0.7" right="0.7" top="0.75" bottom="0.75" header="0.3" footer="0.3"/>
  <pageSetup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280"/>
  <sheetViews>
    <sheetView topLeftCell="A132" workbookViewId="0">
      <selection activeCell="A77" sqref="A77:C134"/>
    </sheetView>
  </sheetViews>
  <sheetFormatPr defaultRowHeight="14.4" x14ac:dyDescent="0.3"/>
  <cols>
    <col min="1" max="1" width="12.33203125" customWidth="1"/>
    <col min="2" max="2" width="9" customWidth="1"/>
    <col min="3" max="3" width="33" customWidth="1"/>
    <col min="4" max="4" width="13.6640625" bestFit="1" customWidth="1"/>
    <col min="5" max="5" width="4.5546875" customWidth="1"/>
    <col min="6" max="6" width="4.33203125" customWidth="1"/>
    <col min="7" max="7" width="4.6640625" customWidth="1"/>
    <col min="8" max="8" width="5.33203125" hidden="1" customWidth="1"/>
    <col min="9" max="9" width="4.44140625" hidden="1" customWidth="1"/>
    <col min="10" max="10" width="5.109375" customWidth="1"/>
    <col min="11" max="11" width="4.88671875" customWidth="1"/>
    <col min="12" max="12" width="4.109375" customWidth="1"/>
    <col min="13" max="13" width="7.109375" customWidth="1"/>
    <col min="14" max="14" width="14.33203125" customWidth="1"/>
    <col min="15" max="15" width="7.6640625" customWidth="1"/>
  </cols>
  <sheetData>
    <row r="1" spans="1:15" x14ac:dyDescent="0.3">
      <c r="A1" s="38" t="s">
        <v>0</v>
      </c>
      <c r="B1" s="38"/>
      <c r="C1" s="38"/>
      <c r="D1" s="38"/>
      <c r="E1" s="38"/>
      <c r="F1" s="38"/>
      <c r="G1" s="39"/>
      <c r="H1" s="70"/>
      <c r="I1" s="70"/>
      <c r="J1" s="39"/>
      <c r="K1" s="39"/>
      <c r="L1" s="39"/>
    </row>
    <row r="2" spans="1:15" x14ac:dyDescent="0.3">
      <c r="A2" s="14" t="s">
        <v>66</v>
      </c>
      <c r="B2" s="14"/>
      <c r="C2" s="14"/>
      <c r="D2" s="14"/>
      <c r="E2" s="14"/>
      <c r="F2" s="14"/>
    </row>
    <row r="3" spans="1:15" x14ac:dyDescent="0.3">
      <c r="A3" s="460" t="s">
        <v>362</v>
      </c>
      <c r="B3" s="461"/>
      <c r="C3" s="461"/>
      <c r="D3" s="2"/>
      <c r="E3" s="2"/>
      <c r="F3" s="2"/>
      <c r="G3" s="2"/>
      <c r="H3" s="2"/>
      <c r="I3" s="2"/>
      <c r="J3" s="2"/>
      <c r="K3" s="2"/>
      <c r="L3" s="1"/>
      <c r="M3" s="16"/>
      <c r="N3" s="16"/>
      <c r="O3" s="13"/>
    </row>
    <row r="4" spans="1:15" x14ac:dyDescent="0.3">
      <c r="A4" s="38" t="s">
        <v>1</v>
      </c>
      <c r="B4" s="462" t="s">
        <v>541</v>
      </c>
      <c r="C4" s="464"/>
      <c r="D4" s="38"/>
      <c r="E4" s="38"/>
      <c r="F4" s="38"/>
      <c r="G4" s="39"/>
      <c r="H4" s="70"/>
      <c r="I4" s="70"/>
      <c r="J4" s="39"/>
      <c r="K4" s="39"/>
      <c r="L4" s="39"/>
    </row>
    <row r="5" spans="1:15" x14ac:dyDescent="0.3">
      <c r="A5" s="38" t="s">
        <v>3</v>
      </c>
      <c r="B5" s="462" t="s">
        <v>543</v>
      </c>
      <c r="C5" s="462"/>
      <c r="D5" s="38"/>
      <c r="E5" s="38"/>
      <c r="F5" s="38"/>
      <c r="G5" s="39"/>
      <c r="H5" s="70"/>
      <c r="I5" s="70"/>
      <c r="J5" s="39"/>
      <c r="K5" s="39"/>
      <c r="L5" s="39"/>
    </row>
    <row r="6" spans="1:15" x14ac:dyDescent="0.3">
      <c r="A6" s="38" t="s">
        <v>4</v>
      </c>
      <c r="B6" s="462" t="s">
        <v>67</v>
      </c>
      <c r="C6" s="462"/>
      <c r="D6" s="38"/>
      <c r="E6" s="38"/>
      <c r="F6" s="38"/>
      <c r="G6" s="39"/>
      <c r="H6" s="70"/>
      <c r="I6" s="70"/>
      <c r="J6" s="39"/>
      <c r="K6" s="39"/>
      <c r="L6" s="39"/>
    </row>
    <row r="7" spans="1:15" x14ac:dyDescent="0.3">
      <c r="A7" s="38" t="s">
        <v>5</v>
      </c>
      <c r="B7" s="463">
        <v>2</v>
      </c>
      <c r="C7" s="463"/>
      <c r="D7" s="38"/>
      <c r="E7" s="38"/>
      <c r="F7" s="38"/>
      <c r="G7" s="39"/>
      <c r="H7" s="70"/>
      <c r="I7" s="70"/>
      <c r="J7" s="39"/>
      <c r="K7" s="39"/>
      <c r="L7" s="39"/>
    </row>
    <row r="8" spans="1:15" x14ac:dyDescent="0.3">
      <c r="A8" s="38" t="s">
        <v>6</v>
      </c>
      <c r="B8" s="462" t="s">
        <v>542</v>
      </c>
      <c r="C8" s="462"/>
      <c r="D8" s="38"/>
      <c r="E8" s="38"/>
      <c r="F8" s="38"/>
      <c r="G8" s="39"/>
      <c r="H8" s="70"/>
      <c r="I8" s="70"/>
      <c r="J8" s="39"/>
      <c r="K8" s="39"/>
      <c r="L8" s="39"/>
    </row>
    <row r="9" spans="1:15" x14ac:dyDescent="0.3">
      <c r="A9" s="14" t="s">
        <v>68</v>
      </c>
      <c r="B9" s="14" t="s">
        <v>540</v>
      </c>
      <c r="C9" s="14"/>
      <c r="D9" s="14"/>
      <c r="E9" s="14"/>
      <c r="F9" s="14"/>
      <c r="L9" t="s">
        <v>17</v>
      </c>
      <c r="M9" t="s">
        <v>18</v>
      </c>
      <c r="N9" t="s">
        <v>19</v>
      </c>
    </row>
    <row r="10" spans="1:15" ht="60" x14ac:dyDescent="0.3">
      <c r="A10" s="42" t="s">
        <v>8</v>
      </c>
      <c r="B10" s="42" t="s">
        <v>9</v>
      </c>
      <c r="C10" s="42" t="s">
        <v>10</v>
      </c>
      <c r="D10" s="43" t="s">
        <v>11</v>
      </c>
      <c r="E10" s="43" t="s">
        <v>12</v>
      </c>
      <c r="F10" s="43" t="s">
        <v>13</v>
      </c>
      <c r="G10" s="43" t="s">
        <v>14</v>
      </c>
      <c r="H10" s="43" t="s">
        <v>208</v>
      </c>
      <c r="I10" s="43" t="s">
        <v>209</v>
      </c>
      <c r="J10" s="43" t="s">
        <v>15</v>
      </c>
      <c r="K10" s="43" t="s">
        <v>16</v>
      </c>
      <c r="N10" t="s">
        <v>20</v>
      </c>
      <c r="O10">
        <f>COUNT(G12:G65)</f>
        <v>51</v>
      </c>
    </row>
    <row r="11" spans="1:15" x14ac:dyDescent="0.3">
      <c r="A11" s="42" t="s">
        <v>69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N11" t="s">
        <v>21</v>
      </c>
      <c r="O11">
        <f>COUNT(J12:J65)</f>
        <v>48</v>
      </c>
    </row>
    <row r="12" spans="1:15" x14ac:dyDescent="0.3">
      <c r="A12" s="12">
        <f>ROW(A1)</f>
        <v>1</v>
      </c>
      <c r="B12" s="45" t="s">
        <v>203</v>
      </c>
      <c r="C12" s="45" t="s">
        <v>92</v>
      </c>
      <c r="D12" s="12" t="s">
        <v>640</v>
      </c>
      <c r="E12" s="12">
        <v>8</v>
      </c>
      <c r="F12" s="12">
        <v>23</v>
      </c>
      <c r="G12" s="317">
        <f t="shared" ref="G12:G65" si="0">SUM(E12:F12)</f>
        <v>31</v>
      </c>
      <c r="H12" s="12"/>
      <c r="I12" s="12"/>
      <c r="J12" s="12">
        <v>26</v>
      </c>
      <c r="K12" s="317">
        <f t="shared" ref="K12:K65" si="1">SUM(G12:J12)</f>
        <v>57</v>
      </c>
      <c r="L12" t="str">
        <f t="shared" ref="L12:L64" si="2">IF(K12&gt;=80,"A",IF(K12&gt;=70,"B+",IF(K12&gt;=60,"B",IF(K12&gt;=55,"C+",IF(K12&gt;=50,"C",IF(K12&gt;=45,"D+",IF(K12&gt;=40,"D","F")))))))</f>
        <v>C+</v>
      </c>
      <c r="M12" t="str">
        <f t="shared" ref="M12:M64" si="3">IF(K12&gt;=50,"Passed","Failed")</f>
        <v>Passed</v>
      </c>
      <c r="N12" t="s">
        <v>22</v>
      </c>
      <c r="O12">
        <f>O10-O11</f>
        <v>3</v>
      </c>
    </row>
    <row r="13" spans="1:15" x14ac:dyDescent="0.3">
      <c r="A13" s="12">
        <f t="shared" ref="A13:A65" si="4">ROW(A2)</f>
        <v>2</v>
      </c>
      <c r="B13" s="45" t="s">
        <v>145</v>
      </c>
      <c r="C13" s="45" t="s">
        <v>93</v>
      </c>
      <c r="D13" s="12" t="s">
        <v>669</v>
      </c>
      <c r="E13" s="12">
        <v>8</v>
      </c>
      <c r="F13" s="12">
        <v>19</v>
      </c>
      <c r="G13" s="317">
        <f t="shared" si="0"/>
        <v>27</v>
      </c>
      <c r="H13" s="12"/>
      <c r="I13" s="12"/>
      <c r="J13" s="12">
        <v>26</v>
      </c>
      <c r="K13" s="317">
        <f t="shared" si="1"/>
        <v>53</v>
      </c>
      <c r="L13" t="str">
        <f t="shared" si="2"/>
        <v>C</v>
      </c>
      <c r="M13" t="str">
        <f t="shared" si="3"/>
        <v>Passed</v>
      </c>
      <c r="N13" t="s">
        <v>23</v>
      </c>
      <c r="O13">
        <f>COUNTIF(M12:M65,"Passed")</f>
        <v>37</v>
      </c>
    </row>
    <row r="14" spans="1:15" x14ac:dyDescent="0.3">
      <c r="A14" s="12">
        <f t="shared" si="4"/>
        <v>3</v>
      </c>
      <c r="B14" s="45" t="s">
        <v>149</v>
      </c>
      <c r="C14" s="45" t="s">
        <v>97</v>
      </c>
      <c r="D14" s="12" t="s">
        <v>635</v>
      </c>
      <c r="E14" s="12">
        <v>8</v>
      </c>
      <c r="F14" s="12">
        <v>23</v>
      </c>
      <c r="G14" s="317">
        <f t="shared" si="0"/>
        <v>31</v>
      </c>
      <c r="H14" s="12"/>
      <c r="I14" s="12"/>
      <c r="J14" s="12">
        <v>28</v>
      </c>
      <c r="K14" s="317">
        <f t="shared" si="1"/>
        <v>59</v>
      </c>
      <c r="L14" t="str">
        <f t="shared" si="2"/>
        <v>C+</v>
      </c>
      <c r="M14" t="str">
        <f t="shared" si="3"/>
        <v>Passed</v>
      </c>
      <c r="N14" t="s">
        <v>24</v>
      </c>
      <c r="O14">
        <f>O13/O11%</f>
        <v>77.083333333333343</v>
      </c>
    </row>
    <row r="15" spans="1:15" x14ac:dyDescent="0.3">
      <c r="A15" s="12">
        <f t="shared" si="4"/>
        <v>4</v>
      </c>
      <c r="B15" s="45" t="s">
        <v>152</v>
      </c>
      <c r="C15" s="45" t="s">
        <v>100</v>
      </c>
      <c r="D15" s="12" t="s">
        <v>657</v>
      </c>
      <c r="E15" s="12">
        <v>8</v>
      </c>
      <c r="F15" s="340">
        <v>22</v>
      </c>
      <c r="G15" s="317">
        <f t="shared" si="0"/>
        <v>30</v>
      </c>
      <c r="H15" s="12"/>
      <c r="I15" s="12"/>
      <c r="J15" s="12">
        <v>20</v>
      </c>
      <c r="K15" s="317">
        <f t="shared" si="1"/>
        <v>50</v>
      </c>
      <c r="L15" t="str">
        <f t="shared" si="2"/>
        <v>C</v>
      </c>
      <c r="M15" t="str">
        <f t="shared" si="3"/>
        <v>Passed</v>
      </c>
      <c r="N15" t="s">
        <v>25</v>
      </c>
      <c r="O15">
        <f>COUNTIF(M12:M65,"failed")</f>
        <v>11</v>
      </c>
    </row>
    <row r="16" spans="1:15" x14ac:dyDescent="0.3">
      <c r="A16" s="12">
        <f t="shared" si="4"/>
        <v>5</v>
      </c>
      <c r="B16" s="45" t="s">
        <v>156</v>
      </c>
      <c r="C16" s="45" t="s">
        <v>104</v>
      </c>
      <c r="D16" s="12" t="s">
        <v>644</v>
      </c>
      <c r="E16" s="12">
        <v>8</v>
      </c>
      <c r="F16" s="12">
        <v>26</v>
      </c>
      <c r="G16" s="317">
        <f t="shared" si="0"/>
        <v>34</v>
      </c>
      <c r="H16" s="12"/>
      <c r="I16" s="12"/>
      <c r="J16" s="12">
        <v>32</v>
      </c>
      <c r="K16" s="317">
        <f t="shared" si="1"/>
        <v>66</v>
      </c>
      <c r="L16" t="str">
        <f t="shared" si="2"/>
        <v>B</v>
      </c>
      <c r="M16" t="str">
        <f t="shared" si="3"/>
        <v>Passed</v>
      </c>
      <c r="N16" t="s">
        <v>26</v>
      </c>
      <c r="O16">
        <f>O15/O11%</f>
        <v>22.916666666666668</v>
      </c>
    </row>
    <row r="17" spans="1:22" x14ac:dyDescent="0.3">
      <c r="A17" s="12">
        <f t="shared" si="4"/>
        <v>6</v>
      </c>
      <c r="B17" s="45" t="s">
        <v>160</v>
      </c>
      <c r="C17" s="45" t="s">
        <v>109</v>
      </c>
      <c r="D17" s="12" t="s">
        <v>634</v>
      </c>
      <c r="E17" s="12">
        <v>8</v>
      </c>
      <c r="F17" s="12">
        <v>21</v>
      </c>
      <c r="G17" s="317">
        <f t="shared" si="0"/>
        <v>29</v>
      </c>
      <c r="H17" s="12"/>
      <c r="I17" s="12"/>
      <c r="J17" s="12">
        <v>26</v>
      </c>
      <c r="K17" s="317">
        <f t="shared" si="1"/>
        <v>55</v>
      </c>
      <c r="L17" t="str">
        <f t="shared" si="2"/>
        <v>C+</v>
      </c>
      <c r="M17" t="str">
        <f t="shared" si="3"/>
        <v>Passed</v>
      </c>
      <c r="N17" t="s">
        <v>27</v>
      </c>
      <c r="O17" s="179">
        <f>AVERAGE(K12:K65)</f>
        <v>52.541666666666664</v>
      </c>
    </row>
    <row r="18" spans="1:22" x14ac:dyDescent="0.3">
      <c r="A18" s="12">
        <f t="shared" si="4"/>
        <v>7</v>
      </c>
      <c r="B18" s="45" t="s">
        <v>207</v>
      </c>
      <c r="C18" s="45" t="s">
        <v>110</v>
      </c>
      <c r="D18" s="12" t="s">
        <v>622</v>
      </c>
      <c r="E18" s="12"/>
      <c r="F18" s="12"/>
      <c r="G18" s="317"/>
      <c r="H18" s="12"/>
      <c r="I18" s="12"/>
      <c r="J18" s="12"/>
      <c r="K18" s="317"/>
    </row>
    <row r="19" spans="1:22" x14ac:dyDescent="0.3">
      <c r="A19" s="12">
        <f t="shared" si="4"/>
        <v>8</v>
      </c>
      <c r="B19" s="45" t="s">
        <v>163</v>
      </c>
      <c r="C19" s="45" t="s">
        <v>113</v>
      </c>
      <c r="D19" s="12" t="s">
        <v>655</v>
      </c>
      <c r="E19" s="12">
        <v>8</v>
      </c>
      <c r="F19" s="12">
        <v>22</v>
      </c>
      <c r="G19" s="317">
        <f t="shared" si="0"/>
        <v>30</v>
      </c>
      <c r="H19" s="12"/>
      <c r="I19" s="12"/>
      <c r="J19" s="12">
        <v>24</v>
      </c>
      <c r="K19" s="317">
        <f t="shared" si="1"/>
        <v>54</v>
      </c>
      <c r="L19" t="str">
        <f t="shared" si="2"/>
        <v>C</v>
      </c>
      <c r="M19" t="str">
        <f t="shared" si="3"/>
        <v>Passed</v>
      </c>
    </row>
    <row r="20" spans="1:22" x14ac:dyDescent="0.3">
      <c r="A20" s="12">
        <f t="shared" si="4"/>
        <v>9</v>
      </c>
      <c r="B20" s="45" t="s">
        <v>480</v>
      </c>
      <c r="C20" s="45" t="s">
        <v>115</v>
      </c>
      <c r="D20" s="12" t="s">
        <v>661</v>
      </c>
      <c r="E20" s="12">
        <v>8</v>
      </c>
      <c r="F20" s="12">
        <v>21</v>
      </c>
      <c r="G20" s="317">
        <f t="shared" si="0"/>
        <v>29</v>
      </c>
      <c r="H20" s="12"/>
      <c r="I20" s="12"/>
      <c r="J20" s="12">
        <v>42</v>
      </c>
      <c r="K20" s="317">
        <f t="shared" si="1"/>
        <v>71</v>
      </c>
      <c r="L20" t="str">
        <f t="shared" si="2"/>
        <v>B+</v>
      </c>
      <c r="M20" t="str">
        <f t="shared" si="3"/>
        <v>Passed</v>
      </c>
      <c r="N20" t="s">
        <v>17</v>
      </c>
    </row>
    <row r="21" spans="1:22" x14ac:dyDescent="0.3">
      <c r="A21" s="12">
        <f t="shared" si="4"/>
        <v>10</v>
      </c>
      <c r="B21" s="45" t="s">
        <v>200</v>
      </c>
      <c r="C21" s="45" t="s">
        <v>119</v>
      </c>
      <c r="D21" s="12" t="s">
        <v>638</v>
      </c>
      <c r="E21" s="12">
        <v>8</v>
      </c>
      <c r="F21" s="12">
        <v>12</v>
      </c>
      <c r="G21" s="317">
        <f t="shared" si="0"/>
        <v>20</v>
      </c>
      <c r="H21" s="12"/>
      <c r="I21" s="12"/>
      <c r="J21" s="12">
        <v>8</v>
      </c>
      <c r="K21" s="317">
        <f t="shared" si="1"/>
        <v>28</v>
      </c>
      <c r="L21" t="str">
        <f t="shared" si="2"/>
        <v>F</v>
      </c>
      <c r="M21" t="str">
        <f t="shared" si="3"/>
        <v>Failed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 t="s">
        <v>33</v>
      </c>
      <c r="U21" t="s">
        <v>34</v>
      </c>
      <c r="V21" t="s">
        <v>35</v>
      </c>
    </row>
    <row r="22" spans="1:22" x14ac:dyDescent="0.3">
      <c r="A22" s="12">
        <f t="shared" si="4"/>
        <v>11</v>
      </c>
      <c r="B22" s="45" t="s">
        <v>205</v>
      </c>
      <c r="C22" s="45" t="s">
        <v>120</v>
      </c>
      <c r="D22" s="12" t="s">
        <v>622</v>
      </c>
      <c r="E22" s="12"/>
      <c r="F22" s="12"/>
      <c r="G22" s="317"/>
      <c r="H22" s="12"/>
      <c r="I22" s="12"/>
      <c r="J22" s="12"/>
      <c r="K22" s="317"/>
      <c r="O22">
        <f>COUNTIF(L12:L65,"A")</f>
        <v>0</v>
      </c>
      <c r="P22">
        <f>COUNTIF(L12:L65,"B+")</f>
        <v>2</v>
      </c>
      <c r="Q22">
        <f>COUNTIF(L12:L65,"B")</f>
        <v>9</v>
      </c>
      <c r="R22">
        <f>COUNTIF(L12:L65,"C+")</f>
        <v>9</v>
      </c>
      <c r="S22">
        <f>COUNTIF(L12:L65,"C")</f>
        <v>17</v>
      </c>
      <c r="T22">
        <f>COUNTIF(L12:L65,"D+")</f>
        <v>2</v>
      </c>
      <c r="U22">
        <f>COUNTIF(L12:L65,"D")</f>
        <v>5</v>
      </c>
      <c r="V22">
        <f>COUNTIF(L12:L65,"F")</f>
        <v>4</v>
      </c>
    </row>
    <row r="23" spans="1:22" x14ac:dyDescent="0.3">
      <c r="A23" s="12">
        <f t="shared" si="4"/>
        <v>12</v>
      </c>
      <c r="B23" s="45" t="s">
        <v>168</v>
      </c>
      <c r="C23" s="45" t="s">
        <v>121</v>
      </c>
      <c r="D23" s="12" t="s">
        <v>626</v>
      </c>
      <c r="E23" s="12">
        <v>8</v>
      </c>
      <c r="F23" s="12">
        <v>19</v>
      </c>
      <c r="G23" s="317">
        <f t="shared" si="0"/>
        <v>27</v>
      </c>
      <c r="H23" s="12"/>
      <c r="I23" s="12"/>
      <c r="J23" s="12">
        <v>31</v>
      </c>
      <c r="K23" s="317">
        <f t="shared" si="1"/>
        <v>58</v>
      </c>
      <c r="L23" t="str">
        <f t="shared" si="2"/>
        <v>C+</v>
      </c>
      <c r="M23" t="str">
        <f t="shared" si="3"/>
        <v>Passed</v>
      </c>
    </row>
    <row r="24" spans="1:22" x14ac:dyDescent="0.3">
      <c r="A24" s="12">
        <f t="shared" si="4"/>
        <v>13</v>
      </c>
      <c r="B24" s="45" t="s">
        <v>170</v>
      </c>
      <c r="C24" s="45" t="s">
        <v>124</v>
      </c>
      <c r="D24" s="12" t="s">
        <v>631</v>
      </c>
      <c r="E24" s="12">
        <v>8</v>
      </c>
      <c r="F24" s="12">
        <v>15</v>
      </c>
      <c r="G24" s="317">
        <f t="shared" si="0"/>
        <v>23</v>
      </c>
      <c r="H24" s="12"/>
      <c r="I24" s="12"/>
      <c r="J24" s="12">
        <v>31</v>
      </c>
      <c r="K24" s="317">
        <f t="shared" si="1"/>
        <v>54</v>
      </c>
      <c r="L24" t="str">
        <f t="shared" si="2"/>
        <v>C</v>
      </c>
      <c r="M24" t="str">
        <f t="shared" si="3"/>
        <v>Passed</v>
      </c>
    </row>
    <row r="25" spans="1:22" x14ac:dyDescent="0.3">
      <c r="A25" s="12">
        <v>14</v>
      </c>
      <c r="B25" s="45" t="s">
        <v>172</v>
      </c>
      <c r="C25" s="45" t="s">
        <v>126</v>
      </c>
      <c r="D25" s="12" t="s">
        <v>671</v>
      </c>
      <c r="E25" s="12">
        <v>8</v>
      </c>
      <c r="F25" s="12">
        <v>15</v>
      </c>
      <c r="G25" s="317">
        <f t="shared" si="0"/>
        <v>23</v>
      </c>
      <c r="H25" s="12"/>
      <c r="I25" s="12"/>
      <c r="J25" s="12">
        <v>19</v>
      </c>
      <c r="K25" s="317">
        <f t="shared" si="1"/>
        <v>42</v>
      </c>
      <c r="L25" t="str">
        <f t="shared" si="2"/>
        <v>D</v>
      </c>
      <c r="M25" t="str">
        <f t="shared" si="3"/>
        <v>Failed</v>
      </c>
    </row>
    <row r="26" spans="1:22" x14ac:dyDescent="0.3">
      <c r="A26" s="12">
        <f t="shared" si="4"/>
        <v>15</v>
      </c>
      <c r="B26" s="45" t="s">
        <v>173</v>
      </c>
      <c r="C26" s="45" t="s">
        <v>127</v>
      </c>
      <c r="D26" s="12" t="s">
        <v>672</v>
      </c>
      <c r="E26" s="12">
        <v>8</v>
      </c>
      <c r="F26" s="340">
        <v>21</v>
      </c>
      <c r="G26" s="317">
        <f t="shared" si="0"/>
        <v>29</v>
      </c>
      <c r="H26" s="12"/>
      <c r="I26" s="12"/>
      <c r="J26" s="12">
        <v>21</v>
      </c>
      <c r="K26" s="317">
        <f t="shared" si="1"/>
        <v>50</v>
      </c>
      <c r="L26" t="str">
        <f t="shared" si="2"/>
        <v>C</v>
      </c>
      <c r="M26" t="str">
        <f t="shared" si="3"/>
        <v>Passed</v>
      </c>
    </row>
    <row r="27" spans="1:22" x14ac:dyDescent="0.3">
      <c r="A27" s="12">
        <f t="shared" si="4"/>
        <v>16</v>
      </c>
      <c r="B27" s="45" t="s">
        <v>175</v>
      </c>
      <c r="C27" s="45" t="s">
        <v>131</v>
      </c>
      <c r="D27" s="12" t="s">
        <v>643</v>
      </c>
      <c r="E27" s="12">
        <v>8</v>
      </c>
      <c r="F27" s="12">
        <v>18</v>
      </c>
      <c r="G27" s="317">
        <f t="shared" si="0"/>
        <v>26</v>
      </c>
      <c r="H27" s="12"/>
      <c r="I27" s="12"/>
      <c r="J27" s="12">
        <v>14</v>
      </c>
      <c r="K27" s="317">
        <f t="shared" si="1"/>
        <v>40</v>
      </c>
      <c r="L27" t="str">
        <f t="shared" si="2"/>
        <v>D</v>
      </c>
      <c r="M27" t="str">
        <f t="shared" si="3"/>
        <v>Failed</v>
      </c>
    </row>
    <row r="28" spans="1:22" x14ac:dyDescent="0.3">
      <c r="A28" s="12">
        <f t="shared" si="4"/>
        <v>17</v>
      </c>
      <c r="B28" s="277" t="s">
        <v>178</v>
      </c>
      <c r="C28" s="45" t="s">
        <v>133</v>
      </c>
      <c r="D28" s="12" t="s">
        <v>639</v>
      </c>
      <c r="E28" s="12">
        <v>8</v>
      </c>
      <c r="F28" s="12">
        <v>21</v>
      </c>
      <c r="G28" s="317">
        <f t="shared" si="0"/>
        <v>29</v>
      </c>
      <c r="H28" s="12"/>
      <c r="I28" s="12"/>
      <c r="J28" s="12">
        <v>32</v>
      </c>
      <c r="K28" s="317">
        <f t="shared" si="1"/>
        <v>61</v>
      </c>
      <c r="L28" t="str">
        <f t="shared" si="2"/>
        <v>B</v>
      </c>
      <c r="M28" t="str">
        <f t="shared" si="3"/>
        <v>Passed</v>
      </c>
    </row>
    <row r="29" spans="1:22" x14ac:dyDescent="0.3">
      <c r="A29" s="12">
        <f t="shared" si="4"/>
        <v>18</v>
      </c>
      <c r="B29" s="452" t="s">
        <v>534</v>
      </c>
      <c r="C29" s="436" t="s">
        <v>363</v>
      </c>
      <c r="D29" s="452" t="s">
        <v>625</v>
      </c>
      <c r="E29" s="452"/>
      <c r="F29" s="452"/>
      <c r="G29" s="452">
        <f t="shared" si="0"/>
        <v>0</v>
      </c>
      <c r="H29" s="452"/>
      <c r="I29" s="452"/>
      <c r="J29" s="452">
        <v>11</v>
      </c>
      <c r="K29" s="452">
        <f t="shared" si="1"/>
        <v>11</v>
      </c>
      <c r="L29" s="14" t="str">
        <f t="shared" si="2"/>
        <v>F</v>
      </c>
      <c r="M29" s="14" t="str">
        <f t="shared" si="3"/>
        <v>Failed</v>
      </c>
    </row>
    <row r="30" spans="1:22" x14ac:dyDescent="0.3">
      <c r="A30" s="12">
        <f t="shared" si="4"/>
        <v>19</v>
      </c>
      <c r="B30" s="437" t="s">
        <v>144</v>
      </c>
      <c r="C30" s="438" t="s">
        <v>137</v>
      </c>
      <c r="D30" s="452" t="s">
        <v>650</v>
      </c>
      <c r="E30" s="452"/>
      <c r="F30" s="452"/>
      <c r="G30" s="452">
        <f t="shared" si="0"/>
        <v>0</v>
      </c>
      <c r="H30" s="452"/>
      <c r="I30" s="452"/>
      <c r="J30" s="452">
        <v>33</v>
      </c>
      <c r="K30" s="452">
        <f t="shared" si="1"/>
        <v>33</v>
      </c>
      <c r="L30" s="14" t="str">
        <f t="shared" si="2"/>
        <v>F</v>
      </c>
      <c r="M30" s="14" t="str">
        <f t="shared" si="3"/>
        <v>Failed</v>
      </c>
    </row>
    <row r="31" spans="1:22" x14ac:dyDescent="0.3">
      <c r="A31" s="12">
        <f t="shared" si="4"/>
        <v>20</v>
      </c>
      <c r="B31" s="390" t="s">
        <v>204</v>
      </c>
      <c r="C31" s="390" t="s">
        <v>138</v>
      </c>
      <c r="D31" s="12" t="s">
        <v>660</v>
      </c>
      <c r="E31" s="12">
        <v>8</v>
      </c>
      <c r="F31" s="12">
        <v>30</v>
      </c>
      <c r="G31" s="317">
        <f t="shared" si="0"/>
        <v>38</v>
      </c>
      <c r="H31" s="12"/>
      <c r="I31" s="12"/>
      <c r="J31" s="12">
        <v>27</v>
      </c>
      <c r="K31" s="317">
        <f t="shared" si="1"/>
        <v>65</v>
      </c>
      <c r="L31" t="str">
        <f t="shared" si="2"/>
        <v>B</v>
      </c>
      <c r="M31" t="str">
        <f t="shared" si="3"/>
        <v>Passed</v>
      </c>
    </row>
    <row r="32" spans="1:22" x14ac:dyDescent="0.3">
      <c r="A32" s="12">
        <f t="shared" si="4"/>
        <v>21</v>
      </c>
      <c r="B32" s="305" t="s">
        <v>181</v>
      </c>
      <c r="C32" s="45" t="s">
        <v>139</v>
      </c>
      <c r="D32" s="12" t="s">
        <v>632</v>
      </c>
      <c r="E32" s="12">
        <v>8</v>
      </c>
      <c r="F32" s="12">
        <v>18</v>
      </c>
      <c r="G32" s="317">
        <f t="shared" si="0"/>
        <v>26</v>
      </c>
      <c r="H32" s="12"/>
      <c r="I32" s="12"/>
      <c r="J32" s="12">
        <v>27</v>
      </c>
      <c r="K32" s="317">
        <f t="shared" si="1"/>
        <v>53</v>
      </c>
      <c r="L32" t="str">
        <f t="shared" si="2"/>
        <v>C</v>
      </c>
      <c r="M32" t="str">
        <f t="shared" si="3"/>
        <v>Passed</v>
      </c>
    </row>
    <row r="33" spans="1:13" x14ac:dyDescent="0.3">
      <c r="A33" s="12">
        <f t="shared" si="4"/>
        <v>22</v>
      </c>
      <c r="B33" s="391" t="s">
        <v>201</v>
      </c>
      <c r="C33" s="45" t="s">
        <v>141</v>
      </c>
      <c r="D33" s="12" t="s">
        <v>637</v>
      </c>
      <c r="E33" s="12">
        <v>8</v>
      </c>
      <c r="F33" s="12">
        <v>19</v>
      </c>
      <c r="G33" s="317">
        <f t="shared" si="0"/>
        <v>27</v>
      </c>
      <c r="H33" s="12"/>
      <c r="I33" s="12"/>
      <c r="J33" s="12">
        <v>33</v>
      </c>
      <c r="K33" s="317">
        <f t="shared" si="1"/>
        <v>60</v>
      </c>
      <c r="L33" t="str">
        <f t="shared" si="2"/>
        <v>B</v>
      </c>
      <c r="M33" t="str">
        <f t="shared" si="3"/>
        <v>Passed</v>
      </c>
    </row>
    <row r="34" spans="1:13" x14ac:dyDescent="0.3">
      <c r="A34" s="12">
        <f t="shared" si="4"/>
        <v>23</v>
      </c>
      <c r="B34" s="45" t="s">
        <v>176</v>
      </c>
      <c r="C34" s="45" t="s">
        <v>481</v>
      </c>
      <c r="D34" s="12" t="s">
        <v>654</v>
      </c>
      <c r="E34" s="12">
        <v>8</v>
      </c>
      <c r="F34" s="12">
        <v>18</v>
      </c>
      <c r="G34" s="317">
        <f t="shared" si="0"/>
        <v>26</v>
      </c>
      <c r="H34" s="12"/>
      <c r="I34" s="12"/>
      <c r="J34" s="12">
        <v>26</v>
      </c>
      <c r="K34" s="317">
        <f t="shared" si="1"/>
        <v>52</v>
      </c>
      <c r="L34" t="str">
        <f t="shared" si="2"/>
        <v>C</v>
      </c>
      <c r="M34" t="str">
        <f t="shared" si="3"/>
        <v>Passed</v>
      </c>
    </row>
    <row r="35" spans="1:13" x14ac:dyDescent="0.3">
      <c r="A35" s="12">
        <f t="shared" si="4"/>
        <v>24</v>
      </c>
      <c r="B35" s="12" t="s">
        <v>148</v>
      </c>
      <c r="C35" s="12" t="s">
        <v>96</v>
      </c>
      <c r="D35" s="12" t="s">
        <v>645</v>
      </c>
      <c r="E35" s="12">
        <v>8</v>
      </c>
      <c r="F35" s="12">
        <v>16</v>
      </c>
      <c r="G35" s="317">
        <f t="shared" si="0"/>
        <v>24</v>
      </c>
      <c r="H35" s="12"/>
      <c r="I35" s="12"/>
      <c r="J35" s="12">
        <v>16</v>
      </c>
      <c r="K35" s="317">
        <f t="shared" si="1"/>
        <v>40</v>
      </c>
      <c r="L35" t="str">
        <f t="shared" si="2"/>
        <v>D</v>
      </c>
      <c r="M35" t="str">
        <f t="shared" si="3"/>
        <v>Failed</v>
      </c>
    </row>
    <row r="36" spans="1:13" x14ac:dyDescent="0.3">
      <c r="A36" s="12">
        <f t="shared" si="4"/>
        <v>25</v>
      </c>
      <c r="B36" s="12" t="s">
        <v>153</v>
      </c>
      <c r="C36" s="12" t="s">
        <v>101</v>
      </c>
      <c r="D36" s="12" t="s">
        <v>623</v>
      </c>
      <c r="E36" s="12">
        <v>8</v>
      </c>
      <c r="F36" s="12">
        <v>20</v>
      </c>
      <c r="G36" s="317">
        <f t="shared" si="0"/>
        <v>28</v>
      </c>
      <c r="H36" s="12"/>
      <c r="I36" s="12"/>
      <c r="J36" s="12">
        <v>34</v>
      </c>
      <c r="K36" s="317">
        <f t="shared" si="1"/>
        <v>62</v>
      </c>
      <c r="L36" t="str">
        <f t="shared" si="2"/>
        <v>B</v>
      </c>
      <c r="M36" t="str">
        <f t="shared" si="3"/>
        <v>Passed</v>
      </c>
    </row>
    <row r="37" spans="1:13" x14ac:dyDescent="0.3">
      <c r="A37" s="12">
        <f t="shared" si="4"/>
        <v>26</v>
      </c>
      <c r="B37" s="12" t="s">
        <v>154</v>
      </c>
      <c r="C37" s="12" t="s">
        <v>102</v>
      </c>
      <c r="D37" s="12" t="s">
        <v>633</v>
      </c>
      <c r="E37" s="12">
        <v>8</v>
      </c>
      <c r="F37" s="12">
        <v>22</v>
      </c>
      <c r="G37" s="317">
        <f t="shared" si="0"/>
        <v>30</v>
      </c>
      <c r="H37" s="12"/>
      <c r="I37" s="12"/>
      <c r="J37" s="12">
        <v>28</v>
      </c>
      <c r="K37" s="317">
        <f t="shared" si="1"/>
        <v>58</v>
      </c>
      <c r="L37" t="str">
        <f t="shared" si="2"/>
        <v>C+</v>
      </c>
      <c r="M37" t="str">
        <f t="shared" si="3"/>
        <v>Passed</v>
      </c>
    </row>
    <row r="38" spans="1:13" x14ac:dyDescent="0.3">
      <c r="A38" s="12">
        <f t="shared" si="4"/>
        <v>27</v>
      </c>
      <c r="B38" s="12" t="s">
        <v>162</v>
      </c>
      <c r="C38" s="12" t="s">
        <v>112</v>
      </c>
      <c r="D38" s="12" t="s">
        <v>636</v>
      </c>
      <c r="E38" s="12">
        <v>8</v>
      </c>
      <c r="F38" s="340">
        <v>28</v>
      </c>
      <c r="G38" s="317">
        <f t="shared" si="0"/>
        <v>36</v>
      </c>
      <c r="H38" s="12"/>
      <c r="I38" s="12"/>
      <c r="J38" s="12">
        <v>14</v>
      </c>
      <c r="K38" s="317">
        <f t="shared" si="1"/>
        <v>50</v>
      </c>
      <c r="L38" t="str">
        <f t="shared" si="2"/>
        <v>C</v>
      </c>
      <c r="M38" t="str">
        <f t="shared" si="3"/>
        <v>Passed</v>
      </c>
    </row>
    <row r="39" spans="1:13" x14ac:dyDescent="0.3">
      <c r="A39" s="12">
        <f t="shared" si="4"/>
        <v>28</v>
      </c>
      <c r="B39" s="12" t="s">
        <v>164</v>
      </c>
      <c r="C39" s="12" t="s">
        <v>114</v>
      </c>
      <c r="D39" s="12" t="s">
        <v>652</v>
      </c>
      <c r="E39" s="12">
        <v>8</v>
      </c>
      <c r="F39" s="12">
        <v>18</v>
      </c>
      <c r="G39" s="317">
        <f t="shared" si="0"/>
        <v>26</v>
      </c>
      <c r="H39" s="12"/>
      <c r="I39" s="12"/>
      <c r="J39" s="12">
        <v>24</v>
      </c>
      <c r="K39" s="317">
        <f t="shared" si="1"/>
        <v>50</v>
      </c>
      <c r="L39" t="str">
        <f t="shared" si="2"/>
        <v>C</v>
      </c>
      <c r="M39" t="str">
        <f t="shared" si="3"/>
        <v>Passed</v>
      </c>
    </row>
    <row r="40" spans="1:13" x14ac:dyDescent="0.3">
      <c r="A40" s="12">
        <f t="shared" si="4"/>
        <v>29</v>
      </c>
      <c r="B40" s="60" t="s">
        <v>165</v>
      </c>
      <c r="C40" s="12" t="s">
        <v>116</v>
      </c>
      <c r="D40" s="12" t="s">
        <v>641</v>
      </c>
      <c r="E40" s="12">
        <v>8</v>
      </c>
      <c r="F40" s="12">
        <v>21</v>
      </c>
      <c r="G40" s="317">
        <f t="shared" si="0"/>
        <v>29</v>
      </c>
      <c r="H40" s="12"/>
      <c r="I40" s="12"/>
      <c r="J40" s="12">
        <v>35</v>
      </c>
      <c r="K40" s="317">
        <f t="shared" si="1"/>
        <v>64</v>
      </c>
      <c r="L40" t="str">
        <f t="shared" si="2"/>
        <v>B</v>
      </c>
      <c r="M40" t="str">
        <f t="shared" si="3"/>
        <v>Passed</v>
      </c>
    </row>
    <row r="41" spans="1:13" x14ac:dyDescent="0.3">
      <c r="A41" s="12">
        <f t="shared" si="4"/>
        <v>30</v>
      </c>
      <c r="B41" s="12" t="s">
        <v>206</v>
      </c>
      <c r="C41" s="12" t="s">
        <v>123</v>
      </c>
      <c r="D41" s="12" t="s">
        <v>653</v>
      </c>
      <c r="E41" s="12">
        <v>8</v>
      </c>
      <c r="F41" s="12">
        <v>21</v>
      </c>
      <c r="G41" s="317">
        <f t="shared" si="0"/>
        <v>29</v>
      </c>
      <c r="H41" s="12"/>
      <c r="I41" s="12"/>
      <c r="J41" s="12">
        <v>30</v>
      </c>
      <c r="K41" s="317">
        <f t="shared" si="1"/>
        <v>59</v>
      </c>
      <c r="L41" t="str">
        <f t="shared" si="2"/>
        <v>C+</v>
      </c>
      <c r="M41" t="str">
        <f t="shared" si="3"/>
        <v>Passed</v>
      </c>
    </row>
    <row r="42" spans="1:13" x14ac:dyDescent="0.3">
      <c r="A42" s="12">
        <f t="shared" si="4"/>
        <v>31</v>
      </c>
      <c r="B42" s="12" t="s">
        <v>202</v>
      </c>
      <c r="C42" s="12" t="s">
        <v>135</v>
      </c>
      <c r="D42" s="12" t="s">
        <v>622</v>
      </c>
      <c r="E42" s="12"/>
      <c r="F42" s="12"/>
      <c r="G42" s="317"/>
      <c r="H42" s="12"/>
      <c r="I42" s="12"/>
      <c r="J42" s="12"/>
      <c r="K42" s="317"/>
    </row>
    <row r="43" spans="1:13" x14ac:dyDescent="0.3">
      <c r="A43" s="452">
        <f t="shared" si="4"/>
        <v>32</v>
      </c>
      <c r="B43" s="452" t="s">
        <v>1249</v>
      </c>
      <c r="C43" s="452" t="s">
        <v>422</v>
      </c>
      <c r="D43" s="452" t="s">
        <v>624</v>
      </c>
      <c r="E43" s="452"/>
      <c r="F43" s="452"/>
      <c r="G43" s="452">
        <f t="shared" si="0"/>
        <v>0</v>
      </c>
      <c r="H43" s="452"/>
      <c r="I43" s="452"/>
      <c r="J43" s="452">
        <v>33</v>
      </c>
      <c r="K43" s="452">
        <f t="shared" si="1"/>
        <v>33</v>
      </c>
      <c r="L43" s="14" t="str">
        <f t="shared" si="2"/>
        <v>F</v>
      </c>
      <c r="M43" s="14" t="str">
        <f t="shared" si="3"/>
        <v>Failed</v>
      </c>
    </row>
    <row r="44" spans="1:13" x14ac:dyDescent="0.3">
      <c r="A44" s="12">
        <f t="shared" si="4"/>
        <v>33</v>
      </c>
      <c r="B44" s="45" t="s">
        <v>150</v>
      </c>
      <c r="C44" s="45" t="s">
        <v>98</v>
      </c>
      <c r="D44" s="12" t="s">
        <v>651</v>
      </c>
      <c r="E44" s="12">
        <v>8</v>
      </c>
      <c r="F44" s="12">
        <v>20</v>
      </c>
      <c r="G44" s="317">
        <f t="shared" si="0"/>
        <v>28</v>
      </c>
      <c r="H44" s="12"/>
      <c r="I44" s="12"/>
      <c r="J44" s="12">
        <v>26</v>
      </c>
      <c r="K44" s="317">
        <f t="shared" si="1"/>
        <v>54</v>
      </c>
      <c r="L44" t="str">
        <f t="shared" si="2"/>
        <v>C</v>
      </c>
      <c r="M44" t="str">
        <f t="shared" si="3"/>
        <v>Passed</v>
      </c>
    </row>
    <row r="45" spans="1:13" x14ac:dyDescent="0.3">
      <c r="A45" s="12">
        <f t="shared" si="4"/>
        <v>34</v>
      </c>
      <c r="B45" s="45" t="s">
        <v>151</v>
      </c>
      <c r="C45" s="45" t="s">
        <v>99</v>
      </c>
      <c r="D45" s="12" t="s">
        <v>656</v>
      </c>
      <c r="E45" s="12">
        <v>8</v>
      </c>
      <c r="F45" s="12">
        <v>15</v>
      </c>
      <c r="G45" s="317">
        <f t="shared" si="0"/>
        <v>23</v>
      </c>
      <c r="H45" s="12"/>
      <c r="I45" s="12"/>
      <c r="J45" s="12">
        <v>23</v>
      </c>
      <c r="K45" s="317">
        <f t="shared" si="1"/>
        <v>46</v>
      </c>
      <c r="L45" t="str">
        <f t="shared" si="2"/>
        <v>D+</v>
      </c>
      <c r="M45" t="str">
        <f t="shared" si="3"/>
        <v>Failed</v>
      </c>
    </row>
    <row r="46" spans="1:13" x14ac:dyDescent="0.3">
      <c r="A46" s="12">
        <f t="shared" si="4"/>
        <v>35</v>
      </c>
      <c r="B46" s="45" t="s">
        <v>157</v>
      </c>
      <c r="C46" s="45" t="s">
        <v>106</v>
      </c>
      <c r="D46" s="12" t="s">
        <v>629</v>
      </c>
      <c r="E46" s="12">
        <v>8</v>
      </c>
      <c r="F46" s="12">
        <v>25</v>
      </c>
      <c r="G46" s="317">
        <f t="shared" si="0"/>
        <v>33</v>
      </c>
      <c r="H46" s="12"/>
      <c r="I46" s="12"/>
      <c r="J46" s="12">
        <v>35</v>
      </c>
      <c r="K46" s="317">
        <f t="shared" si="1"/>
        <v>68</v>
      </c>
      <c r="L46" t="str">
        <f t="shared" si="2"/>
        <v>B</v>
      </c>
      <c r="M46" t="str">
        <f t="shared" si="3"/>
        <v>Passed</v>
      </c>
    </row>
    <row r="47" spans="1:13" x14ac:dyDescent="0.3">
      <c r="A47" s="12">
        <f t="shared" si="4"/>
        <v>36</v>
      </c>
      <c r="B47" s="45" t="s">
        <v>158</v>
      </c>
      <c r="C47" s="45" t="s">
        <v>107</v>
      </c>
      <c r="D47" s="12" t="s">
        <v>663</v>
      </c>
      <c r="E47" s="12">
        <v>8</v>
      </c>
      <c r="F47" s="12">
        <v>20</v>
      </c>
      <c r="G47" s="317">
        <f t="shared" si="0"/>
        <v>28</v>
      </c>
      <c r="H47" s="12"/>
      <c r="I47" s="12"/>
      <c r="J47" s="12">
        <v>22</v>
      </c>
      <c r="K47" s="317">
        <f t="shared" si="1"/>
        <v>50</v>
      </c>
      <c r="L47" t="str">
        <f t="shared" si="2"/>
        <v>C</v>
      </c>
      <c r="M47" t="str">
        <f t="shared" si="3"/>
        <v>Passed</v>
      </c>
    </row>
    <row r="48" spans="1:13" x14ac:dyDescent="0.3">
      <c r="A48" s="12">
        <f t="shared" si="4"/>
        <v>37</v>
      </c>
      <c r="B48" s="45" t="s">
        <v>159</v>
      </c>
      <c r="C48" s="45" t="s">
        <v>108</v>
      </c>
      <c r="D48" s="12" t="s">
        <v>651</v>
      </c>
      <c r="E48" s="12">
        <v>8</v>
      </c>
      <c r="F48" s="12">
        <v>22</v>
      </c>
      <c r="G48" s="317">
        <f t="shared" si="0"/>
        <v>30</v>
      </c>
      <c r="H48" s="12"/>
      <c r="I48" s="12"/>
      <c r="J48" s="12">
        <v>26</v>
      </c>
      <c r="K48" s="317">
        <f t="shared" si="1"/>
        <v>56</v>
      </c>
      <c r="L48" t="str">
        <f t="shared" si="2"/>
        <v>C+</v>
      </c>
      <c r="M48" t="str">
        <f t="shared" si="3"/>
        <v>Passed</v>
      </c>
    </row>
    <row r="49" spans="1:13" x14ac:dyDescent="0.3">
      <c r="A49" s="12">
        <f t="shared" si="4"/>
        <v>38</v>
      </c>
      <c r="B49" s="45" t="s">
        <v>167</v>
      </c>
      <c r="C49" s="45" t="s">
        <v>118</v>
      </c>
      <c r="D49" s="12" t="s">
        <v>642</v>
      </c>
      <c r="E49" s="12">
        <v>8</v>
      </c>
      <c r="F49" s="12">
        <v>19</v>
      </c>
      <c r="G49" s="317">
        <f t="shared" si="0"/>
        <v>27</v>
      </c>
      <c r="H49" s="12"/>
      <c r="I49" s="12"/>
      <c r="J49" s="12">
        <v>26</v>
      </c>
      <c r="K49" s="317">
        <f t="shared" si="1"/>
        <v>53</v>
      </c>
      <c r="L49" t="str">
        <f t="shared" si="2"/>
        <v>C</v>
      </c>
      <c r="M49" t="str">
        <f t="shared" si="3"/>
        <v>Passed</v>
      </c>
    </row>
    <row r="50" spans="1:13" x14ac:dyDescent="0.3">
      <c r="A50" s="12">
        <f t="shared" si="4"/>
        <v>39</v>
      </c>
      <c r="B50" s="45" t="s">
        <v>171</v>
      </c>
      <c r="C50" s="45" t="s">
        <v>125</v>
      </c>
      <c r="D50" s="12" t="s">
        <v>668</v>
      </c>
      <c r="E50" s="12">
        <v>8</v>
      </c>
      <c r="F50" s="12">
        <v>20</v>
      </c>
      <c r="G50" s="317">
        <f t="shared" si="0"/>
        <v>28</v>
      </c>
      <c r="H50" s="12"/>
      <c r="I50" s="12"/>
      <c r="J50" s="12">
        <v>17</v>
      </c>
      <c r="K50" s="317">
        <f t="shared" si="1"/>
        <v>45</v>
      </c>
      <c r="L50" t="str">
        <f t="shared" si="2"/>
        <v>D+</v>
      </c>
      <c r="M50" t="str">
        <f t="shared" si="3"/>
        <v>Failed</v>
      </c>
    </row>
    <row r="51" spans="1:13" x14ac:dyDescent="0.3">
      <c r="A51" s="12">
        <f t="shared" si="4"/>
        <v>40</v>
      </c>
      <c r="B51" s="45" t="s">
        <v>174</v>
      </c>
      <c r="C51" s="45" t="s">
        <v>128</v>
      </c>
      <c r="D51" s="12" t="s">
        <v>649</v>
      </c>
      <c r="E51" s="12">
        <v>8</v>
      </c>
      <c r="F51" s="12">
        <v>15</v>
      </c>
      <c r="G51" s="317">
        <f t="shared" si="0"/>
        <v>23</v>
      </c>
      <c r="H51" s="12"/>
      <c r="I51" s="12"/>
      <c r="J51" s="12">
        <v>27</v>
      </c>
      <c r="K51" s="317">
        <f t="shared" si="1"/>
        <v>50</v>
      </c>
      <c r="L51" t="str">
        <f t="shared" si="2"/>
        <v>C</v>
      </c>
      <c r="M51" t="str">
        <f t="shared" si="3"/>
        <v>Passed</v>
      </c>
    </row>
    <row r="52" spans="1:13" x14ac:dyDescent="0.3">
      <c r="A52" s="12">
        <f t="shared" si="4"/>
        <v>41</v>
      </c>
      <c r="B52" s="45" t="s">
        <v>220</v>
      </c>
      <c r="C52" s="45" t="s">
        <v>130</v>
      </c>
      <c r="D52" s="12" t="s">
        <v>627</v>
      </c>
      <c r="E52" s="12">
        <v>8</v>
      </c>
      <c r="F52" s="12">
        <v>20</v>
      </c>
      <c r="G52" s="317">
        <f t="shared" si="0"/>
        <v>28</v>
      </c>
      <c r="H52" s="12"/>
      <c r="I52" s="12"/>
      <c r="J52" s="12">
        <v>32</v>
      </c>
      <c r="K52" s="317">
        <f t="shared" si="1"/>
        <v>60</v>
      </c>
      <c r="L52" t="str">
        <f t="shared" si="2"/>
        <v>B</v>
      </c>
      <c r="M52" t="str">
        <f t="shared" si="3"/>
        <v>Passed</v>
      </c>
    </row>
    <row r="53" spans="1:13" x14ac:dyDescent="0.3">
      <c r="A53" s="12">
        <f t="shared" si="4"/>
        <v>42</v>
      </c>
      <c r="B53" s="45" t="s">
        <v>659</v>
      </c>
      <c r="C53" s="45" t="s">
        <v>117</v>
      </c>
      <c r="D53" s="12" t="s">
        <v>658</v>
      </c>
      <c r="E53" s="12">
        <v>8</v>
      </c>
      <c r="F53" s="12">
        <v>30</v>
      </c>
      <c r="G53" s="317">
        <f t="shared" si="0"/>
        <v>38</v>
      </c>
      <c r="H53" s="12"/>
      <c r="I53" s="12"/>
      <c r="J53" s="12">
        <v>41</v>
      </c>
      <c r="K53" s="317">
        <f t="shared" si="1"/>
        <v>79</v>
      </c>
      <c r="L53" t="str">
        <f t="shared" si="2"/>
        <v>B+</v>
      </c>
      <c r="M53" t="str">
        <f t="shared" si="3"/>
        <v>Passed</v>
      </c>
    </row>
    <row r="54" spans="1:13" x14ac:dyDescent="0.3">
      <c r="A54" s="12">
        <f t="shared" si="4"/>
        <v>43</v>
      </c>
      <c r="B54" s="45" t="s">
        <v>146</v>
      </c>
      <c r="C54" s="45" t="s">
        <v>94</v>
      </c>
      <c r="D54" s="12" t="s">
        <v>666</v>
      </c>
      <c r="E54" s="12">
        <v>8</v>
      </c>
      <c r="F54" s="12">
        <v>23</v>
      </c>
      <c r="G54" s="317">
        <f t="shared" si="0"/>
        <v>31</v>
      </c>
      <c r="H54" s="12"/>
      <c r="I54" s="12"/>
      <c r="J54" s="12">
        <v>30</v>
      </c>
      <c r="K54" s="317">
        <f t="shared" si="1"/>
        <v>61</v>
      </c>
      <c r="L54" t="str">
        <f t="shared" si="2"/>
        <v>B</v>
      </c>
      <c r="M54" t="str">
        <f t="shared" si="3"/>
        <v>Passed</v>
      </c>
    </row>
    <row r="55" spans="1:13" x14ac:dyDescent="0.3">
      <c r="A55" s="12">
        <f t="shared" si="4"/>
        <v>44</v>
      </c>
      <c r="B55" s="277" t="s">
        <v>147</v>
      </c>
      <c r="C55" s="45" t="s">
        <v>95</v>
      </c>
      <c r="D55" s="12" t="s">
        <v>662</v>
      </c>
      <c r="E55" s="12">
        <v>8</v>
      </c>
      <c r="F55" s="12">
        <v>19</v>
      </c>
      <c r="G55" s="317">
        <f t="shared" si="0"/>
        <v>27</v>
      </c>
      <c r="H55" s="12"/>
      <c r="I55" s="12"/>
      <c r="J55" s="12">
        <v>17</v>
      </c>
      <c r="K55" s="317">
        <f t="shared" si="1"/>
        <v>44</v>
      </c>
      <c r="L55" t="str">
        <f t="shared" si="2"/>
        <v>D</v>
      </c>
      <c r="M55" t="str">
        <f t="shared" si="3"/>
        <v>Failed</v>
      </c>
    </row>
    <row r="56" spans="1:13" x14ac:dyDescent="0.3">
      <c r="A56" s="12">
        <f t="shared" si="4"/>
        <v>45</v>
      </c>
      <c r="B56" s="45" t="s">
        <v>155</v>
      </c>
      <c r="C56" s="45" t="s">
        <v>103</v>
      </c>
      <c r="D56" s="12" t="s">
        <v>667</v>
      </c>
      <c r="E56" s="12">
        <v>8</v>
      </c>
      <c r="F56" s="12">
        <v>20</v>
      </c>
      <c r="G56" s="317">
        <f t="shared" si="0"/>
        <v>28</v>
      </c>
      <c r="H56" s="12"/>
      <c r="I56" s="12"/>
      <c r="J56" s="12">
        <v>16</v>
      </c>
      <c r="K56" s="317">
        <f t="shared" si="1"/>
        <v>44</v>
      </c>
      <c r="L56" t="str">
        <f t="shared" si="2"/>
        <v>D</v>
      </c>
      <c r="M56" t="str">
        <f t="shared" si="3"/>
        <v>Failed</v>
      </c>
    </row>
    <row r="57" spans="1:13" x14ac:dyDescent="0.3">
      <c r="A57" s="452">
        <f t="shared" si="4"/>
        <v>46</v>
      </c>
      <c r="B57" s="452" t="s">
        <v>182</v>
      </c>
      <c r="C57" s="452" t="s">
        <v>105</v>
      </c>
      <c r="D57" s="452" t="s">
        <v>622</v>
      </c>
      <c r="E57" s="452">
        <v>8</v>
      </c>
      <c r="F57" s="452">
        <v>15</v>
      </c>
      <c r="G57" s="452">
        <f t="shared" si="0"/>
        <v>23</v>
      </c>
      <c r="H57" s="452"/>
      <c r="I57" s="452"/>
      <c r="J57" s="452" t="s">
        <v>1938</v>
      </c>
      <c r="K57" s="452"/>
    </row>
    <row r="58" spans="1:13" x14ac:dyDescent="0.3">
      <c r="A58" s="452">
        <f t="shared" si="4"/>
        <v>47</v>
      </c>
      <c r="B58" s="452" t="s">
        <v>161</v>
      </c>
      <c r="C58" s="452" t="s">
        <v>111</v>
      </c>
      <c r="D58" s="452" t="s">
        <v>622</v>
      </c>
      <c r="E58" s="452">
        <v>8</v>
      </c>
      <c r="F58" s="452">
        <v>14</v>
      </c>
      <c r="G58" s="452">
        <f t="shared" si="0"/>
        <v>22</v>
      </c>
      <c r="H58" s="452"/>
      <c r="I58" s="452"/>
      <c r="J58" s="452" t="s">
        <v>1938</v>
      </c>
      <c r="K58" s="452"/>
    </row>
    <row r="59" spans="1:13" x14ac:dyDescent="0.3">
      <c r="A59" s="452">
        <f t="shared" si="4"/>
        <v>48</v>
      </c>
      <c r="B59" s="452" t="s">
        <v>169</v>
      </c>
      <c r="C59" s="452" t="s">
        <v>122</v>
      </c>
      <c r="D59" s="452" t="s">
        <v>622</v>
      </c>
      <c r="E59" s="452">
        <v>8</v>
      </c>
      <c r="F59" s="452">
        <v>16</v>
      </c>
      <c r="G59" s="452">
        <f t="shared" si="0"/>
        <v>24</v>
      </c>
      <c r="H59" s="452"/>
      <c r="I59" s="452"/>
      <c r="J59" s="452" t="s">
        <v>1938</v>
      </c>
      <c r="K59" s="452"/>
    </row>
    <row r="60" spans="1:13" x14ac:dyDescent="0.3">
      <c r="A60" s="12">
        <f t="shared" si="4"/>
        <v>49</v>
      </c>
      <c r="B60" s="45" t="s">
        <v>648</v>
      </c>
      <c r="C60" s="45" t="s">
        <v>129</v>
      </c>
      <c r="D60" s="12" t="s">
        <v>647</v>
      </c>
      <c r="E60" s="12">
        <v>8</v>
      </c>
      <c r="F60" s="12">
        <v>18</v>
      </c>
      <c r="G60" s="317">
        <f t="shared" si="0"/>
        <v>26</v>
      </c>
      <c r="H60" s="12"/>
      <c r="I60" s="12"/>
      <c r="J60" s="12">
        <v>33</v>
      </c>
      <c r="K60" s="317">
        <f t="shared" si="1"/>
        <v>59</v>
      </c>
      <c r="L60" t="str">
        <f t="shared" si="2"/>
        <v>C+</v>
      </c>
      <c r="M60" t="str">
        <f t="shared" si="3"/>
        <v>Passed</v>
      </c>
    </row>
    <row r="61" spans="1:13" x14ac:dyDescent="0.3">
      <c r="A61" s="12">
        <f t="shared" si="4"/>
        <v>50</v>
      </c>
      <c r="B61" s="45" t="s">
        <v>177</v>
      </c>
      <c r="C61" s="45" t="s">
        <v>132</v>
      </c>
      <c r="D61" s="12" t="s">
        <v>646</v>
      </c>
      <c r="E61" s="12">
        <v>8</v>
      </c>
      <c r="F61" s="340">
        <v>17</v>
      </c>
      <c r="G61" s="317">
        <f t="shared" si="0"/>
        <v>25</v>
      </c>
      <c r="H61" s="12"/>
      <c r="I61" s="12"/>
      <c r="J61" s="12">
        <v>25</v>
      </c>
      <c r="K61" s="317">
        <f t="shared" si="1"/>
        <v>50</v>
      </c>
      <c r="L61" t="str">
        <f t="shared" si="2"/>
        <v>C</v>
      </c>
      <c r="M61" t="str">
        <f t="shared" si="3"/>
        <v>Passed</v>
      </c>
    </row>
    <row r="62" spans="1:13" x14ac:dyDescent="0.3">
      <c r="A62" s="12">
        <f t="shared" si="4"/>
        <v>51</v>
      </c>
      <c r="B62" s="45" t="s">
        <v>179</v>
      </c>
      <c r="C62" s="45" t="s">
        <v>665</v>
      </c>
      <c r="D62" s="12" t="s">
        <v>664</v>
      </c>
      <c r="E62" s="12">
        <v>8</v>
      </c>
      <c r="F62" s="12">
        <v>19</v>
      </c>
      <c r="G62" s="317">
        <f t="shared" si="0"/>
        <v>27</v>
      </c>
      <c r="H62" s="12"/>
      <c r="I62" s="12"/>
      <c r="J62" s="12">
        <v>24</v>
      </c>
      <c r="K62" s="317">
        <f t="shared" si="1"/>
        <v>51</v>
      </c>
      <c r="L62" t="str">
        <f t="shared" si="2"/>
        <v>C</v>
      </c>
      <c r="M62" t="str">
        <f t="shared" si="3"/>
        <v>Passed</v>
      </c>
    </row>
    <row r="63" spans="1:13" x14ac:dyDescent="0.3">
      <c r="A63" s="12">
        <f t="shared" si="4"/>
        <v>52</v>
      </c>
      <c r="B63" s="45" t="s">
        <v>180</v>
      </c>
      <c r="C63" s="45" t="s">
        <v>136</v>
      </c>
      <c r="D63" s="12" t="s">
        <v>670</v>
      </c>
      <c r="E63" s="12">
        <v>8</v>
      </c>
      <c r="F63" s="12">
        <v>15</v>
      </c>
      <c r="G63" s="317">
        <f t="shared" si="0"/>
        <v>23</v>
      </c>
      <c r="H63" s="12"/>
      <c r="I63" s="12"/>
      <c r="J63" s="12">
        <v>30</v>
      </c>
      <c r="K63" s="317">
        <f t="shared" si="1"/>
        <v>53</v>
      </c>
      <c r="L63" t="str">
        <f t="shared" si="2"/>
        <v>C</v>
      </c>
      <c r="M63" t="str">
        <f t="shared" si="3"/>
        <v>Passed</v>
      </c>
    </row>
    <row r="64" spans="1:13" x14ac:dyDescent="0.3">
      <c r="A64" s="12">
        <f t="shared" si="4"/>
        <v>53</v>
      </c>
      <c r="B64" s="45" t="s">
        <v>183</v>
      </c>
      <c r="C64" s="45" t="s">
        <v>140</v>
      </c>
      <c r="D64" s="12" t="s">
        <v>630</v>
      </c>
      <c r="E64" s="12">
        <v>8</v>
      </c>
      <c r="F64" s="12">
        <v>23</v>
      </c>
      <c r="G64" s="317">
        <f t="shared" si="0"/>
        <v>31</v>
      </c>
      <c r="H64" s="12"/>
      <c r="I64" s="12"/>
      <c r="J64" s="12">
        <v>26</v>
      </c>
      <c r="K64" s="317">
        <f t="shared" si="1"/>
        <v>57</v>
      </c>
      <c r="L64" t="str">
        <f t="shared" si="2"/>
        <v>C+</v>
      </c>
      <c r="M64" t="str">
        <f t="shared" si="3"/>
        <v>Passed</v>
      </c>
    </row>
    <row r="65" spans="1:20" x14ac:dyDescent="0.3">
      <c r="A65" s="12">
        <f t="shared" si="4"/>
        <v>54</v>
      </c>
      <c r="B65" s="45" t="s">
        <v>184</v>
      </c>
      <c r="C65" s="45" t="s">
        <v>142</v>
      </c>
      <c r="D65" s="12" t="s">
        <v>628</v>
      </c>
      <c r="E65" s="12">
        <v>8</v>
      </c>
      <c r="F65" s="12">
        <v>15</v>
      </c>
      <c r="G65" s="317">
        <f t="shared" si="0"/>
        <v>23</v>
      </c>
      <c r="H65" s="12"/>
      <c r="I65" s="12"/>
      <c r="J65" s="12">
        <v>31</v>
      </c>
      <c r="K65" s="317">
        <f t="shared" si="1"/>
        <v>54</v>
      </c>
      <c r="L65" t="str">
        <f t="shared" ref="L65" si="5">IF(K65&gt;=80,"A",IF(K65&gt;=70,"B+",IF(K65&gt;=60,"B",IF(K65&gt;=55,"C+",IF(K65&gt;=50,"C",IF(K65&gt;=45,"D+",IF(K65&gt;=40,"D","F")))))))</f>
        <v>C</v>
      </c>
      <c r="M65" t="str">
        <f t="shared" ref="M65" si="6">IF(K65&gt;=50,"Passed","Failed")</f>
        <v>Passed</v>
      </c>
    </row>
    <row r="66" spans="1:20" x14ac:dyDescent="0.3">
      <c r="A66" s="313"/>
      <c r="B66" s="56"/>
      <c r="F66" t="s">
        <v>219</v>
      </c>
    </row>
    <row r="67" spans="1:20" s="56" customFormat="1" x14ac:dyDescent="0.3">
      <c r="A67" s="312"/>
    </row>
    <row r="68" spans="1:20" x14ac:dyDescent="0.3">
      <c r="A68" s="312"/>
    </row>
    <row r="69" spans="1:20" x14ac:dyDescent="0.3">
      <c r="A69" s="302" t="s">
        <v>0</v>
      </c>
      <c r="B69" s="39"/>
      <c r="C69" s="39"/>
      <c r="D69" s="39"/>
      <c r="E69" s="39"/>
      <c r="F69" s="39"/>
      <c r="G69" s="39"/>
      <c r="H69" s="70"/>
      <c r="I69" s="70"/>
      <c r="J69" s="39"/>
      <c r="K69" s="39"/>
      <c r="L69" s="39"/>
      <c r="T69" t="s">
        <v>219</v>
      </c>
    </row>
    <row r="70" spans="1:20" x14ac:dyDescent="0.3">
      <c r="A70" s="14" t="s">
        <v>66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</row>
    <row r="71" spans="1:20" x14ac:dyDescent="0.3">
      <c r="A71" s="460" t="s">
        <v>362</v>
      </c>
      <c r="B71" s="461"/>
      <c r="C71" s="461"/>
      <c r="D71" s="2"/>
      <c r="E71" s="2"/>
      <c r="F71" s="2"/>
      <c r="G71" s="2"/>
      <c r="H71" s="2"/>
      <c r="I71" s="2"/>
      <c r="J71" s="2"/>
      <c r="K71" s="2"/>
      <c r="L71" s="1"/>
      <c r="M71" s="16"/>
      <c r="N71" s="16"/>
      <c r="O71" s="13"/>
    </row>
    <row r="72" spans="1:20" x14ac:dyDescent="0.3">
      <c r="A72" s="38" t="s">
        <v>1</v>
      </c>
      <c r="B72" s="462" t="s">
        <v>541</v>
      </c>
      <c r="C72" s="462"/>
      <c r="D72" s="38"/>
      <c r="E72" s="38"/>
      <c r="F72" s="38"/>
      <c r="G72" s="38"/>
      <c r="H72" s="68"/>
      <c r="I72" s="68"/>
      <c r="J72" s="38"/>
      <c r="K72" s="38"/>
      <c r="L72" s="39"/>
    </row>
    <row r="73" spans="1:20" x14ac:dyDescent="0.3">
      <c r="A73" s="38" t="s">
        <v>3</v>
      </c>
      <c r="B73" s="462" t="s">
        <v>70</v>
      </c>
      <c r="C73" s="462"/>
      <c r="D73" s="38"/>
      <c r="E73" s="38"/>
      <c r="F73" s="38"/>
      <c r="G73" s="38"/>
      <c r="H73" s="68"/>
      <c r="I73" s="68"/>
      <c r="J73" s="38"/>
      <c r="K73" s="38"/>
      <c r="L73" s="39"/>
    </row>
    <row r="74" spans="1:20" x14ac:dyDescent="0.3">
      <c r="A74" s="38" t="s">
        <v>4</v>
      </c>
      <c r="B74" s="462" t="s">
        <v>71</v>
      </c>
      <c r="C74" s="462"/>
      <c r="D74" s="38"/>
      <c r="E74" s="38"/>
      <c r="F74" s="38"/>
      <c r="G74" s="38"/>
      <c r="H74" s="68"/>
      <c r="I74" s="68"/>
      <c r="J74" s="38"/>
      <c r="K74" s="38"/>
      <c r="L74" s="39"/>
    </row>
    <row r="75" spans="1:20" x14ac:dyDescent="0.3">
      <c r="A75" s="38" t="s">
        <v>5</v>
      </c>
      <c r="B75" s="463">
        <v>2</v>
      </c>
      <c r="C75" s="463"/>
      <c r="D75" s="38"/>
      <c r="E75" s="38"/>
      <c r="F75" s="38"/>
      <c r="G75" s="38"/>
      <c r="H75" s="68"/>
      <c r="I75" s="68"/>
      <c r="J75" s="38"/>
      <c r="K75" s="38"/>
      <c r="L75" s="39"/>
    </row>
    <row r="76" spans="1:20" x14ac:dyDescent="0.3">
      <c r="A76" s="38" t="s">
        <v>6</v>
      </c>
      <c r="B76" s="462" t="s">
        <v>37</v>
      </c>
      <c r="C76" s="462"/>
      <c r="D76" s="38"/>
      <c r="E76" s="38"/>
      <c r="F76" s="38"/>
      <c r="G76" s="38"/>
      <c r="H76" s="68"/>
      <c r="I76" s="68"/>
      <c r="J76" s="38"/>
      <c r="K76" s="38"/>
      <c r="L76" s="39"/>
    </row>
    <row r="77" spans="1:20" x14ac:dyDescent="0.3">
      <c r="A77" s="38" t="s">
        <v>68</v>
      </c>
      <c r="B77" s="462" t="s">
        <v>540</v>
      </c>
      <c r="C77" s="462"/>
      <c r="D77" s="38"/>
      <c r="E77" s="38"/>
      <c r="F77" s="38"/>
      <c r="G77" s="38"/>
      <c r="H77" s="68"/>
      <c r="I77" s="68"/>
      <c r="J77" s="38"/>
      <c r="K77" s="38"/>
      <c r="L77" s="39"/>
    </row>
    <row r="78" spans="1:20" x14ac:dyDescent="0.3">
      <c r="A78" s="44" t="s">
        <v>8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t="s">
        <v>17</v>
      </c>
      <c r="M78" t="s">
        <v>18</v>
      </c>
      <c r="N78" t="s">
        <v>19</v>
      </c>
    </row>
    <row r="79" spans="1:20" ht="60" x14ac:dyDescent="0.3">
      <c r="A79" s="42" t="s">
        <v>69</v>
      </c>
      <c r="B79" s="42" t="s">
        <v>9</v>
      </c>
      <c r="C79" s="42" t="s">
        <v>10</v>
      </c>
      <c r="D79" s="43" t="s">
        <v>11</v>
      </c>
      <c r="E79" s="43" t="s">
        <v>12</v>
      </c>
      <c r="F79" s="43" t="s">
        <v>13</v>
      </c>
      <c r="G79" s="43" t="s">
        <v>14</v>
      </c>
      <c r="H79" s="43" t="s">
        <v>208</v>
      </c>
      <c r="I79" s="43" t="s">
        <v>209</v>
      </c>
      <c r="J79" s="43" t="s">
        <v>15</v>
      </c>
      <c r="K79" s="43" t="s">
        <v>16</v>
      </c>
      <c r="N79" t="s">
        <v>20</v>
      </c>
      <c r="O79">
        <f>COUNT(G81:G134)</f>
        <v>50</v>
      </c>
    </row>
    <row r="80" spans="1:20" x14ac:dyDescent="0.3">
      <c r="A80" s="12"/>
      <c r="B80" s="42"/>
      <c r="C80" s="42"/>
      <c r="D80" s="42"/>
      <c r="E80" s="42"/>
      <c r="F80" s="42"/>
      <c r="G80" s="42"/>
      <c r="H80" s="42"/>
      <c r="I80" s="42"/>
      <c r="J80" s="42"/>
      <c r="K80" s="42"/>
      <c r="N80" t="s">
        <v>21</v>
      </c>
      <c r="O80">
        <f>COUNT(J81:J134)</f>
        <v>48</v>
      </c>
    </row>
    <row r="81" spans="1:22" ht="15.6" x14ac:dyDescent="0.3">
      <c r="A81" s="12">
        <f>ROW(A1)</f>
        <v>1</v>
      </c>
      <c r="B81" s="4" t="s">
        <v>203</v>
      </c>
      <c r="C81" s="4" t="s">
        <v>92</v>
      </c>
      <c r="D81" s="12" t="s">
        <v>693</v>
      </c>
      <c r="E81" s="12">
        <v>10</v>
      </c>
      <c r="F81" s="12">
        <v>21</v>
      </c>
      <c r="G81" s="317">
        <f t="shared" ref="G81:G134" si="7">SUM(E81:F81)</f>
        <v>31</v>
      </c>
      <c r="H81" s="12"/>
      <c r="I81" s="12"/>
      <c r="J81" s="12">
        <v>26</v>
      </c>
      <c r="K81" s="317">
        <f t="shared" ref="K81:K134" si="8">SUM(G81:J81)</f>
        <v>57</v>
      </c>
      <c r="L81" t="str">
        <f t="shared" ref="L81:L107" si="9">IF(K81&gt;=80,"A",IF(K81&gt;=70,"B+",IF(K81&gt;=60,"B",IF(K81&gt;=55,"C+",IF(K81&gt;=50,"C",IF(K81&gt;=45,"D+",IF(K81&gt;=40,"D","F")))))))</f>
        <v>C+</v>
      </c>
      <c r="M81" t="str">
        <f t="shared" ref="M81:M107" si="10">IF(K81&gt;=50,"Passed","Failed")</f>
        <v>Passed</v>
      </c>
      <c r="N81" t="s">
        <v>22</v>
      </c>
      <c r="O81">
        <f>O79-O80</f>
        <v>2</v>
      </c>
    </row>
    <row r="82" spans="1:22" ht="15.6" x14ac:dyDescent="0.3">
      <c r="A82" s="12">
        <f t="shared" ref="A82:A134" si="11">ROW(A2)</f>
        <v>2</v>
      </c>
      <c r="B82" s="4" t="s">
        <v>145</v>
      </c>
      <c r="C82" s="4" t="s">
        <v>93</v>
      </c>
      <c r="D82" s="12" t="s">
        <v>723</v>
      </c>
      <c r="E82" s="12">
        <v>10</v>
      </c>
      <c r="F82" s="12">
        <v>23</v>
      </c>
      <c r="G82" s="317">
        <f t="shared" si="7"/>
        <v>33</v>
      </c>
      <c r="H82" s="12"/>
      <c r="I82" s="12"/>
      <c r="J82" s="12">
        <v>30</v>
      </c>
      <c r="K82" s="317">
        <f t="shared" si="8"/>
        <v>63</v>
      </c>
      <c r="L82" t="str">
        <f t="shared" si="9"/>
        <v>B</v>
      </c>
      <c r="M82" t="str">
        <f t="shared" si="10"/>
        <v>Passed</v>
      </c>
      <c r="N82" t="s">
        <v>23</v>
      </c>
      <c r="O82">
        <f>COUNTIF(M81:M134,"Passed")</f>
        <v>46</v>
      </c>
    </row>
    <row r="83" spans="1:22" ht="15.6" x14ac:dyDescent="0.3">
      <c r="A83" s="12">
        <f t="shared" si="11"/>
        <v>3</v>
      </c>
      <c r="B83" s="4" t="s">
        <v>149</v>
      </c>
      <c r="C83" s="4" t="s">
        <v>97</v>
      </c>
      <c r="D83" s="12" t="s">
        <v>686</v>
      </c>
      <c r="E83" s="12">
        <v>10</v>
      </c>
      <c r="F83" s="12">
        <v>19</v>
      </c>
      <c r="G83" s="317">
        <f t="shared" si="7"/>
        <v>29</v>
      </c>
      <c r="H83" s="12"/>
      <c r="I83" s="12"/>
      <c r="J83" s="12">
        <v>53</v>
      </c>
      <c r="K83" s="317">
        <f t="shared" si="8"/>
        <v>82</v>
      </c>
      <c r="L83" t="str">
        <f t="shared" si="9"/>
        <v>A</v>
      </c>
      <c r="M83" t="str">
        <f t="shared" si="10"/>
        <v>Passed</v>
      </c>
      <c r="N83" t="s">
        <v>24</v>
      </c>
      <c r="O83">
        <f>O82/O80%</f>
        <v>95.833333333333343</v>
      </c>
    </row>
    <row r="84" spans="1:22" ht="15.6" x14ac:dyDescent="0.3">
      <c r="A84" s="12">
        <f t="shared" si="11"/>
        <v>4</v>
      </c>
      <c r="B84" s="4" t="s">
        <v>152</v>
      </c>
      <c r="C84" s="4" t="s">
        <v>100</v>
      </c>
      <c r="D84" s="12" t="s">
        <v>698</v>
      </c>
      <c r="E84" s="12">
        <v>7.5</v>
      </c>
      <c r="F84" s="12">
        <v>24</v>
      </c>
      <c r="G84" s="317">
        <f t="shared" si="7"/>
        <v>31.5</v>
      </c>
      <c r="H84" s="12"/>
      <c r="I84" s="12"/>
      <c r="J84" s="12">
        <v>36</v>
      </c>
      <c r="K84" s="410">
        <f t="shared" si="8"/>
        <v>67.5</v>
      </c>
      <c r="L84" t="str">
        <f t="shared" si="9"/>
        <v>B</v>
      </c>
      <c r="M84" t="str">
        <f t="shared" si="10"/>
        <v>Passed</v>
      </c>
      <c r="N84" t="s">
        <v>25</v>
      </c>
      <c r="O84">
        <f>COUNTIF(M81:M134,"failed")</f>
        <v>2</v>
      </c>
    </row>
    <row r="85" spans="1:22" ht="15.6" x14ac:dyDescent="0.3">
      <c r="A85" s="12">
        <f t="shared" si="11"/>
        <v>5</v>
      </c>
      <c r="B85" s="4" t="s">
        <v>156</v>
      </c>
      <c r="C85" s="4" t="s">
        <v>104</v>
      </c>
      <c r="D85" s="12" t="s">
        <v>706</v>
      </c>
      <c r="E85" s="12">
        <v>10</v>
      </c>
      <c r="F85" s="12">
        <v>24</v>
      </c>
      <c r="G85" s="317">
        <f t="shared" si="7"/>
        <v>34</v>
      </c>
      <c r="H85" s="12"/>
      <c r="I85" s="12"/>
      <c r="J85" s="12">
        <v>30</v>
      </c>
      <c r="K85" s="317">
        <f t="shared" si="8"/>
        <v>64</v>
      </c>
      <c r="L85" t="str">
        <f t="shared" si="9"/>
        <v>B</v>
      </c>
      <c r="M85" t="str">
        <f t="shared" si="10"/>
        <v>Passed</v>
      </c>
      <c r="N85" t="s">
        <v>26</v>
      </c>
      <c r="O85">
        <f>O84/O80%</f>
        <v>4.166666666666667</v>
      </c>
    </row>
    <row r="86" spans="1:22" ht="15.6" x14ac:dyDescent="0.3">
      <c r="A86" s="12">
        <f t="shared" si="11"/>
        <v>6</v>
      </c>
      <c r="B86" s="4" t="s">
        <v>160</v>
      </c>
      <c r="C86" s="4" t="s">
        <v>109</v>
      </c>
      <c r="D86" s="12" t="s">
        <v>694</v>
      </c>
      <c r="E86" s="12">
        <v>10</v>
      </c>
      <c r="F86" s="12">
        <v>22</v>
      </c>
      <c r="G86" s="317">
        <f t="shared" si="7"/>
        <v>32</v>
      </c>
      <c r="H86" s="12"/>
      <c r="I86" s="12"/>
      <c r="J86" s="12">
        <v>51</v>
      </c>
      <c r="K86" s="317">
        <f t="shared" si="8"/>
        <v>83</v>
      </c>
      <c r="L86" t="str">
        <f t="shared" si="9"/>
        <v>A</v>
      </c>
      <c r="M86" t="str">
        <f t="shared" si="10"/>
        <v>Passed</v>
      </c>
      <c r="N86" t="s">
        <v>27</v>
      </c>
      <c r="O86" s="179">
        <f>AVERAGE(K81:K134)</f>
        <v>68.041666666666671</v>
      </c>
    </row>
    <row r="87" spans="1:22" ht="15.6" x14ac:dyDescent="0.3">
      <c r="A87" s="12">
        <f t="shared" si="11"/>
        <v>7</v>
      </c>
      <c r="B87" s="4" t="s">
        <v>207</v>
      </c>
      <c r="C87" s="4" t="s">
        <v>110</v>
      </c>
      <c r="D87" s="12" t="s">
        <v>680</v>
      </c>
      <c r="E87" s="12"/>
      <c r="F87" s="12"/>
      <c r="G87" s="317"/>
      <c r="H87" s="12"/>
      <c r="I87" s="12"/>
      <c r="J87" s="12"/>
      <c r="K87" s="317"/>
    </row>
    <row r="88" spans="1:22" ht="15.6" x14ac:dyDescent="0.3">
      <c r="A88" s="12">
        <f t="shared" si="11"/>
        <v>8</v>
      </c>
      <c r="B88" s="4" t="s">
        <v>163</v>
      </c>
      <c r="C88" s="4" t="s">
        <v>113</v>
      </c>
      <c r="D88" s="12" t="s">
        <v>714</v>
      </c>
      <c r="E88" s="12">
        <v>10</v>
      </c>
      <c r="F88" s="12">
        <v>23</v>
      </c>
      <c r="G88" s="317">
        <f t="shared" si="7"/>
        <v>33</v>
      </c>
      <c r="H88" s="12"/>
      <c r="I88" s="12"/>
      <c r="J88" s="12">
        <v>23</v>
      </c>
      <c r="K88" s="317">
        <f t="shared" si="8"/>
        <v>56</v>
      </c>
      <c r="L88" t="str">
        <f>IF(K88&gt;=80,"A",IF(K88&gt;=70,"B+",IF(K88&gt;=60,"B",IF(K88&gt;=55,"C+",IF(K88&gt;=50,"C",IF(K88&gt;=45,"D+",IF(K88&gt;=40,"D","F")))))))</f>
        <v>C+</v>
      </c>
      <c r="M88" t="str">
        <f>IF(K88&gt;=50,"Passed","Failed")</f>
        <v>Passed</v>
      </c>
    </row>
    <row r="89" spans="1:22" ht="15.6" x14ac:dyDescent="0.3">
      <c r="A89" s="12">
        <f t="shared" si="11"/>
        <v>9</v>
      </c>
      <c r="B89" s="4" t="s">
        <v>480</v>
      </c>
      <c r="C89" s="4" t="s">
        <v>115</v>
      </c>
      <c r="D89" s="12" t="s">
        <v>720</v>
      </c>
      <c r="E89" s="12">
        <v>9</v>
      </c>
      <c r="F89" s="12">
        <v>21</v>
      </c>
      <c r="G89" s="317">
        <f t="shared" si="7"/>
        <v>30</v>
      </c>
      <c r="H89" s="12"/>
      <c r="I89" s="12"/>
      <c r="J89" s="12">
        <v>50</v>
      </c>
      <c r="K89" s="317">
        <f t="shared" si="8"/>
        <v>80</v>
      </c>
      <c r="L89" t="str">
        <f>IF(K89&gt;=80,"A",IF(K89&gt;=70,"B+",IF(K89&gt;=60,"B",IF(K89&gt;=55,"C+",IF(K89&gt;=50,"C",IF(K89&gt;=45,"D+",IF(K89&gt;=40,"D","F")))))))</f>
        <v>A</v>
      </c>
      <c r="M89" t="str">
        <f>IF(K89&gt;=50,"Passed","Failed")</f>
        <v>Passed</v>
      </c>
    </row>
    <row r="90" spans="1:22" ht="15.6" x14ac:dyDescent="0.3">
      <c r="A90" s="12">
        <f t="shared" si="11"/>
        <v>10</v>
      </c>
      <c r="B90" s="4" t="s">
        <v>200</v>
      </c>
      <c r="C90" s="4" t="s">
        <v>119</v>
      </c>
      <c r="D90" s="12" t="s">
        <v>681</v>
      </c>
      <c r="E90" s="12">
        <v>8</v>
      </c>
      <c r="F90" s="12">
        <v>17</v>
      </c>
      <c r="G90" s="317">
        <f t="shared" si="7"/>
        <v>25</v>
      </c>
      <c r="H90" s="12"/>
      <c r="I90" s="12"/>
      <c r="J90" s="12">
        <v>26</v>
      </c>
      <c r="K90" s="317">
        <f t="shared" si="8"/>
        <v>51</v>
      </c>
      <c r="L90" t="str">
        <f t="shared" si="9"/>
        <v>C</v>
      </c>
      <c r="M90" t="str">
        <f t="shared" si="10"/>
        <v>Passed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 t="s">
        <v>33</v>
      </c>
      <c r="U90" t="s">
        <v>34</v>
      </c>
      <c r="V90" t="s">
        <v>35</v>
      </c>
    </row>
    <row r="91" spans="1:22" ht="15.6" x14ac:dyDescent="0.3">
      <c r="A91" s="12">
        <f t="shared" si="11"/>
        <v>11</v>
      </c>
      <c r="B91" s="4" t="s">
        <v>205</v>
      </c>
      <c r="C91" s="4" t="s">
        <v>120</v>
      </c>
      <c r="D91" s="12" t="s">
        <v>680</v>
      </c>
      <c r="E91" s="12"/>
      <c r="F91" s="12"/>
      <c r="G91" s="317"/>
      <c r="H91" s="12"/>
      <c r="I91" s="12"/>
      <c r="J91" s="12"/>
      <c r="K91" s="317"/>
      <c r="O91">
        <f>COUNTIF(L81:L134,"A")</f>
        <v>7</v>
      </c>
      <c r="P91">
        <f>COUNTIF(L81:L134,"B+")</f>
        <v>13</v>
      </c>
      <c r="Q91">
        <f>COUNTIF(L81:L134,"B")</f>
        <v>19</v>
      </c>
      <c r="R91">
        <f>COUNTIF(L81:L134,"C+")</f>
        <v>5</v>
      </c>
      <c r="S91">
        <f>COUNTIF(L81:L134,"C")</f>
        <v>2</v>
      </c>
      <c r="T91">
        <f>COUNTIF(L81:L134,"D+")</f>
        <v>1</v>
      </c>
      <c r="U91">
        <f>COUNTIF(L81:L134,"D")</f>
        <v>1</v>
      </c>
      <c r="V91">
        <f>COUNTIF(L81:L134,"F")</f>
        <v>0</v>
      </c>
    </row>
    <row r="92" spans="1:22" ht="15.6" x14ac:dyDescent="0.3">
      <c r="A92" s="12">
        <f t="shared" si="11"/>
        <v>12</v>
      </c>
      <c r="B92" s="4" t="s">
        <v>168</v>
      </c>
      <c r="C92" s="4" t="s">
        <v>121</v>
      </c>
      <c r="D92" s="12" t="s">
        <v>688</v>
      </c>
      <c r="E92" s="12">
        <v>8</v>
      </c>
      <c r="F92" s="12">
        <v>21</v>
      </c>
      <c r="G92" s="317">
        <f t="shared" si="7"/>
        <v>29</v>
      </c>
      <c r="H92" s="12"/>
      <c r="I92" s="12"/>
      <c r="J92" s="12">
        <v>35</v>
      </c>
      <c r="K92" s="317">
        <f t="shared" si="8"/>
        <v>64</v>
      </c>
      <c r="L92" t="str">
        <f t="shared" si="9"/>
        <v>B</v>
      </c>
      <c r="M92" t="str">
        <f t="shared" si="10"/>
        <v>Passed</v>
      </c>
    </row>
    <row r="93" spans="1:22" ht="15.6" x14ac:dyDescent="0.3">
      <c r="A93" s="12">
        <f t="shared" si="11"/>
        <v>13</v>
      </c>
      <c r="B93" s="4" t="s">
        <v>170</v>
      </c>
      <c r="C93" s="4" t="s">
        <v>124</v>
      </c>
      <c r="D93" s="12" t="s">
        <v>685</v>
      </c>
      <c r="E93" s="12">
        <v>9</v>
      </c>
      <c r="F93" s="12">
        <v>21</v>
      </c>
      <c r="G93" s="317">
        <f t="shared" si="7"/>
        <v>30</v>
      </c>
      <c r="H93" s="12"/>
      <c r="I93" s="12"/>
      <c r="J93" s="12">
        <v>45</v>
      </c>
      <c r="K93" s="317">
        <f t="shared" si="8"/>
        <v>75</v>
      </c>
      <c r="L93" t="str">
        <f t="shared" si="9"/>
        <v>B+</v>
      </c>
      <c r="M93" t="str">
        <f t="shared" si="10"/>
        <v>Passed</v>
      </c>
    </row>
    <row r="94" spans="1:22" ht="15.6" x14ac:dyDescent="0.3">
      <c r="A94" s="12">
        <f t="shared" si="11"/>
        <v>14</v>
      </c>
      <c r="B94" s="4" t="s">
        <v>172</v>
      </c>
      <c r="C94" s="4" t="s">
        <v>126</v>
      </c>
      <c r="D94" s="12" t="s">
        <v>710</v>
      </c>
      <c r="E94" s="12">
        <v>10</v>
      </c>
      <c r="F94" s="12">
        <v>9</v>
      </c>
      <c r="G94" s="317">
        <f t="shared" si="7"/>
        <v>19</v>
      </c>
      <c r="H94" s="12"/>
      <c r="I94" s="12"/>
      <c r="J94" s="12">
        <v>28</v>
      </c>
      <c r="K94" s="317">
        <f t="shared" si="8"/>
        <v>47</v>
      </c>
      <c r="L94" t="str">
        <f t="shared" si="9"/>
        <v>D+</v>
      </c>
      <c r="M94" t="str">
        <f t="shared" si="10"/>
        <v>Failed</v>
      </c>
    </row>
    <row r="95" spans="1:22" ht="15.6" x14ac:dyDescent="0.3">
      <c r="A95" s="12">
        <f t="shared" si="11"/>
        <v>15</v>
      </c>
      <c r="B95" s="4" t="s">
        <v>173</v>
      </c>
      <c r="C95" s="4" t="s">
        <v>127</v>
      </c>
      <c r="D95" s="12" t="s">
        <v>721</v>
      </c>
      <c r="E95" s="12">
        <v>9</v>
      </c>
      <c r="F95" s="12">
        <v>24</v>
      </c>
      <c r="G95" s="317">
        <f t="shared" si="7"/>
        <v>33</v>
      </c>
      <c r="H95" s="12"/>
      <c r="I95" s="12"/>
      <c r="J95" s="12">
        <v>43</v>
      </c>
      <c r="K95" s="317">
        <f t="shared" si="8"/>
        <v>76</v>
      </c>
      <c r="L95" t="str">
        <f t="shared" si="9"/>
        <v>B+</v>
      </c>
      <c r="M95" t="str">
        <f t="shared" si="10"/>
        <v>Passed</v>
      </c>
    </row>
    <row r="96" spans="1:22" ht="15.6" x14ac:dyDescent="0.3">
      <c r="A96" s="12">
        <f t="shared" si="11"/>
        <v>16</v>
      </c>
      <c r="B96" s="4" t="s">
        <v>175</v>
      </c>
      <c r="C96" s="4" t="s">
        <v>131</v>
      </c>
      <c r="D96" s="12" t="s">
        <v>696</v>
      </c>
      <c r="E96" s="12">
        <v>10</v>
      </c>
      <c r="F96" s="12">
        <v>22</v>
      </c>
      <c r="G96" s="317">
        <f t="shared" si="7"/>
        <v>32</v>
      </c>
      <c r="H96" s="12"/>
      <c r="I96" s="12"/>
      <c r="J96" s="12">
        <v>32</v>
      </c>
      <c r="K96" s="317">
        <f t="shared" si="8"/>
        <v>64</v>
      </c>
      <c r="L96" t="str">
        <f t="shared" si="9"/>
        <v>B</v>
      </c>
      <c r="M96" t="str">
        <f t="shared" si="10"/>
        <v>Passed</v>
      </c>
    </row>
    <row r="97" spans="1:13" ht="15.6" x14ac:dyDescent="0.3">
      <c r="A97" s="12">
        <f t="shared" si="11"/>
        <v>17</v>
      </c>
      <c r="B97" s="393" t="s">
        <v>178</v>
      </c>
      <c r="C97" s="4" t="s">
        <v>133</v>
      </c>
      <c r="D97" s="12" t="s">
        <v>687</v>
      </c>
      <c r="E97" s="12">
        <v>10</v>
      </c>
      <c r="F97" s="12">
        <v>24</v>
      </c>
      <c r="G97" s="317">
        <f t="shared" si="7"/>
        <v>34</v>
      </c>
      <c r="H97" s="12"/>
      <c r="I97" s="12"/>
      <c r="J97" s="12">
        <v>38</v>
      </c>
      <c r="K97" s="317">
        <f t="shared" si="8"/>
        <v>72</v>
      </c>
      <c r="L97" t="str">
        <f t="shared" si="9"/>
        <v>B+</v>
      </c>
      <c r="M97" t="str">
        <f t="shared" si="10"/>
        <v>Passed</v>
      </c>
    </row>
    <row r="98" spans="1:13" ht="15.6" x14ac:dyDescent="0.3">
      <c r="A98" s="12">
        <f t="shared" si="11"/>
        <v>18</v>
      </c>
      <c r="B98" s="4" t="s">
        <v>534</v>
      </c>
      <c r="C98" s="307" t="s">
        <v>363</v>
      </c>
      <c r="D98" s="12" t="s">
        <v>726</v>
      </c>
      <c r="E98" s="12">
        <v>7.5</v>
      </c>
      <c r="F98" s="12">
        <v>24</v>
      </c>
      <c r="G98" s="317">
        <f t="shared" si="7"/>
        <v>31.5</v>
      </c>
      <c r="H98" s="12"/>
      <c r="I98" s="12"/>
      <c r="J98" s="12">
        <v>29</v>
      </c>
      <c r="K98" s="410">
        <f t="shared" si="8"/>
        <v>60.5</v>
      </c>
      <c r="L98" t="str">
        <f t="shared" si="9"/>
        <v>B</v>
      </c>
      <c r="M98" t="str">
        <f t="shared" si="10"/>
        <v>Passed</v>
      </c>
    </row>
    <row r="99" spans="1:13" ht="15.6" x14ac:dyDescent="0.3">
      <c r="A99" s="12">
        <f t="shared" si="11"/>
        <v>19</v>
      </c>
      <c r="B99" s="394" t="s">
        <v>144</v>
      </c>
      <c r="C99" s="395" t="s">
        <v>137</v>
      </c>
      <c r="D99" s="12" t="s">
        <v>727</v>
      </c>
      <c r="E99" s="12">
        <v>7.5</v>
      </c>
      <c r="F99" s="12">
        <v>22</v>
      </c>
      <c r="G99" s="317">
        <f t="shared" si="7"/>
        <v>29.5</v>
      </c>
      <c r="H99" s="12"/>
      <c r="I99" s="12"/>
      <c r="J99" s="12">
        <v>34</v>
      </c>
      <c r="K99" s="317">
        <f t="shared" si="8"/>
        <v>63.5</v>
      </c>
      <c r="L99" t="str">
        <f t="shared" si="9"/>
        <v>B</v>
      </c>
      <c r="M99" t="str">
        <f t="shared" si="10"/>
        <v>Passed</v>
      </c>
    </row>
    <row r="100" spans="1:13" ht="15.6" x14ac:dyDescent="0.3">
      <c r="A100" s="12">
        <f t="shared" si="11"/>
        <v>20</v>
      </c>
      <c r="B100" s="396" t="s">
        <v>204</v>
      </c>
      <c r="C100" s="396" t="s">
        <v>138</v>
      </c>
      <c r="D100" s="12" t="s">
        <v>684</v>
      </c>
      <c r="E100" s="12">
        <v>10</v>
      </c>
      <c r="F100" s="12">
        <v>20</v>
      </c>
      <c r="G100" s="317">
        <f t="shared" si="7"/>
        <v>30</v>
      </c>
      <c r="H100" s="12"/>
      <c r="I100" s="12"/>
      <c r="J100" s="12">
        <v>33</v>
      </c>
      <c r="K100" s="317">
        <f t="shared" si="8"/>
        <v>63</v>
      </c>
      <c r="L100" t="str">
        <f t="shared" si="9"/>
        <v>B</v>
      </c>
      <c r="M100" t="str">
        <f t="shared" si="10"/>
        <v>Passed</v>
      </c>
    </row>
    <row r="101" spans="1:13" ht="15.6" x14ac:dyDescent="0.3">
      <c r="A101" s="12">
        <f t="shared" si="11"/>
        <v>21</v>
      </c>
      <c r="B101" s="397" t="s">
        <v>181</v>
      </c>
      <c r="C101" s="4" t="s">
        <v>139</v>
      </c>
      <c r="D101" s="12" t="s">
        <v>682</v>
      </c>
      <c r="E101" s="12">
        <v>10</v>
      </c>
      <c r="F101" s="12">
        <v>21</v>
      </c>
      <c r="G101" s="317">
        <f t="shared" si="7"/>
        <v>31</v>
      </c>
      <c r="H101" s="12"/>
      <c r="I101" s="12"/>
      <c r="J101" s="12">
        <v>35</v>
      </c>
      <c r="K101" s="317">
        <f t="shared" si="8"/>
        <v>66</v>
      </c>
      <c r="L101" t="str">
        <f t="shared" si="9"/>
        <v>B</v>
      </c>
      <c r="M101" t="str">
        <f t="shared" si="10"/>
        <v>Passed</v>
      </c>
    </row>
    <row r="102" spans="1:13" ht="15.6" x14ac:dyDescent="0.3">
      <c r="A102" s="12">
        <f t="shared" si="11"/>
        <v>22</v>
      </c>
      <c r="B102" s="398" t="s">
        <v>201</v>
      </c>
      <c r="C102" s="4" t="s">
        <v>141</v>
      </c>
      <c r="D102" s="12" t="s">
        <v>708</v>
      </c>
      <c r="E102" s="12">
        <v>8</v>
      </c>
      <c r="F102" s="12">
        <v>23</v>
      </c>
      <c r="G102" s="317">
        <f t="shared" si="7"/>
        <v>31</v>
      </c>
      <c r="H102" s="12"/>
      <c r="I102" s="12"/>
      <c r="J102" s="12">
        <v>43</v>
      </c>
      <c r="K102" s="317">
        <f t="shared" si="8"/>
        <v>74</v>
      </c>
      <c r="L102" t="str">
        <f t="shared" si="9"/>
        <v>B+</v>
      </c>
      <c r="M102" t="str">
        <f t="shared" si="10"/>
        <v>Passed</v>
      </c>
    </row>
    <row r="103" spans="1:13" ht="15.6" x14ac:dyDescent="0.3">
      <c r="A103" s="12">
        <f t="shared" si="11"/>
        <v>23</v>
      </c>
      <c r="B103" s="4" t="s">
        <v>176</v>
      </c>
      <c r="C103" s="4" t="s">
        <v>481</v>
      </c>
      <c r="D103" s="12" t="s">
        <v>700</v>
      </c>
      <c r="E103" s="12">
        <v>10</v>
      </c>
      <c r="F103" s="12">
        <v>20</v>
      </c>
      <c r="G103" s="317">
        <f t="shared" si="7"/>
        <v>30</v>
      </c>
      <c r="H103" s="12"/>
      <c r="I103" s="12"/>
      <c r="J103" s="12">
        <v>29</v>
      </c>
      <c r="K103" s="317">
        <f t="shared" si="8"/>
        <v>59</v>
      </c>
      <c r="L103" t="str">
        <f t="shared" si="9"/>
        <v>C+</v>
      </c>
      <c r="M103" t="str">
        <f t="shared" si="10"/>
        <v>Passed</v>
      </c>
    </row>
    <row r="104" spans="1:13" x14ac:dyDescent="0.3">
      <c r="A104" s="12">
        <f t="shared" si="11"/>
        <v>24</v>
      </c>
      <c r="B104" s="12" t="s">
        <v>148</v>
      </c>
      <c r="C104" s="12" t="s">
        <v>96</v>
      </c>
      <c r="D104" s="12" t="s">
        <v>689</v>
      </c>
      <c r="E104" s="12">
        <v>10</v>
      </c>
      <c r="F104" s="12">
        <v>16</v>
      </c>
      <c r="G104" s="317">
        <f t="shared" si="7"/>
        <v>26</v>
      </c>
      <c r="H104" s="12"/>
      <c r="I104" s="12"/>
      <c r="J104" s="12">
        <v>18</v>
      </c>
      <c r="K104" s="317">
        <f t="shared" si="8"/>
        <v>44</v>
      </c>
      <c r="L104" t="str">
        <f t="shared" si="9"/>
        <v>D</v>
      </c>
      <c r="M104" t="str">
        <f t="shared" si="10"/>
        <v>Failed</v>
      </c>
    </row>
    <row r="105" spans="1:13" x14ac:dyDescent="0.3">
      <c r="A105" s="12">
        <f t="shared" si="11"/>
        <v>25</v>
      </c>
      <c r="B105" s="12" t="s">
        <v>153</v>
      </c>
      <c r="C105" s="12" t="s">
        <v>101</v>
      </c>
      <c r="D105" s="12" t="s">
        <v>724</v>
      </c>
      <c r="E105" s="12">
        <v>7.5</v>
      </c>
      <c r="F105" s="12">
        <v>24</v>
      </c>
      <c r="G105" s="317">
        <f t="shared" si="7"/>
        <v>31.5</v>
      </c>
      <c r="H105" s="12"/>
      <c r="I105" s="12"/>
      <c r="J105" s="12">
        <v>37</v>
      </c>
      <c r="K105" s="317">
        <f t="shared" si="8"/>
        <v>68.5</v>
      </c>
      <c r="L105" t="str">
        <f t="shared" si="9"/>
        <v>B</v>
      </c>
      <c r="M105" t="str">
        <f t="shared" si="10"/>
        <v>Passed</v>
      </c>
    </row>
    <row r="106" spans="1:13" x14ac:dyDescent="0.3">
      <c r="A106" s="12">
        <f t="shared" si="11"/>
        <v>26</v>
      </c>
      <c r="B106" s="12" t="s">
        <v>154</v>
      </c>
      <c r="C106" s="12" t="s">
        <v>102</v>
      </c>
      <c r="D106" s="12" t="s">
        <v>690</v>
      </c>
      <c r="E106" s="12">
        <v>7.5</v>
      </c>
      <c r="F106" s="12">
        <v>20</v>
      </c>
      <c r="G106" s="317">
        <f t="shared" si="7"/>
        <v>27.5</v>
      </c>
      <c r="H106" s="12"/>
      <c r="I106" s="12"/>
      <c r="J106" s="12">
        <v>36</v>
      </c>
      <c r="K106" s="317">
        <f t="shared" si="8"/>
        <v>63.5</v>
      </c>
      <c r="L106" t="str">
        <f t="shared" si="9"/>
        <v>B</v>
      </c>
      <c r="M106" t="str">
        <f t="shared" si="10"/>
        <v>Passed</v>
      </c>
    </row>
    <row r="107" spans="1:13" x14ac:dyDescent="0.3">
      <c r="A107" s="12">
        <f t="shared" si="11"/>
        <v>27</v>
      </c>
      <c r="B107" s="12" t="s">
        <v>162</v>
      </c>
      <c r="C107" s="12" t="s">
        <v>112</v>
      </c>
      <c r="D107" s="12" t="s">
        <v>705</v>
      </c>
      <c r="E107" s="12">
        <v>8</v>
      </c>
      <c r="F107" s="12">
        <v>23</v>
      </c>
      <c r="G107" s="317">
        <f t="shared" si="7"/>
        <v>31</v>
      </c>
      <c r="H107" s="12"/>
      <c r="I107" s="12"/>
      <c r="J107" s="12">
        <v>39</v>
      </c>
      <c r="K107" s="317">
        <f t="shared" si="8"/>
        <v>70</v>
      </c>
      <c r="L107" t="str">
        <f t="shared" si="9"/>
        <v>B+</v>
      </c>
      <c r="M107" t="str">
        <f t="shared" si="10"/>
        <v>Passed</v>
      </c>
    </row>
    <row r="108" spans="1:13" x14ac:dyDescent="0.3">
      <c r="A108" s="12">
        <f t="shared" si="11"/>
        <v>28</v>
      </c>
      <c r="B108" s="12" t="s">
        <v>164</v>
      </c>
      <c r="C108" s="12" t="s">
        <v>114</v>
      </c>
      <c r="D108" s="12" t="s">
        <v>716</v>
      </c>
      <c r="E108" s="12">
        <v>10</v>
      </c>
      <c r="F108" s="12">
        <v>19</v>
      </c>
      <c r="G108" s="317">
        <f t="shared" si="7"/>
        <v>29</v>
      </c>
      <c r="H108" s="12"/>
      <c r="I108" s="12"/>
      <c r="J108" s="12">
        <v>31</v>
      </c>
      <c r="K108" s="317">
        <f t="shared" si="8"/>
        <v>60</v>
      </c>
      <c r="L108" t="str">
        <f t="shared" ref="L108:L134" si="12">IF(K108&gt;=80,"A",IF(K108&gt;=70,"B+",IF(K108&gt;=60,"B",IF(K108&gt;=55,"C+",IF(K108&gt;=50,"C",IF(K108&gt;=45,"D+",IF(K108&gt;=40,"D","F")))))))</f>
        <v>B</v>
      </c>
      <c r="M108" t="str">
        <f t="shared" ref="M108:M134" si="13">IF(K108&gt;=50,"Passed","Failed")</f>
        <v>Passed</v>
      </c>
    </row>
    <row r="109" spans="1:13" x14ac:dyDescent="0.3">
      <c r="A109" s="12">
        <f t="shared" si="11"/>
        <v>29</v>
      </c>
      <c r="B109" s="60" t="s">
        <v>165</v>
      </c>
      <c r="C109" s="12" t="s">
        <v>116</v>
      </c>
      <c r="D109" s="12" t="s">
        <v>695</v>
      </c>
      <c r="E109" s="12">
        <v>10</v>
      </c>
      <c r="F109" s="12">
        <v>26</v>
      </c>
      <c r="G109" s="317">
        <f t="shared" si="7"/>
        <v>36</v>
      </c>
      <c r="H109" s="12"/>
      <c r="I109" s="12"/>
      <c r="J109" s="12">
        <v>46</v>
      </c>
      <c r="K109" s="317">
        <f t="shared" si="8"/>
        <v>82</v>
      </c>
      <c r="L109" t="str">
        <f t="shared" si="12"/>
        <v>A</v>
      </c>
      <c r="M109" t="str">
        <f t="shared" si="13"/>
        <v>Passed</v>
      </c>
    </row>
    <row r="110" spans="1:13" x14ac:dyDescent="0.3">
      <c r="A110" s="12">
        <f t="shared" si="11"/>
        <v>30</v>
      </c>
      <c r="B110" s="12" t="s">
        <v>206</v>
      </c>
      <c r="C110" s="12" t="s">
        <v>123</v>
      </c>
      <c r="D110" s="12" t="s">
        <v>715</v>
      </c>
      <c r="E110" s="12">
        <v>10</v>
      </c>
      <c r="F110" s="12">
        <v>21</v>
      </c>
      <c r="G110" s="317">
        <f t="shared" si="7"/>
        <v>31</v>
      </c>
      <c r="H110" s="12"/>
      <c r="I110" s="12"/>
      <c r="J110" s="12">
        <v>36</v>
      </c>
      <c r="K110" s="317">
        <f t="shared" si="8"/>
        <v>67</v>
      </c>
      <c r="L110" t="str">
        <f t="shared" si="12"/>
        <v>B</v>
      </c>
      <c r="M110" t="str">
        <f t="shared" si="13"/>
        <v>Passed</v>
      </c>
    </row>
    <row r="111" spans="1:13" x14ac:dyDescent="0.3">
      <c r="A111" s="417">
        <f t="shared" si="11"/>
        <v>31</v>
      </c>
      <c r="B111" s="417" t="s">
        <v>202</v>
      </c>
      <c r="C111" s="417" t="s">
        <v>135</v>
      </c>
      <c r="D111" s="417" t="s">
        <v>680</v>
      </c>
      <c r="E111" s="417">
        <v>8</v>
      </c>
      <c r="F111" s="417">
        <v>23</v>
      </c>
      <c r="G111" s="417">
        <f t="shared" si="7"/>
        <v>31</v>
      </c>
      <c r="H111" s="417"/>
      <c r="I111" s="417"/>
      <c r="J111" s="417" t="s">
        <v>1938</v>
      </c>
      <c r="K111" s="417"/>
    </row>
    <row r="112" spans="1:13" x14ac:dyDescent="0.3">
      <c r="A112" s="12">
        <f t="shared" si="11"/>
        <v>32</v>
      </c>
      <c r="B112" s="12" t="s">
        <v>1249</v>
      </c>
      <c r="C112" s="12" t="s">
        <v>422</v>
      </c>
      <c r="D112" s="12" t="s">
        <v>725</v>
      </c>
      <c r="E112" s="12">
        <v>2</v>
      </c>
      <c r="F112" s="12">
        <v>10</v>
      </c>
      <c r="G112" s="317">
        <f t="shared" si="7"/>
        <v>12</v>
      </c>
      <c r="H112" s="12"/>
      <c r="I112" s="12"/>
      <c r="J112" s="12">
        <v>39</v>
      </c>
      <c r="K112" s="317">
        <f t="shared" si="8"/>
        <v>51</v>
      </c>
      <c r="L112" t="str">
        <f t="shared" si="12"/>
        <v>C</v>
      </c>
      <c r="M112" t="str">
        <f t="shared" si="13"/>
        <v>Passed</v>
      </c>
    </row>
    <row r="113" spans="1:13" ht="15.6" x14ac:dyDescent="0.3">
      <c r="A113" s="12">
        <f t="shared" si="11"/>
        <v>33</v>
      </c>
      <c r="B113" s="4" t="s">
        <v>150</v>
      </c>
      <c r="C113" s="4" t="s">
        <v>98</v>
      </c>
      <c r="D113" s="12" t="s">
        <v>683</v>
      </c>
      <c r="E113" s="12">
        <v>9</v>
      </c>
      <c r="F113" s="12">
        <v>20</v>
      </c>
      <c r="G113" s="317">
        <f t="shared" si="7"/>
        <v>29</v>
      </c>
      <c r="H113" s="12"/>
      <c r="I113" s="12"/>
      <c r="J113" s="12">
        <v>34</v>
      </c>
      <c r="K113" s="317">
        <f t="shared" si="8"/>
        <v>63</v>
      </c>
      <c r="L113" t="str">
        <f t="shared" si="12"/>
        <v>B</v>
      </c>
      <c r="M113" t="str">
        <f t="shared" si="13"/>
        <v>Passed</v>
      </c>
    </row>
    <row r="114" spans="1:13" ht="15.6" x14ac:dyDescent="0.3">
      <c r="A114" s="12">
        <f t="shared" si="11"/>
        <v>34</v>
      </c>
      <c r="B114" s="4" t="s">
        <v>151</v>
      </c>
      <c r="C114" s="4" t="s">
        <v>99</v>
      </c>
      <c r="D114" s="12" t="s">
        <v>701</v>
      </c>
      <c r="E114" s="12">
        <v>7.5</v>
      </c>
      <c r="F114" s="12">
        <v>23</v>
      </c>
      <c r="G114" s="317">
        <f t="shared" si="7"/>
        <v>30.5</v>
      </c>
      <c r="H114" s="12"/>
      <c r="I114" s="12"/>
      <c r="J114" s="12">
        <v>45</v>
      </c>
      <c r="K114" s="410">
        <f t="shared" si="8"/>
        <v>75.5</v>
      </c>
      <c r="L114" t="str">
        <f t="shared" si="12"/>
        <v>B+</v>
      </c>
      <c r="M114" t="str">
        <f t="shared" si="13"/>
        <v>Passed</v>
      </c>
    </row>
    <row r="115" spans="1:13" ht="15.6" x14ac:dyDescent="0.3">
      <c r="A115" s="12">
        <f t="shared" si="11"/>
        <v>35</v>
      </c>
      <c r="B115" s="4" t="s">
        <v>157</v>
      </c>
      <c r="C115" s="4" t="s">
        <v>106</v>
      </c>
      <c r="D115" s="12" t="s">
        <v>697</v>
      </c>
      <c r="E115" s="12">
        <v>10</v>
      </c>
      <c r="F115" s="12">
        <v>23</v>
      </c>
      <c r="G115" s="317">
        <f t="shared" si="7"/>
        <v>33</v>
      </c>
      <c r="H115" s="12"/>
      <c r="I115" s="12"/>
      <c r="J115" s="12">
        <v>33</v>
      </c>
      <c r="K115" s="317">
        <f t="shared" si="8"/>
        <v>66</v>
      </c>
      <c r="L115" t="str">
        <f t="shared" si="12"/>
        <v>B</v>
      </c>
      <c r="M115" t="str">
        <f t="shared" si="13"/>
        <v>Passed</v>
      </c>
    </row>
    <row r="116" spans="1:13" ht="15.6" x14ac:dyDescent="0.3">
      <c r="A116" s="12">
        <f t="shared" si="11"/>
        <v>36</v>
      </c>
      <c r="B116" s="4" t="s">
        <v>158</v>
      </c>
      <c r="C116" s="4" t="s">
        <v>107</v>
      </c>
      <c r="D116" s="12" t="s">
        <v>703</v>
      </c>
      <c r="E116" s="12">
        <v>10</v>
      </c>
      <c r="F116" s="12">
        <v>24</v>
      </c>
      <c r="G116" s="317">
        <f t="shared" si="7"/>
        <v>34</v>
      </c>
      <c r="H116" s="12"/>
      <c r="I116" s="12"/>
      <c r="J116" s="12">
        <v>50</v>
      </c>
      <c r="K116" s="317">
        <f t="shared" si="8"/>
        <v>84</v>
      </c>
      <c r="L116" t="str">
        <f t="shared" si="12"/>
        <v>A</v>
      </c>
      <c r="M116" t="str">
        <f t="shared" si="13"/>
        <v>Passed</v>
      </c>
    </row>
    <row r="117" spans="1:13" ht="15.6" x14ac:dyDescent="0.3">
      <c r="A117" s="12">
        <f t="shared" si="11"/>
        <v>37</v>
      </c>
      <c r="B117" s="4" t="s">
        <v>159</v>
      </c>
      <c r="C117" s="4" t="s">
        <v>108</v>
      </c>
      <c r="D117" s="12" t="s">
        <v>702</v>
      </c>
      <c r="E117" s="12">
        <v>10</v>
      </c>
      <c r="F117" s="12">
        <v>23</v>
      </c>
      <c r="G117" s="317">
        <f t="shared" si="7"/>
        <v>33</v>
      </c>
      <c r="H117" s="12"/>
      <c r="I117" s="12"/>
      <c r="J117" s="12">
        <v>36</v>
      </c>
      <c r="K117" s="317">
        <f t="shared" si="8"/>
        <v>69</v>
      </c>
      <c r="L117" t="str">
        <f t="shared" si="12"/>
        <v>B</v>
      </c>
      <c r="M117" t="str">
        <f t="shared" si="13"/>
        <v>Passed</v>
      </c>
    </row>
    <row r="118" spans="1:13" ht="15.6" x14ac:dyDescent="0.3">
      <c r="A118" s="12">
        <f t="shared" si="11"/>
        <v>38</v>
      </c>
      <c r="B118" s="4" t="s">
        <v>167</v>
      </c>
      <c r="C118" s="4" t="s">
        <v>118</v>
      </c>
      <c r="D118" s="12" t="s">
        <v>728</v>
      </c>
      <c r="E118" s="12">
        <v>8</v>
      </c>
      <c r="F118" s="12">
        <v>25</v>
      </c>
      <c r="G118" s="317">
        <f t="shared" si="7"/>
        <v>33</v>
      </c>
      <c r="H118" s="12"/>
      <c r="I118" s="12"/>
      <c r="J118" s="12">
        <v>45</v>
      </c>
      <c r="K118" s="317">
        <f t="shared" si="8"/>
        <v>78</v>
      </c>
      <c r="L118" t="str">
        <f t="shared" si="12"/>
        <v>B+</v>
      </c>
      <c r="M118" t="str">
        <f t="shared" si="13"/>
        <v>Passed</v>
      </c>
    </row>
    <row r="119" spans="1:13" ht="15.6" x14ac:dyDescent="0.3">
      <c r="A119" s="12">
        <f t="shared" si="11"/>
        <v>39</v>
      </c>
      <c r="B119" s="4" t="s">
        <v>171</v>
      </c>
      <c r="C119" s="4" t="s">
        <v>125</v>
      </c>
      <c r="D119" s="12" t="s">
        <v>692</v>
      </c>
      <c r="E119" s="12">
        <v>8</v>
      </c>
      <c r="F119" s="12">
        <v>22</v>
      </c>
      <c r="G119" s="317">
        <f t="shared" si="7"/>
        <v>30</v>
      </c>
      <c r="H119" s="12"/>
      <c r="I119" s="12"/>
      <c r="J119" s="12">
        <v>26</v>
      </c>
      <c r="K119" s="317">
        <f t="shared" si="8"/>
        <v>56</v>
      </c>
      <c r="L119" t="str">
        <f t="shared" si="12"/>
        <v>C+</v>
      </c>
      <c r="M119" t="str">
        <f t="shared" si="13"/>
        <v>Passed</v>
      </c>
    </row>
    <row r="120" spans="1:13" ht="15.6" x14ac:dyDescent="0.3">
      <c r="A120" s="12">
        <f t="shared" si="11"/>
        <v>40</v>
      </c>
      <c r="B120" s="4" t="s">
        <v>174</v>
      </c>
      <c r="C120" s="4" t="s">
        <v>128</v>
      </c>
      <c r="D120" s="12" t="s">
        <v>717</v>
      </c>
      <c r="E120" s="12">
        <v>10</v>
      </c>
      <c r="F120" s="12">
        <v>21</v>
      </c>
      <c r="G120" s="317">
        <f t="shared" si="7"/>
        <v>31</v>
      </c>
      <c r="H120" s="12"/>
      <c r="I120" s="12"/>
      <c r="J120" s="12">
        <v>33</v>
      </c>
      <c r="K120" s="317">
        <f t="shared" si="8"/>
        <v>64</v>
      </c>
      <c r="L120" t="str">
        <f t="shared" si="12"/>
        <v>B</v>
      </c>
      <c r="M120" t="str">
        <f t="shared" si="13"/>
        <v>Passed</v>
      </c>
    </row>
    <row r="121" spans="1:13" ht="15.6" x14ac:dyDescent="0.3">
      <c r="A121" s="12">
        <f t="shared" si="11"/>
        <v>41</v>
      </c>
      <c r="B121" s="4" t="s">
        <v>220</v>
      </c>
      <c r="C121" s="4" t="s">
        <v>130</v>
      </c>
      <c r="D121" s="12" t="s">
        <v>718</v>
      </c>
      <c r="E121" s="12">
        <v>8</v>
      </c>
      <c r="F121" s="12">
        <v>23</v>
      </c>
      <c r="G121" s="317">
        <f t="shared" si="7"/>
        <v>31</v>
      </c>
      <c r="H121" s="12"/>
      <c r="I121" s="12"/>
      <c r="J121" s="12">
        <v>41</v>
      </c>
      <c r="K121" s="317">
        <f t="shared" si="8"/>
        <v>72</v>
      </c>
      <c r="L121" t="str">
        <f t="shared" si="12"/>
        <v>B+</v>
      </c>
      <c r="M121" t="str">
        <f t="shared" si="13"/>
        <v>Passed</v>
      </c>
    </row>
    <row r="122" spans="1:13" ht="15.6" x14ac:dyDescent="0.3">
      <c r="A122" s="12">
        <f t="shared" si="11"/>
        <v>42</v>
      </c>
      <c r="B122" s="4" t="s">
        <v>659</v>
      </c>
      <c r="C122" s="4" t="s">
        <v>117</v>
      </c>
      <c r="D122" s="12" t="s">
        <v>713</v>
      </c>
      <c r="E122" s="12">
        <v>10</v>
      </c>
      <c r="F122" s="12">
        <v>25</v>
      </c>
      <c r="G122" s="317">
        <f t="shared" si="7"/>
        <v>35</v>
      </c>
      <c r="H122" s="12"/>
      <c r="I122" s="12"/>
      <c r="J122" s="12">
        <v>53</v>
      </c>
      <c r="K122" s="317">
        <f t="shared" si="8"/>
        <v>88</v>
      </c>
      <c r="L122" t="str">
        <f t="shared" si="12"/>
        <v>A</v>
      </c>
      <c r="M122" t="str">
        <f t="shared" si="13"/>
        <v>Passed</v>
      </c>
    </row>
    <row r="123" spans="1:13" ht="15.6" x14ac:dyDescent="0.3">
      <c r="A123" s="12">
        <f t="shared" si="11"/>
        <v>43</v>
      </c>
      <c r="B123" s="4" t="s">
        <v>146</v>
      </c>
      <c r="C123" s="4" t="s">
        <v>94</v>
      </c>
      <c r="D123" s="12" t="s">
        <v>711</v>
      </c>
      <c r="E123" s="12">
        <v>10</v>
      </c>
      <c r="F123" s="12">
        <v>22</v>
      </c>
      <c r="G123" s="317">
        <f t="shared" si="7"/>
        <v>32</v>
      </c>
      <c r="H123" s="12"/>
      <c r="I123" s="12"/>
      <c r="J123" s="12">
        <v>46</v>
      </c>
      <c r="K123" s="317">
        <f t="shared" si="8"/>
        <v>78</v>
      </c>
      <c r="L123" t="str">
        <f t="shared" si="12"/>
        <v>B+</v>
      </c>
      <c r="M123" t="str">
        <f t="shared" si="13"/>
        <v>Passed</v>
      </c>
    </row>
    <row r="124" spans="1:13" ht="15.6" x14ac:dyDescent="0.3">
      <c r="A124" s="12">
        <f t="shared" si="11"/>
        <v>44</v>
      </c>
      <c r="B124" s="393" t="s">
        <v>147</v>
      </c>
      <c r="C124" s="4" t="s">
        <v>95</v>
      </c>
      <c r="D124" s="12" t="s">
        <v>707</v>
      </c>
      <c r="E124" s="12">
        <v>10</v>
      </c>
      <c r="F124" s="12">
        <v>23</v>
      </c>
      <c r="G124" s="317">
        <f t="shared" si="7"/>
        <v>33</v>
      </c>
      <c r="H124" s="12"/>
      <c r="I124" s="12"/>
      <c r="J124" s="12">
        <v>44</v>
      </c>
      <c r="K124" s="317">
        <f t="shared" si="8"/>
        <v>77</v>
      </c>
      <c r="L124" t="str">
        <f t="shared" si="12"/>
        <v>B+</v>
      </c>
      <c r="M124" t="str">
        <f t="shared" si="13"/>
        <v>Passed</v>
      </c>
    </row>
    <row r="125" spans="1:13" ht="15.6" x14ac:dyDescent="0.3">
      <c r="A125" s="12">
        <f t="shared" si="11"/>
        <v>45</v>
      </c>
      <c r="B125" s="4" t="s">
        <v>155</v>
      </c>
      <c r="C125" s="4" t="s">
        <v>103</v>
      </c>
      <c r="D125" s="12" t="s">
        <v>704</v>
      </c>
      <c r="E125" s="12">
        <v>8</v>
      </c>
      <c r="F125" s="12">
        <v>22</v>
      </c>
      <c r="G125" s="317">
        <f t="shared" si="7"/>
        <v>30</v>
      </c>
      <c r="H125" s="12"/>
      <c r="I125" s="12"/>
      <c r="J125" s="12">
        <v>46</v>
      </c>
      <c r="K125" s="317">
        <f t="shared" si="8"/>
        <v>76</v>
      </c>
      <c r="L125" t="str">
        <f t="shared" si="12"/>
        <v>B+</v>
      </c>
      <c r="M125" t="str">
        <f t="shared" si="13"/>
        <v>Passed</v>
      </c>
    </row>
    <row r="126" spans="1:13" ht="15.6" x14ac:dyDescent="0.3">
      <c r="A126" s="417">
        <f t="shared" si="11"/>
        <v>46</v>
      </c>
      <c r="B126" s="427" t="s">
        <v>182</v>
      </c>
      <c r="C126" s="427" t="s">
        <v>105</v>
      </c>
      <c r="D126" s="417" t="s">
        <v>680</v>
      </c>
      <c r="E126" s="417">
        <v>5</v>
      </c>
      <c r="F126" s="417">
        <v>12</v>
      </c>
      <c r="G126" s="417">
        <f t="shared" si="7"/>
        <v>17</v>
      </c>
      <c r="H126" s="417"/>
      <c r="I126" s="417"/>
      <c r="J126" s="417" t="s">
        <v>1938</v>
      </c>
      <c r="K126" s="417"/>
      <c r="L126" s="14"/>
      <c r="M126" s="14"/>
    </row>
    <row r="127" spans="1:13" ht="15.6" x14ac:dyDescent="0.3">
      <c r="A127" s="12">
        <f t="shared" si="11"/>
        <v>47</v>
      </c>
      <c r="B127" s="4" t="s">
        <v>161</v>
      </c>
      <c r="C127" s="4" t="s">
        <v>111</v>
      </c>
      <c r="D127" s="12" t="s">
        <v>680</v>
      </c>
      <c r="E127" s="12"/>
      <c r="F127" s="12"/>
      <c r="G127" s="317"/>
      <c r="H127" s="12"/>
      <c r="I127" s="12"/>
      <c r="J127" s="12"/>
      <c r="K127" s="317"/>
    </row>
    <row r="128" spans="1:13" ht="15.6" x14ac:dyDescent="0.3">
      <c r="A128" s="12">
        <f t="shared" si="11"/>
        <v>48</v>
      </c>
      <c r="B128" s="4" t="s">
        <v>169</v>
      </c>
      <c r="C128" s="4" t="s">
        <v>122</v>
      </c>
      <c r="D128" s="12" t="s">
        <v>680</v>
      </c>
      <c r="E128" s="12"/>
      <c r="F128" s="12"/>
      <c r="G128" s="317"/>
      <c r="H128" s="12"/>
      <c r="I128" s="12"/>
      <c r="J128" s="12"/>
      <c r="K128" s="317"/>
    </row>
    <row r="129" spans="1:15" ht="15.6" x14ac:dyDescent="0.3">
      <c r="A129" s="12">
        <f t="shared" si="11"/>
        <v>49</v>
      </c>
      <c r="B129" s="4" t="s">
        <v>648</v>
      </c>
      <c r="C129" s="4" t="s">
        <v>129</v>
      </c>
      <c r="D129" s="12" t="s">
        <v>712</v>
      </c>
      <c r="E129" s="12">
        <v>10</v>
      </c>
      <c r="F129" s="12">
        <v>24</v>
      </c>
      <c r="G129" s="317">
        <f t="shared" si="7"/>
        <v>34</v>
      </c>
      <c r="H129" s="12"/>
      <c r="I129" s="12"/>
      <c r="J129" s="12">
        <v>50</v>
      </c>
      <c r="K129" s="317">
        <f t="shared" si="8"/>
        <v>84</v>
      </c>
      <c r="L129" t="str">
        <f t="shared" si="12"/>
        <v>A</v>
      </c>
      <c r="M129" t="str">
        <f t="shared" si="13"/>
        <v>Passed</v>
      </c>
    </row>
    <row r="130" spans="1:15" ht="15.6" x14ac:dyDescent="0.3">
      <c r="A130" s="12">
        <f t="shared" si="11"/>
        <v>50</v>
      </c>
      <c r="B130" s="4" t="s">
        <v>177</v>
      </c>
      <c r="C130" s="4" t="s">
        <v>132</v>
      </c>
      <c r="D130" s="12" t="s">
        <v>691</v>
      </c>
      <c r="E130" s="12">
        <v>10</v>
      </c>
      <c r="F130" s="12">
        <v>24</v>
      </c>
      <c r="G130" s="317">
        <f t="shared" si="7"/>
        <v>34</v>
      </c>
      <c r="H130" s="12"/>
      <c r="I130" s="12"/>
      <c r="J130" s="12">
        <v>33</v>
      </c>
      <c r="K130" s="317">
        <f t="shared" si="8"/>
        <v>67</v>
      </c>
      <c r="L130" t="str">
        <f t="shared" si="12"/>
        <v>B</v>
      </c>
      <c r="M130" t="str">
        <f t="shared" si="13"/>
        <v>Passed</v>
      </c>
    </row>
    <row r="131" spans="1:15" ht="15.6" x14ac:dyDescent="0.3">
      <c r="A131" s="12">
        <f t="shared" si="11"/>
        <v>51</v>
      </c>
      <c r="B131" s="4" t="s">
        <v>179</v>
      </c>
      <c r="C131" s="4" t="s">
        <v>665</v>
      </c>
      <c r="D131" s="12" t="s">
        <v>719</v>
      </c>
      <c r="E131" s="12">
        <v>10</v>
      </c>
      <c r="F131" s="12">
        <v>25</v>
      </c>
      <c r="G131" s="317">
        <f t="shared" si="7"/>
        <v>35</v>
      </c>
      <c r="H131" s="12"/>
      <c r="I131" s="12"/>
      <c r="J131" s="12">
        <v>34</v>
      </c>
      <c r="K131" s="317">
        <f t="shared" si="8"/>
        <v>69</v>
      </c>
      <c r="L131" t="str">
        <f t="shared" si="12"/>
        <v>B</v>
      </c>
      <c r="M131" t="str">
        <f t="shared" si="13"/>
        <v>Passed</v>
      </c>
    </row>
    <row r="132" spans="1:15" ht="15.6" x14ac:dyDescent="0.3">
      <c r="A132" s="12">
        <f t="shared" si="11"/>
        <v>52</v>
      </c>
      <c r="B132" s="4" t="s">
        <v>180</v>
      </c>
      <c r="C132" s="4" t="s">
        <v>136</v>
      </c>
      <c r="D132" s="12" t="s">
        <v>722</v>
      </c>
      <c r="E132" s="12">
        <v>10</v>
      </c>
      <c r="F132" s="12">
        <v>9</v>
      </c>
      <c r="G132" s="317">
        <f t="shared" si="7"/>
        <v>19</v>
      </c>
      <c r="H132" s="12"/>
      <c r="I132" s="12"/>
      <c r="J132" s="12">
        <v>39</v>
      </c>
      <c r="K132" s="317">
        <f t="shared" si="8"/>
        <v>58</v>
      </c>
      <c r="L132" t="str">
        <f t="shared" si="12"/>
        <v>C+</v>
      </c>
      <c r="M132" t="str">
        <f t="shared" si="13"/>
        <v>Passed</v>
      </c>
    </row>
    <row r="133" spans="1:15" ht="15.6" x14ac:dyDescent="0.3">
      <c r="A133" s="12">
        <f t="shared" si="11"/>
        <v>53</v>
      </c>
      <c r="B133" s="4" t="s">
        <v>183</v>
      </c>
      <c r="C133" s="4" t="s">
        <v>140</v>
      </c>
      <c r="D133" s="12" t="s">
        <v>699</v>
      </c>
      <c r="E133" s="12">
        <v>9</v>
      </c>
      <c r="F133" s="12">
        <v>23</v>
      </c>
      <c r="G133" s="317">
        <f t="shared" si="7"/>
        <v>32</v>
      </c>
      <c r="H133" s="12"/>
      <c r="I133" s="12"/>
      <c r="J133" s="12">
        <v>42</v>
      </c>
      <c r="K133" s="317">
        <f t="shared" si="8"/>
        <v>74</v>
      </c>
      <c r="L133" t="str">
        <f t="shared" si="12"/>
        <v>B+</v>
      </c>
      <c r="M133" t="str">
        <f t="shared" si="13"/>
        <v>Passed</v>
      </c>
    </row>
    <row r="134" spans="1:15" ht="15.6" x14ac:dyDescent="0.3">
      <c r="A134" s="12">
        <f t="shared" si="11"/>
        <v>54</v>
      </c>
      <c r="B134" s="4" t="s">
        <v>184</v>
      </c>
      <c r="C134" s="4" t="s">
        <v>142</v>
      </c>
      <c r="D134" s="12" t="s">
        <v>709</v>
      </c>
      <c r="E134" s="12">
        <v>9</v>
      </c>
      <c r="F134" s="12">
        <v>24</v>
      </c>
      <c r="G134" s="317">
        <f t="shared" si="7"/>
        <v>33</v>
      </c>
      <c r="H134" s="12"/>
      <c r="I134" s="12"/>
      <c r="J134" s="12">
        <v>41</v>
      </c>
      <c r="K134" s="317">
        <f t="shared" si="8"/>
        <v>74</v>
      </c>
      <c r="L134" t="str">
        <f t="shared" si="12"/>
        <v>B+</v>
      </c>
      <c r="M134" t="str">
        <f t="shared" si="13"/>
        <v>Passed</v>
      </c>
    </row>
    <row r="135" spans="1:15" x14ac:dyDescent="0.3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</row>
    <row r="136" spans="1:15" x14ac:dyDescent="0.3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</row>
    <row r="138" spans="1:15" x14ac:dyDescent="0.3">
      <c r="A138" s="38" t="s">
        <v>0</v>
      </c>
      <c r="B138" s="39"/>
      <c r="C138" s="39"/>
      <c r="D138" s="39"/>
      <c r="E138" s="39"/>
      <c r="F138" s="39"/>
      <c r="G138" s="39"/>
      <c r="H138" s="70"/>
      <c r="I138" s="70"/>
      <c r="J138" s="39"/>
      <c r="K138" s="39"/>
      <c r="L138" s="39"/>
    </row>
    <row r="139" spans="1:15" x14ac:dyDescent="0.3">
      <c r="A139" s="14" t="s">
        <v>66</v>
      </c>
      <c r="B139" s="14"/>
      <c r="C139" s="14"/>
      <c r="D139" s="14"/>
    </row>
    <row r="140" spans="1:15" x14ac:dyDescent="0.3">
      <c r="A140" s="460" t="s">
        <v>362</v>
      </c>
      <c r="B140" s="461"/>
      <c r="C140" s="461"/>
      <c r="D140" s="2"/>
      <c r="E140" s="2"/>
      <c r="F140" s="2"/>
      <c r="G140" s="2"/>
      <c r="H140" s="2"/>
      <c r="I140" s="2"/>
      <c r="J140" s="2"/>
      <c r="K140" s="2"/>
      <c r="L140" s="1"/>
      <c r="M140" s="16"/>
      <c r="N140" s="16"/>
      <c r="O140" s="13"/>
    </row>
    <row r="141" spans="1:15" x14ac:dyDescent="0.3">
      <c r="A141" s="38" t="s">
        <v>1</v>
      </c>
      <c r="B141" s="462"/>
      <c r="C141" s="462"/>
      <c r="D141" s="38"/>
      <c r="E141" s="39"/>
      <c r="F141" s="39"/>
      <c r="G141" s="39"/>
      <c r="H141" s="70"/>
      <c r="I141" s="70"/>
      <c r="J141" s="39"/>
      <c r="K141" s="39"/>
      <c r="L141" s="39"/>
    </row>
    <row r="142" spans="1:15" x14ac:dyDescent="0.3">
      <c r="A142" s="38" t="s">
        <v>3</v>
      </c>
      <c r="B142" s="462" t="s">
        <v>72</v>
      </c>
      <c r="C142" s="462"/>
      <c r="D142" s="38"/>
      <c r="E142" s="39"/>
      <c r="F142" s="39"/>
      <c r="G142" s="39"/>
      <c r="H142" s="70"/>
      <c r="I142" s="70"/>
      <c r="J142" s="39"/>
      <c r="K142" s="39"/>
      <c r="L142" s="39"/>
    </row>
    <row r="143" spans="1:15" x14ac:dyDescent="0.3">
      <c r="A143" s="38" t="s">
        <v>4</v>
      </c>
      <c r="B143" s="462" t="s">
        <v>1948</v>
      </c>
      <c r="C143" s="462"/>
      <c r="D143" s="38"/>
      <c r="E143" s="39"/>
      <c r="F143" s="39"/>
      <c r="G143" s="39"/>
      <c r="H143" s="70"/>
      <c r="I143" s="70"/>
      <c r="J143" s="39"/>
      <c r="K143" s="39"/>
      <c r="L143" s="39"/>
    </row>
    <row r="144" spans="1:15" x14ac:dyDescent="0.3">
      <c r="A144" s="38" t="s">
        <v>5</v>
      </c>
      <c r="B144" s="463">
        <v>2</v>
      </c>
      <c r="C144" s="463"/>
      <c r="D144" s="38"/>
      <c r="E144" s="39"/>
      <c r="F144" s="39"/>
      <c r="G144" s="39"/>
      <c r="H144" s="70"/>
      <c r="I144" s="70"/>
      <c r="J144" s="39"/>
      <c r="K144" s="39"/>
      <c r="L144" s="39"/>
    </row>
    <row r="145" spans="1:22" x14ac:dyDescent="0.3">
      <c r="A145" s="38" t="s">
        <v>6</v>
      </c>
      <c r="B145" s="462" t="s">
        <v>1935</v>
      </c>
      <c r="C145" s="462"/>
      <c r="D145" s="38"/>
      <c r="E145" s="39"/>
      <c r="F145" s="39"/>
      <c r="G145" s="39"/>
      <c r="H145" s="70"/>
      <c r="I145" s="70"/>
      <c r="J145" s="39"/>
      <c r="K145" s="39"/>
      <c r="L145" s="39"/>
    </row>
    <row r="146" spans="1:22" x14ac:dyDescent="0.3">
      <c r="A146" s="38" t="s">
        <v>68</v>
      </c>
      <c r="B146" s="38"/>
      <c r="C146" s="39"/>
      <c r="D146" s="38"/>
      <c r="E146" s="39"/>
      <c r="F146" s="39"/>
      <c r="G146" s="39"/>
      <c r="H146" s="70"/>
      <c r="I146" s="70"/>
      <c r="J146" s="39"/>
      <c r="K146" s="39"/>
      <c r="L146" s="39"/>
    </row>
    <row r="147" spans="1:22" x14ac:dyDescent="0.3">
      <c r="A147" s="44"/>
      <c r="B147" s="14"/>
      <c r="C147" s="14"/>
      <c r="D147" s="14"/>
      <c r="L147" t="s">
        <v>17</v>
      </c>
      <c r="M147" t="s">
        <v>18</v>
      </c>
      <c r="N147" t="s">
        <v>19</v>
      </c>
    </row>
    <row r="148" spans="1:22" ht="60" x14ac:dyDescent="0.3">
      <c r="A148" s="61" t="s">
        <v>8</v>
      </c>
      <c r="B148" s="42" t="s">
        <v>9</v>
      </c>
      <c r="C148" s="42" t="s">
        <v>10</v>
      </c>
      <c r="D148" s="43" t="s">
        <v>11</v>
      </c>
      <c r="E148" s="43" t="s">
        <v>12</v>
      </c>
      <c r="F148" s="43" t="s">
        <v>13</v>
      </c>
      <c r="G148" s="43" t="s">
        <v>14</v>
      </c>
      <c r="H148" s="43" t="s">
        <v>208</v>
      </c>
      <c r="I148" s="43" t="s">
        <v>209</v>
      </c>
      <c r="J148" s="43" t="s">
        <v>15</v>
      </c>
      <c r="K148" s="43" t="s">
        <v>16</v>
      </c>
      <c r="N148" t="s">
        <v>20</v>
      </c>
      <c r="O148">
        <f>COUNT(G150:G203)</f>
        <v>51</v>
      </c>
    </row>
    <row r="149" spans="1:22" x14ac:dyDescent="0.3">
      <c r="A149" s="45"/>
      <c r="B149" s="45"/>
      <c r="C149" s="42"/>
      <c r="D149" s="42"/>
      <c r="E149" s="42"/>
      <c r="F149" s="42"/>
      <c r="G149" s="42"/>
      <c r="H149" s="42"/>
      <c r="I149" s="42"/>
      <c r="J149" s="12"/>
      <c r="K149" s="12"/>
      <c r="N149" t="s">
        <v>21</v>
      </c>
      <c r="O149">
        <f>COUNT(J150:J203)</f>
        <v>49</v>
      </c>
    </row>
    <row r="150" spans="1:22" x14ac:dyDescent="0.3">
      <c r="A150" s="45">
        <f>ROW(A1)</f>
        <v>1</v>
      </c>
      <c r="B150" s="45" t="s">
        <v>203</v>
      </c>
      <c r="C150" s="45" t="s">
        <v>92</v>
      </c>
      <c r="D150" s="12" t="s">
        <v>1836</v>
      </c>
      <c r="E150" s="45">
        <v>10</v>
      </c>
      <c r="F150" s="45">
        <v>24</v>
      </c>
      <c r="G150" s="45">
        <f>SUM(E150:F150)</f>
        <v>34</v>
      </c>
      <c r="H150" s="45"/>
      <c r="I150" s="45"/>
      <c r="J150" s="45">
        <v>35</v>
      </c>
      <c r="K150" s="45">
        <f>SUM(G150:J150)</f>
        <v>69</v>
      </c>
      <c r="L150" t="str">
        <f t="shared" ref="L150:L176" si="14">IF(K150&gt;=80,"A",IF(K150&gt;=70,"B+",IF(K150&gt;=60,"B",IF(K150&gt;=55,"C+",IF(K150&gt;=50,"C",IF(K150&gt;=45,"D+",IF(K150&gt;=40,"D","F")))))))</f>
        <v>B</v>
      </c>
      <c r="M150" t="str">
        <f t="shared" ref="M150:M176" si="15">IF(K150&gt;=50,"Passed","Failed")</f>
        <v>Passed</v>
      </c>
      <c r="N150" t="s">
        <v>22</v>
      </c>
      <c r="O150">
        <f>O148-O149</f>
        <v>2</v>
      </c>
    </row>
    <row r="151" spans="1:22" x14ac:dyDescent="0.3">
      <c r="A151" s="45">
        <f t="shared" ref="A151:A203" si="16">ROW(A2)</f>
        <v>2</v>
      </c>
      <c r="B151" s="45" t="s">
        <v>145</v>
      </c>
      <c r="C151" s="45" t="s">
        <v>93</v>
      </c>
      <c r="D151" s="12" t="s">
        <v>1823</v>
      </c>
      <c r="E151" s="45">
        <v>9</v>
      </c>
      <c r="F151" s="45">
        <v>24</v>
      </c>
      <c r="G151" s="45">
        <f t="shared" ref="G151:G203" si="17">SUM(E151:F151)</f>
        <v>33</v>
      </c>
      <c r="H151" s="45"/>
      <c r="I151" s="45"/>
      <c r="J151" s="45">
        <v>35</v>
      </c>
      <c r="K151" s="45">
        <f t="shared" ref="K151:K203" si="18">SUM(G151:J151)</f>
        <v>68</v>
      </c>
      <c r="L151" t="str">
        <f t="shared" si="14"/>
        <v>B</v>
      </c>
      <c r="M151" t="str">
        <f t="shared" si="15"/>
        <v>Passed</v>
      </c>
      <c r="N151" t="s">
        <v>23</v>
      </c>
      <c r="O151">
        <f>COUNTIF(M150:M203,"Passed")</f>
        <v>49</v>
      </c>
    </row>
    <row r="152" spans="1:22" x14ac:dyDescent="0.3">
      <c r="A152" s="45">
        <f t="shared" si="16"/>
        <v>3</v>
      </c>
      <c r="B152" s="45" t="s">
        <v>149</v>
      </c>
      <c r="C152" s="45" t="s">
        <v>97</v>
      </c>
      <c r="D152" s="12" t="s">
        <v>1867</v>
      </c>
      <c r="E152" s="45">
        <v>9</v>
      </c>
      <c r="F152" s="45">
        <v>26</v>
      </c>
      <c r="G152" s="45">
        <f t="shared" si="17"/>
        <v>35</v>
      </c>
      <c r="H152" s="45"/>
      <c r="I152" s="45"/>
      <c r="J152" s="45">
        <v>55</v>
      </c>
      <c r="K152" s="45">
        <f t="shared" si="18"/>
        <v>90</v>
      </c>
      <c r="L152" t="str">
        <f t="shared" si="14"/>
        <v>A</v>
      </c>
      <c r="M152" t="str">
        <f t="shared" si="15"/>
        <v>Passed</v>
      </c>
      <c r="N152" t="s">
        <v>24</v>
      </c>
      <c r="O152" s="179">
        <f>O151/O149%</f>
        <v>100</v>
      </c>
    </row>
    <row r="153" spans="1:22" x14ac:dyDescent="0.3">
      <c r="A153" s="45">
        <f t="shared" si="16"/>
        <v>4</v>
      </c>
      <c r="B153" s="45" t="s">
        <v>152</v>
      </c>
      <c r="C153" s="45" t="s">
        <v>100</v>
      </c>
      <c r="D153" s="12" t="s">
        <v>1852</v>
      </c>
      <c r="E153" s="45">
        <v>8</v>
      </c>
      <c r="F153" s="345">
        <v>16.5</v>
      </c>
      <c r="G153" s="45">
        <f t="shared" si="17"/>
        <v>24.5</v>
      </c>
      <c r="H153" s="45"/>
      <c r="I153" s="45"/>
      <c r="J153" s="45">
        <v>35</v>
      </c>
      <c r="K153" s="409">
        <f t="shared" si="18"/>
        <v>59.5</v>
      </c>
      <c r="L153" t="str">
        <f t="shared" si="14"/>
        <v>C+</v>
      </c>
      <c r="M153" t="str">
        <f t="shared" si="15"/>
        <v>Passed</v>
      </c>
      <c r="N153" t="s">
        <v>25</v>
      </c>
      <c r="O153">
        <f>COUNTIF(M150:M203,"failed")</f>
        <v>0</v>
      </c>
    </row>
    <row r="154" spans="1:22" x14ac:dyDescent="0.3">
      <c r="A154" s="45">
        <f t="shared" si="16"/>
        <v>5</v>
      </c>
      <c r="B154" s="45" t="s">
        <v>156</v>
      </c>
      <c r="C154" s="45" t="s">
        <v>104</v>
      </c>
      <c r="D154" s="12" t="s">
        <v>1840</v>
      </c>
      <c r="E154" s="45">
        <v>9</v>
      </c>
      <c r="F154" s="45">
        <v>24</v>
      </c>
      <c r="G154" s="45">
        <f t="shared" si="17"/>
        <v>33</v>
      </c>
      <c r="H154" s="45"/>
      <c r="I154" s="45"/>
      <c r="J154" s="45">
        <v>35</v>
      </c>
      <c r="K154" s="45">
        <f t="shared" si="18"/>
        <v>68</v>
      </c>
      <c r="L154" t="str">
        <f t="shared" si="14"/>
        <v>B</v>
      </c>
      <c r="M154" t="str">
        <f t="shared" si="15"/>
        <v>Passed</v>
      </c>
      <c r="N154" t="s">
        <v>26</v>
      </c>
      <c r="O154" s="179">
        <f>O153/O149%</f>
        <v>0</v>
      </c>
    </row>
    <row r="155" spans="1:22" x14ac:dyDescent="0.3">
      <c r="A155" s="45">
        <f t="shared" si="16"/>
        <v>6</v>
      </c>
      <c r="B155" s="45" t="s">
        <v>160</v>
      </c>
      <c r="C155" s="45" t="s">
        <v>109</v>
      </c>
      <c r="D155" s="12" t="s">
        <v>1865</v>
      </c>
      <c r="E155" s="45">
        <v>9</v>
      </c>
      <c r="F155" s="45">
        <v>26</v>
      </c>
      <c r="G155" s="45">
        <f t="shared" si="17"/>
        <v>35</v>
      </c>
      <c r="H155" s="45"/>
      <c r="I155" s="45"/>
      <c r="J155" s="45">
        <v>55</v>
      </c>
      <c r="K155" s="45">
        <f t="shared" si="18"/>
        <v>90</v>
      </c>
      <c r="L155" t="str">
        <f t="shared" si="14"/>
        <v>A</v>
      </c>
      <c r="M155" t="str">
        <f t="shared" si="15"/>
        <v>Passed</v>
      </c>
      <c r="N155" t="s">
        <v>27</v>
      </c>
      <c r="O155" s="179">
        <f>AVERAGE(K150:K203)</f>
        <v>66.908163265306129</v>
      </c>
    </row>
    <row r="156" spans="1:22" x14ac:dyDescent="0.3">
      <c r="A156" s="45">
        <f t="shared" si="16"/>
        <v>7</v>
      </c>
      <c r="B156" s="45" t="s">
        <v>207</v>
      </c>
      <c r="C156" s="45" t="s">
        <v>110</v>
      </c>
      <c r="D156" s="12" t="s">
        <v>1920</v>
      </c>
      <c r="E156" s="45"/>
      <c r="F156" s="45"/>
      <c r="G156" s="45"/>
      <c r="H156" s="45"/>
      <c r="I156" s="45"/>
      <c r="J156" s="45"/>
      <c r="K156" s="45"/>
    </row>
    <row r="157" spans="1:22" x14ac:dyDescent="0.3">
      <c r="A157" s="45">
        <f t="shared" si="16"/>
        <v>8</v>
      </c>
      <c r="B157" s="45" t="s">
        <v>163</v>
      </c>
      <c r="C157" s="45" t="s">
        <v>113</v>
      </c>
      <c r="D157" s="12" t="s">
        <v>1824</v>
      </c>
      <c r="E157" s="45">
        <v>10</v>
      </c>
      <c r="F157" s="45">
        <v>21</v>
      </c>
      <c r="G157" s="45">
        <f t="shared" si="17"/>
        <v>31</v>
      </c>
      <c r="H157" s="45"/>
      <c r="I157" s="45"/>
      <c r="J157" s="45">
        <v>45</v>
      </c>
      <c r="K157" s="45">
        <f t="shared" si="18"/>
        <v>76</v>
      </c>
      <c r="L157" t="str">
        <f t="shared" si="14"/>
        <v>B+</v>
      </c>
      <c r="M157" t="str">
        <f t="shared" si="15"/>
        <v>Passed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 t="s">
        <v>33</v>
      </c>
      <c r="U157" t="s">
        <v>34</v>
      </c>
      <c r="V157" t="s">
        <v>35</v>
      </c>
    </row>
    <row r="158" spans="1:22" x14ac:dyDescent="0.3">
      <c r="A158" s="45">
        <f t="shared" si="16"/>
        <v>9</v>
      </c>
      <c r="B158" s="45" t="s">
        <v>480</v>
      </c>
      <c r="C158" s="45" t="s">
        <v>115</v>
      </c>
      <c r="D158" s="12" t="s">
        <v>1830</v>
      </c>
      <c r="E158" s="12">
        <v>10</v>
      </c>
      <c r="F158" s="12">
        <v>18</v>
      </c>
      <c r="G158" s="45">
        <f t="shared" si="17"/>
        <v>28</v>
      </c>
      <c r="H158" s="12"/>
      <c r="I158" s="12"/>
      <c r="J158" s="12">
        <v>45</v>
      </c>
      <c r="K158" s="45">
        <f t="shared" si="18"/>
        <v>73</v>
      </c>
      <c r="L158" t="str">
        <f t="shared" si="14"/>
        <v>B+</v>
      </c>
      <c r="M158" t="str">
        <f t="shared" si="15"/>
        <v>Passed</v>
      </c>
      <c r="N158" t="s">
        <v>17</v>
      </c>
      <c r="O158">
        <f>COUNTIF(L150:L203,"A")</f>
        <v>2</v>
      </c>
      <c r="P158">
        <f>COUNTIF(L150:L203,"B+")</f>
        <v>13</v>
      </c>
      <c r="Q158">
        <f>COUNTIF(L150:L203,"B")</f>
        <v>25</v>
      </c>
      <c r="R158">
        <f>COUNTIF(L150:L203,"C+")</f>
        <v>8</v>
      </c>
      <c r="S158">
        <f>COUNTIF(L150:L203,"C")</f>
        <v>1</v>
      </c>
      <c r="T158">
        <f>COUNTIF(L150:L203,"D+")</f>
        <v>0</v>
      </c>
      <c r="U158">
        <f>COUNTIF(L150:L203,"D")</f>
        <v>0</v>
      </c>
      <c r="V158">
        <f>COUNTIF(L150:L203,"F")</f>
        <v>0</v>
      </c>
    </row>
    <row r="159" spans="1:22" x14ac:dyDescent="0.3">
      <c r="A159" s="45">
        <f t="shared" si="16"/>
        <v>10</v>
      </c>
      <c r="B159" s="45" t="s">
        <v>200</v>
      </c>
      <c r="C159" s="45" t="s">
        <v>119</v>
      </c>
      <c r="D159" s="12" t="s">
        <v>1843</v>
      </c>
      <c r="E159" s="12">
        <v>10</v>
      </c>
      <c r="F159" s="12">
        <v>15</v>
      </c>
      <c r="G159" s="45">
        <f t="shared" si="17"/>
        <v>25</v>
      </c>
      <c r="H159" s="12"/>
      <c r="I159" s="12"/>
      <c r="J159" s="12">
        <v>40</v>
      </c>
      <c r="K159" s="45">
        <f t="shared" si="18"/>
        <v>65</v>
      </c>
      <c r="L159" t="str">
        <f t="shared" si="14"/>
        <v>B</v>
      </c>
      <c r="M159" t="str">
        <f t="shared" si="15"/>
        <v>Passed</v>
      </c>
    </row>
    <row r="160" spans="1:22" x14ac:dyDescent="0.3">
      <c r="A160" s="45">
        <f t="shared" si="16"/>
        <v>11</v>
      </c>
      <c r="B160" s="45" t="s">
        <v>205</v>
      </c>
      <c r="C160" s="45" t="s">
        <v>120</v>
      </c>
      <c r="D160" s="12" t="s">
        <v>1920</v>
      </c>
      <c r="E160" s="12"/>
      <c r="F160" s="12"/>
      <c r="G160" s="45"/>
      <c r="H160" s="12"/>
      <c r="I160" s="12"/>
      <c r="J160" s="12"/>
      <c r="K160" s="45"/>
    </row>
    <row r="161" spans="1:13" x14ac:dyDescent="0.3">
      <c r="A161" s="45">
        <f t="shared" si="16"/>
        <v>12</v>
      </c>
      <c r="B161" s="45" t="s">
        <v>168</v>
      </c>
      <c r="C161" s="45" t="s">
        <v>121</v>
      </c>
      <c r="D161" s="12" t="s">
        <v>1832</v>
      </c>
      <c r="E161" s="12">
        <v>8</v>
      </c>
      <c r="F161" s="12">
        <v>21</v>
      </c>
      <c r="G161" s="45">
        <f t="shared" si="17"/>
        <v>29</v>
      </c>
      <c r="H161" s="12"/>
      <c r="I161" s="12"/>
      <c r="J161" s="12">
        <v>30</v>
      </c>
      <c r="K161" s="45">
        <f t="shared" si="18"/>
        <v>59</v>
      </c>
      <c r="L161" t="str">
        <f t="shared" si="14"/>
        <v>C+</v>
      </c>
      <c r="M161" t="str">
        <f t="shared" si="15"/>
        <v>Passed</v>
      </c>
    </row>
    <row r="162" spans="1:13" x14ac:dyDescent="0.3">
      <c r="A162" s="45">
        <f t="shared" si="16"/>
        <v>13</v>
      </c>
      <c r="B162" s="45" t="s">
        <v>170</v>
      </c>
      <c r="C162" s="45" t="s">
        <v>124</v>
      </c>
      <c r="D162" s="12" t="s">
        <v>1859</v>
      </c>
      <c r="E162" s="12">
        <v>9</v>
      </c>
      <c r="F162" s="12">
        <v>24</v>
      </c>
      <c r="G162" s="45">
        <f t="shared" si="17"/>
        <v>33</v>
      </c>
      <c r="H162" s="12"/>
      <c r="I162" s="12"/>
      <c r="J162" s="12">
        <v>30</v>
      </c>
      <c r="K162" s="45">
        <f t="shared" si="18"/>
        <v>63</v>
      </c>
      <c r="L162" t="str">
        <f t="shared" si="14"/>
        <v>B</v>
      </c>
      <c r="M162" t="str">
        <f t="shared" si="15"/>
        <v>Passed</v>
      </c>
    </row>
    <row r="163" spans="1:13" x14ac:dyDescent="0.3">
      <c r="A163" s="45">
        <f t="shared" si="16"/>
        <v>14</v>
      </c>
      <c r="B163" s="45" t="s">
        <v>172</v>
      </c>
      <c r="C163" s="45" t="s">
        <v>126</v>
      </c>
      <c r="D163" s="12" t="s">
        <v>1825</v>
      </c>
      <c r="E163" s="12">
        <v>9</v>
      </c>
      <c r="F163" s="12">
        <v>21</v>
      </c>
      <c r="G163" s="45">
        <f t="shared" si="17"/>
        <v>30</v>
      </c>
      <c r="H163" s="12"/>
      <c r="I163" s="12"/>
      <c r="J163" s="12">
        <v>30</v>
      </c>
      <c r="K163" s="45">
        <f t="shared" si="18"/>
        <v>60</v>
      </c>
      <c r="L163" t="str">
        <f t="shared" si="14"/>
        <v>B</v>
      </c>
      <c r="M163" t="str">
        <f t="shared" si="15"/>
        <v>Passed</v>
      </c>
    </row>
    <row r="164" spans="1:13" x14ac:dyDescent="0.3">
      <c r="A164" s="45">
        <f t="shared" si="16"/>
        <v>15</v>
      </c>
      <c r="B164" s="45" t="s">
        <v>173</v>
      </c>
      <c r="C164" s="45" t="s">
        <v>127</v>
      </c>
      <c r="D164" s="12" t="s">
        <v>1833</v>
      </c>
      <c r="E164" s="12">
        <v>9</v>
      </c>
      <c r="F164" s="12">
        <v>27</v>
      </c>
      <c r="G164" s="45">
        <f t="shared" si="17"/>
        <v>36</v>
      </c>
      <c r="H164" s="12"/>
      <c r="I164" s="12"/>
      <c r="J164" s="12">
        <v>40</v>
      </c>
      <c r="K164" s="45">
        <f t="shared" si="18"/>
        <v>76</v>
      </c>
      <c r="L164" t="str">
        <f t="shared" si="14"/>
        <v>B+</v>
      </c>
      <c r="M164" t="str">
        <f t="shared" si="15"/>
        <v>Passed</v>
      </c>
    </row>
    <row r="165" spans="1:13" x14ac:dyDescent="0.3">
      <c r="A165" s="45">
        <f t="shared" si="16"/>
        <v>16</v>
      </c>
      <c r="B165" s="45" t="s">
        <v>175</v>
      </c>
      <c r="C165" s="45" t="s">
        <v>131</v>
      </c>
      <c r="D165" s="12" t="s">
        <v>1869</v>
      </c>
      <c r="E165" s="12">
        <v>9</v>
      </c>
      <c r="F165" s="12">
        <v>27</v>
      </c>
      <c r="G165" s="45">
        <f t="shared" si="17"/>
        <v>36</v>
      </c>
      <c r="H165" s="12"/>
      <c r="I165" s="12"/>
      <c r="J165" s="12">
        <v>40</v>
      </c>
      <c r="K165" s="45">
        <f t="shared" si="18"/>
        <v>76</v>
      </c>
      <c r="L165" t="str">
        <f t="shared" si="14"/>
        <v>B+</v>
      </c>
      <c r="M165" t="str">
        <f t="shared" si="15"/>
        <v>Passed</v>
      </c>
    </row>
    <row r="166" spans="1:13" x14ac:dyDescent="0.3">
      <c r="A166" s="45">
        <f t="shared" si="16"/>
        <v>17</v>
      </c>
      <c r="B166" s="277" t="s">
        <v>178</v>
      </c>
      <c r="C166" s="45" t="s">
        <v>133</v>
      </c>
      <c r="D166" s="12" t="s">
        <v>1838</v>
      </c>
      <c r="E166" s="12">
        <v>9</v>
      </c>
      <c r="F166" s="12">
        <v>24</v>
      </c>
      <c r="G166" s="45">
        <f t="shared" si="17"/>
        <v>33</v>
      </c>
      <c r="H166" s="12"/>
      <c r="I166" s="12"/>
      <c r="J166" s="12">
        <v>35</v>
      </c>
      <c r="K166" s="45">
        <f t="shared" si="18"/>
        <v>68</v>
      </c>
      <c r="L166" t="str">
        <f t="shared" si="14"/>
        <v>B</v>
      </c>
      <c r="M166" t="str">
        <f t="shared" si="15"/>
        <v>Passed</v>
      </c>
    </row>
    <row r="167" spans="1:13" x14ac:dyDescent="0.3">
      <c r="A167" s="45">
        <f t="shared" si="16"/>
        <v>18</v>
      </c>
      <c r="B167" s="45" t="s">
        <v>534</v>
      </c>
      <c r="C167" s="303" t="s">
        <v>363</v>
      </c>
      <c r="D167" s="12" t="s">
        <v>1831</v>
      </c>
      <c r="E167" s="12">
        <v>7.5</v>
      </c>
      <c r="F167" s="340">
        <v>12.5</v>
      </c>
      <c r="G167" s="345">
        <f t="shared" si="17"/>
        <v>20</v>
      </c>
      <c r="H167" s="12"/>
      <c r="I167" s="12"/>
      <c r="J167" s="12">
        <v>30</v>
      </c>
      <c r="K167" s="409">
        <f t="shared" si="18"/>
        <v>50</v>
      </c>
      <c r="L167" t="str">
        <f t="shared" si="14"/>
        <v>C</v>
      </c>
      <c r="M167" t="str">
        <f t="shared" si="15"/>
        <v>Passed</v>
      </c>
    </row>
    <row r="168" spans="1:13" x14ac:dyDescent="0.3">
      <c r="A168" s="45">
        <f t="shared" si="16"/>
        <v>19</v>
      </c>
      <c r="B168" s="389" t="s">
        <v>144</v>
      </c>
      <c r="C168" s="304" t="s">
        <v>137</v>
      </c>
      <c r="D168" s="12" t="s">
        <v>1858</v>
      </c>
      <c r="E168" s="12">
        <v>9</v>
      </c>
      <c r="F168" s="12">
        <v>24</v>
      </c>
      <c r="G168" s="45">
        <f t="shared" si="17"/>
        <v>33</v>
      </c>
      <c r="H168" s="12"/>
      <c r="I168" s="12"/>
      <c r="J168" s="12">
        <v>30</v>
      </c>
      <c r="K168" s="45">
        <f t="shared" si="18"/>
        <v>63</v>
      </c>
      <c r="L168" t="str">
        <f t="shared" si="14"/>
        <v>B</v>
      </c>
      <c r="M168" t="str">
        <f t="shared" si="15"/>
        <v>Passed</v>
      </c>
    </row>
    <row r="169" spans="1:13" x14ac:dyDescent="0.3">
      <c r="A169" s="45">
        <f t="shared" si="16"/>
        <v>20</v>
      </c>
      <c r="B169" s="390" t="s">
        <v>204</v>
      </c>
      <c r="C169" s="390" t="s">
        <v>138</v>
      </c>
      <c r="D169" s="12" t="s">
        <v>1835</v>
      </c>
      <c r="E169" s="12">
        <v>10</v>
      </c>
      <c r="F169" s="12">
        <v>21</v>
      </c>
      <c r="G169" s="45">
        <f t="shared" si="17"/>
        <v>31</v>
      </c>
      <c r="H169" s="12"/>
      <c r="I169" s="12"/>
      <c r="J169" s="12">
        <v>40</v>
      </c>
      <c r="K169" s="45">
        <f t="shared" si="18"/>
        <v>71</v>
      </c>
      <c r="L169" t="str">
        <f t="shared" si="14"/>
        <v>B+</v>
      </c>
      <c r="M169" t="str">
        <f t="shared" si="15"/>
        <v>Passed</v>
      </c>
    </row>
    <row r="170" spans="1:13" x14ac:dyDescent="0.3">
      <c r="A170" s="45">
        <f t="shared" si="16"/>
        <v>21</v>
      </c>
      <c r="B170" s="305" t="s">
        <v>181</v>
      </c>
      <c r="C170" s="45" t="s">
        <v>139</v>
      </c>
      <c r="D170" s="12" t="s">
        <v>1862</v>
      </c>
      <c r="E170" s="12">
        <v>10</v>
      </c>
      <c r="F170" s="12">
        <v>20</v>
      </c>
      <c r="G170" s="45">
        <f t="shared" si="17"/>
        <v>30</v>
      </c>
      <c r="H170" s="12"/>
      <c r="I170" s="12"/>
      <c r="J170" s="12">
        <v>30</v>
      </c>
      <c r="K170" s="45">
        <f t="shared" si="18"/>
        <v>60</v>
      </c>
      <c r="L170" t="str">
        <f t="shared" si="14"/>
        <v>B</v>
      </c>
      <c r="M170" t="str">
        <f t="shared" si="15"/>
        <v>Passed</v>
      </c>
    </row>
    <row r="171" spans="1:13" x14ac:dyDescent="0.3">
      <c r="A171" s="45">
        <f t="shared" si="16"/>
        <v>22</v>
      </c>
      <c r="B171" s="391" t="s">
        <v>201</v>
      </c>
      <c r="C171" s="45" t="s">
        <v>141</v>
      </c>
      <c r="D171" s="12" t="s">
        <v>1860</v>
      </c>
      <c r="E171" s="12">
        <v>8</v>
      </c>
      <c r="F171" s="12">
        <v>21</v>
      </c>
      <c r="G171" s="45">
        <f t="shared" si="17"/>
        <v>29</v>
      </c>
      <c r="H171" s="12"/>
      <c r="I171" s="12"/>
      <c r="J171" s="12">
        <v>30</v>
      </c>
      <c r="K171" s="45">
        <f t="shared" si="18"/>
        <v>59</v>
      </c>
      <c r="L171" t="str">
        <f t="shared" si="14"/>
        <v>C+</v>
      </c>
      <c r="M171" t="str">
        <f t="shared" si="15"/>
        <v>Passed</v>
      </c>
    </row>
    <row r="172" spans="1:13" x14ac:dyDescent="0.3">
      <c r="A172" s="45">
        <f t="shared" si="16"/>
        <v>23</v>
      </c>
      <c r="B172" s="45" t="s">
        <v>176</v>
      </c>
      <c r="C172" s="45" t="s">
        <v>481</v>
      </c>
      <c r="D172" s="12" t="s">
        <v>1822</v>
      </c>
      <c r="E172" s="12">
        <v>9</v>
      </c>
      <c r="F172" s="12">
        <v>24</v>
      </c>
      <c r="G172" s="45">
        <f t="shared" si="17"/>
        <v>33</v>
      </c>
      <c r="H172" s="12"/>
      <c r="I172" s="12"/>
      <c r="J172" s="12">
        <v>42</v>
      </c>
      <c r="K172" s="45">
        <f t="shared" si="18"/>
        <v>75</v>
      </c>
      <c r="L172" t="str">
        <f t="shared" si="14"/>
        <v>B+</v>
      </c>
      <c r="M172" t="str">
        <f t="shared" si="15"/>
        <v>Passed</v>
      </c>
    </row>
    <row r="173" spans="1:13" x14ac:dyDescent="0.3">
      <c r="A173" s="45">
        <f t="shared" si="16"/>
        <v>24</v>
      </c>
      <c r="B173" s="12" t="s">
        <v>148</v>
      </c>
      <c r="C173" s="12" t="s">
        <v>96</v>
      </c>
      <c r="D173" s="12" t="s">
        <v>1856</v>
      </c>
      <c r="E173" s="12">
        <v>10</v>
      </c>
      <c r="F173" s="12">
        <v>21</v>
      </c>
      <c r="G173" s="45">
        <f t="shared" si="17"/>
        <v>31</v>
      </c>
      <c r="H173" s="12"/>
      <c r="I173" s="12"/>
      <c r="J173" s="12">
        <v>36</v>
      </c>
      <c r="K173" s="45">
        <f t="shared" si="18"/>
        <v>67</v>
      </c>
      <c r="L173" t="str">
        <f t="shared" si="14"/>
        <v>B</v>
      </c>
      <c r="M173" t="str">
        <f t="shared" si="15"/>
        <v>Passed</v>
      </c>
    </row>
    <row r="174" spans="1:13" x14ac:dyDescent="0.3">
      <c r="A174" s="45">
        <f t="shared" si="16"/>
        <v>25</v>
      </c>
      <c r="B174" s="12" t="s">
        <v>153</v>
      </c>
      <c r="C174" s="12" t="s">
        <v>101</v>
      </c>
      <c r="D174" s="12" t="s">
        <v>1864</v>
      </c>
      <c r="E174" s="12">
        <v>7.5</v>
      </c>
      <c r="F174" s="12">
        <v>15</v>
      </c>
      <c r="G174" s="45">
        <f t="shared" si="17"/>
        <v>22.5</v>
      </c>
      <c r="H174" s="12"/>
      <c r="I174" s="12"/>
      <c r="J174" s="12">
        <v>35</v>
      </c>
      <c r="K174" s="409">
        <f t="shared" si="18"/>
        <v>57.5</v>
      </c>
      <c r="L174" t="str">
        <f t="shared" si="14"/>
        <v>C+</v>
      </c>
      <c r="M174" t="str">
        <f t="shared" si="15"/>
        <v>Passed</v>
      </c>
    </row>
    <row r="175" spans="1:13" x14ac:dyDescent="0.3">
      <c r="A175" s="45">
        <f t="shared" si="16"/>
        <v>26</v>
      </c>
      <c r="B175" s="12" t="s">
        <v>154</v>
      </c>
      <c r="C175" s="12" t="s">
        <v>102</v>
      </c>
      <c r="D175" s="12" t="s">
        <v>1861</v>
      </c>
      <c r="E175" s="12">
        <v>8</v>
      </c>
      <c r="F175" s="12">
        <v>24</v>
      </c>
      <c r="G175" s="45">
        <f t="shared" si="17"/>
        <v>32</v>
      </c>
      <c r="H175" s="12"/>
      <c r="I175" s="12"/>
      <c r="J175" s="12">
        <v>30</v>
      </c>
      <c r="K175" s="45">
        <f t="shared" si="18"/>
        <v>62</v>
      </c>
      <c r="L175" t="str">
        <f t="shared" si="14"/>
        <v>B</v>
      </c>
      <c r="M175" t="str">
        <f t="shared" si="15"/>
        <v>Passed</v>
      </c>
    </row>
    <row r="176" spans="1:13" x14ac:dyDescent="0.3">
      <c r="A176" s="45">
        <f t="shared" si="16"/>
        <v>27</v>
      </c>
      <c r="B176" s="12" t="s">
        <v>162</v>
      </c>
      <c r="C176" s="12" t="s">
        <v>112</v>
      </c>
      <c r="D176" s="12" t="s">
        <v>1854</v>
      </c>
      <c r="E176" s="12">
        <v>7.5</v>
      </c>
      <c r="F176" s="12">
        <v>21</v>
      </c>
      <c r="G176" s="45">
        <f t="shared" si="17"/>
        <v>28.5</v>
      </c>
      <c r="H176" s="12"/>
      <c r="I176" s="12"/>
      <c r="J176" s="12">
        <v>40</v>
      </c>
      <c r="K176" s="409">
        <f t="shared" si="18"/>
        <v>68.5</v>
      </c>
      <c r="L176" t="str">
        <f t="shared" si="14"/>
        <v>B</v>
      </c>
      <c r="M176" t="str">
        <f t="shared" si="15"/>
        <v>Passed</v>
      </c>
    </row>
    <row r="177" spans="1:13" x14ac:dyDescent="0.3">
      <c r="A177" s="45">
        <f t="shared" si="16"/>
        <v>28</v>
      </c>
      <c r="B177" s="12" t="s">
        <v>164</v>
      </c>
      <c r="C177" s="12" t="s">
        <v>114</v>
      </c>
      <c r="D177" s="12" t="s">
        <v>1845</v>
      </c>
      <c r="E177" s="12">
        <v>9</v>
      </c>
      <c r="F177" s="12">
        <v>23</v>
      </c>
      <c r="G177" s="45">
        <f t="shared" si="17"/>
        <v>32</v>
      </c>
      <c r="H177" s="12"/>
      <c r="I177" s="12"/>
      <c r="J177" s="12">
        <v>35</v>
      </c>
      <c r="K177" s="45">
        <f t="shared" si="18"/>
        <v>67</v>
      </c>
      <c r="L177" t="str">
        <f t="shared" ref="L177:L203" si="19">IF(K177&gt;=80,"A",IF(K177&gt;=70,"B+",IF(K177&gt;=60,"B",IF(K177&gt;=55,"C+",IF(K177&gt;=50,"C",IF(K177&gt;=45,"D+",IF(K177&gt;=40,"D","F")))))))</f>
        <v>B</v>
      </c>
      <c r="M177" t="str">
        <f t="shared" ref="M177:M203" si="20">IF(K177&gt;=50,"Passed","Failed")</f>
        <v>Passed</v>
      </c>
    </row>
    <row r="178" spans="1:13" x14ac:dyDescent="0.3">
      <c r="A178" s="45">
        <f t="shared" si="16"/>
        <v>29</v>
      </c>
      <c r="B178" s="60" t="s">
        <v>165</v>
      </c>
      <c r="C178" s="12" t="s">
        <v>116</v>
      </c>
      <c r="D178" s="12" t="s">
        <v>1829</v>
      </c>
      <c r="E178" s="12">
        <v>10</v>
      </c>
      <c r="F178" s="12">
        <v>27</v>
      </c>
      <c r="G178" s="45">
        <f t="shared" si="17"/>
        <v>37</v>
      </c>
      <c r="H178" s="12"/>
      <c r="I178" s="12"/>
      <c r="J178" s="12">
        <v>40</v>
      </c>
      <c r="K178" s="45">
        <f t="shared" si="18"/>
        <v>77</v>
      </c>
      <c r="L178" t="str">
        <f t="shared" si="19"/>
        <v>B+</v>
      </c>
      <c r="M178" t="str">
        <f t="shared" si="20"/>
        <v>Passed</v>
      </c>
    </row>
    <row r="179" spans="1:13" x14ac:dyDescent="0.3">
      <c r="A179" s="45">
        <f t="shared" si="16"/>
        <v>30</v>
      </c>
      <c r="B179" s="12" t="s">
        <v>206</v>
      </c>
      <c r="C179" s="12" t="s">
        <v>123</v>
      </c>
      <c r="D179" s="12" t="s">
        <v>1850</v>
      </c>
      <c r="E179" s="12">
        <v>10</v>
      </c>
      <c r="F179" s="12">
        <v>21</v>
      </c>
      <c r="G179" s="45">
        <f t="shared" si="17"/>
        <v>31</v>
      </c>
      <c r="H179" s="12"/>
      <c r="I179" s="12"/>
      <c r="J179" s="12">
        <v>29</v>
      </c>
      <c r="K179" s="45">
        <f t="shared" si="18"/>
        <v>60</v>
      </c>
      <c r="L179" t="str">
        <f t="shared" si="19"/>
        <v>B</v>
      </c>
      <c r="M179" t="str">
        <f t="shared" si="20"/>
        <v>Passed</v>
      </c>
    </row>
    <row r="180" spans="1:13" x14ac:dyDescent="0.3">
      <c r="A180" s="45">
        <f t="shared" si="16"/>
        <v>31</v>
      </c>
      <c r="B180" s="12" t="s">
        <v>202</v>
      </c>
      <c r="C180" s="12" t="s">
        <v>135</v>
      </c>
      <c r="D180" s="12" t="s">
        <v>1846</v>
      </c>
      <c r="E180" s="12">
        <v>4</v>
      </c>
      <c r="F180" s="12">
        <v>21</v>
      </c>
      <c r="G180" s="45">
        <f t="shared" si="17"/>
        <v>25</v>
      </c>
      <c r="H180" s="12"/>
      <c r="I180" s="12"/>
      <c r="J180" s="12">
        <v>30</v>
      </c>
      <c r="K180" s="45">
        <f t="shared" si="18"/>
        <v>55</v>
      </c>
      <c r="L180" t="str">
        <f t="shared" si="19"/>
        <v>C+</v>
      </c>
      <c r="M180" t="str">
        <f t="shared" si="20"/>
        <v>Passed</v>
      </c>
    </row>
    <row r="181" spans="1:13" x14ac:dyDescent="0.3">
      <c r="A181" s="45">
        <f t="shared" si="16"/>
        <v>32</v>
      </c>
      <c r="B181" s="12" t="s">
        <v>1249</v>
      </c>
      <c r="C181" s="12" t="s">
        <v>422</v>
      </c>
      <c r="D181" s="12" t="s">
        <v>1834</v>
      </c>
      <c r="E181" s="12">
        <v>9</v>
      </c>
      <c r="F181" s="12">
        <v>24</v>
      </c>
      <c r="G181" s="45">
        <f t="shared" si="17"/>
        <v>33</v>
      </c>
      <c r="H181" s="12"/>
      <c r="I181" s="12"/>
      <c r="J181" s="12">
        <v>30</v>
      </c>
      <c r="K181" s="45">
        <f t="shared" si="18"/>
        <v>63</v>
      </c>
      <c r="L181" t="str">
        <f t="shared" si="19"/>
        <v>B</v>
      </c>
      <c r="M181" t="str">
        <f t="shared" si="20"/>
        <v>Passed</v>
      </c>
    </row>
    <row r="182" spans="1:13" x14ac:dyDescent="0.3">
      <c r="A182" s="45">
        <f t="shared" si="16"/>
        <v>33</v>
      </c>
      <c r="B182" s="45" t="s">
        <v>150</v>
      </c>
      <c r="C182" s="45" t="s">
        <v>98</v>
      </c>
      <c r="D182" s="12" t="s">
        <v>1848</v>
      </c>
      <c r="E182" s="12">
        <v>10</v>
      </c>
      <c r="F182" s="12">
        <v>24</v>
      </c>
      <c r="G182" s="45">
        <f t="shared" si="17"/>
        <v>34</v>
      </c>
      <c r="H182" s="12"/>
      <c r="I182" s="12"/>
      <c r="J182" s="12">
        <v>35</v>
      </c>
      <c r="K182" s="45">
        <f t="shared" si="18"/>
        <v>69</v>
      </c>
      <c r="L182" t="str">
        <f t="shared" si="19"/>
        <v>B</v>
      </c>
      <c r="M182" t="str">
        <f t="shared" si="20"/>
        <v>Passed</v>
      </c>
    </row>
    <row r="183" spans="1:13" x14ac:dyDescent="0.3">
      <c r="A183" s="45">
        <f t="shared" si="16"/>
        <v>34</v>
      </c>
      <c r="B183" s="45" t="s">
        <v>151</v>
      </c>
      <c r="C183" s="45" t="s">
        <v>99</v>
      </c>
      <c r="D183" s="12" t="s">
        <v>1844</v>
      </c>
      <c r="E183" s="12">
        <v>7.5</v>
      </c>
      <c r="F183" s="12">
        <v>23</v>
      </c>
      <c r="G183" s="45">
        <f t="shared" si="17"/>
        <v>30.5</v>
      </c>
      <c r="H183" s="12"/>
      <c r="I183" s="12"/>
      <c r="J183" s="12">
        <v>45</v>
      </c>
      <c r="K183" s="409">
        <f t="shared" si="18"/>
        <v>75.5</v>
      </c>
      <c r="L183" t="str">
        <f t="shared" si="19"/>
        <v>B+</v>
      </c>
      <c r="M183" t="str">
        <f t="shared" si="20"/>
        <v>Passed</v>
      </c>
    </row>
    <row r="184" spans="1:13" x14ac:dyDescent="0.3">
      <c r="A184" s="45">
        <f t="shared" si="16"/>
        <v>35</v>
      </c>
      <c r="B184" s="45" t="s">
        <v>157</v>
      </c>
      <c r="C184" s="45" t="s">
        <v>106</v>
      </c>
      <c r="D184" s="12" t="s">
        <v>1849</v>
      </c>
      <c r="E184" s="12">
        <v>10</v>
      </c>
      <c r="F184" s="12">
        <v>26</v>
      </c>
      <c r="G184" s="45">
        <f t="shared" si="17"/>
        <v>36</v>
      </c>
      <c r="H184" s="12"/>
      <c r="I184" s="12"/>
      <c r="J184" s="12">
        <v>35</v>
      </c>
      <c r="K184" s="45">
        <f t="shared" si="18"/>
        <v>71</v>
      </c>
      <c r="L184" t="str">
        <f t="shared" si="19"/>
        <v>B+</v>
      </c>
      <c r="M184" t="str">
        <f t="shared" si="20"/>
        <v>Passed</v>
      </c>
    </row>
    <row r="185" spans="1:13" x14ac:dyDescent="0.3">
      <c r="A185" s="45">
        <f t="shared" si="16"/>
        <v>36</v>
      </c>
      <c r="B185" s="45" t="s">
        <v>158</v>
      </c>
      <c r="C185" s="45" t="s">
        <v>107</v>
      </c>
      <c r="D185" s="12" t="s">
        <v>1853</v>
      </c>
      <c r="E185" s="12">
        <v>9</v>
      </c>
      <c r="F185" s="12">
        <v>21</v>
      </c>
      <c r="G185" s="45">
        <f t="shared" si="17"/>
        <v>30</v>
      </c>
      <c r="H185" s="12"/>
      <c r="I185" s="12"/>
      <c r="J185" s="12">
        <v>35</v>
      </c>
      <c r="K185" s="45">
        <f t="shared" si="18"/>
        <v>65</v>
      </c>
      <c r="L185" t="str">
        <f t="shared" si="19"/>
        <v>B</v>
      </c>
      <c r="M185" t="str">
        <f t="shared" si="20"/>
        <v>Passed</v>
      </c>
    </row>
    <row r="186" spans="1:13" x14ac:dyDescent="0.3">
      <c r="A186" s="45">
        <f t="shared" si="16"/>
        <v>37</v>
      </c>
      <c r="B186" s="45" t="s">
        <v>159</v>
      </c>
      <c r="C186" s="45" t="s">
        <v>108</v>
      </c>
      <c r="D186" s="12" t="s">
        <v>1857</v>
      </c>
      <c r="E186" s="12">
        <v>9</v>
      </c>
      <c r="F186" s="12">
        <v>23</v>
      </c>
      <c r="G186" s="45">
        <f t="shared" si="17"/>
        <v>32</v>
      </c>
      <c r="H186" s="12"/>
      <c r="I186" s="12"/>
      <c r="J186" s="12">
        <v>47</v>
      </c>
      <c r="K186" s="45">
        <f t="shared" si="18"/>
        <v>79</v>
      </c>
      <c r="L186" t="str">
        <f t="shared" si="19"/>
        <v>B+</v>
      </c>
      <c r="M186" t="str">
        <f t="shared" si="20"/>
        <v>Passed</v>
      </c>
    </row>
    <row r="187" spans="1:13" x14ac:dyDescent="0.3">
      <c r="A187" s="45">
        <f t="shared" si="16"/>
        <v>38</v>
      </c>
      <c r="B187" s="45" t="s">
        <v>167</v>
      </c>
      <c r="C187" s="45" t="s">
        <v>118</v>
      </c>
      <c r="D187" s="12" t="s">
        <v>1866</v>
      </c>
      <c r="E187" s="12">
        <v>9</v>
      </c>
      <c r="F187" s="12">
        <v>23</v>
      </c>
      <c r="G187" s="45">
        <f t="shared" si="17"/>
        <v>32</v>
      </c>
      <c r="H187" s="12"/>
      <c r="I187" s="12"/>
      <c r="J187" s="12">
        <v>30</v>
      </c>
      <c r="K187" s="45">
        <f t="shared" si="18"/>
        <v>62</v>
      </c>
      <c r="L187" t="str">
        <f t="shared" si="19"/>
        <v>B</v>
      </c>
      <c r="M187" t="str">
        <f t="shared" si="20"/>
        <v>Passed</v>
      </c>
    </row>
    <row r="188" spans="1:13" x14ac:dyDescent="0.3">
      <c r="A188" s="45">
        <f t="shared" si="16"/>
        <v>39</v>
      </c>
      <c r="B188" s="45" t="s">
        <v>171</v>
      </c>
      <c r="C188" s="45" t="s">
        <v>125</v>
      </c>
      <c r="D188" s="12" t="s">
        <v>1868</v>
      </c>
      <c r="E188" s="12">
        <v>9</v>
      </c>
      <c r="F188" s="12">
        <v>21</v>
      </c>
      <c r="G188" s="45">
        <f t="shared" si="17"/>
        <v>30</v>
      </c>
      <c r="H188" s="12"/>
      <c r="I188" s="12"/>
      <c r="J188" s="12">
        <v>30</v>
      </c>
      <c r="K188" s="45">
        <f t="shared" si="18"/>
        <v>60</v>
      </c>
      <c r="L188" t="str">
        <f t="shared" si="19"/>
        <v>B</v>
      </c>
      <c r="M188" t="str">
        <f t="shared" si="20"/>
        <v>Passed</v>
      </c>
    </row>
    <row r="189" spans="1:13" x14ac:dyDescent="0.3">
      <c r="A189" s="45">
        <f t="shared" si="16"/>
        <v>40</v>
      </c>
      <c r="B189" s="45" t="s">
        <v>174</v>
      </c>
      <c r="C189" s="45" t="s">
        <v>128</v>
      </c>
      <c r="D189" s="12" t="s">
        <v>1826</v>
      </c>
      <c r="E189" s="12">
        <v>8</v>
      </c>
      <c r="F189" s="12">
        <v>26</v>
      </c>
      <c r="G189" s="45">
        <f t="shared" si="17"/>
        <v>34</v>
      </c>
      <c r="H189" s="12"/>
      <c r="I189" s="12"/>
      <c r="J189" s="12">
        <v>30</v>
      </c>
      <c r="K189" s="45">
        <f t="shared" si="18"/>
        <v>64</v>
      </c>
      <c r="L189" t="str">
        <f t="shared" si="19"/>
        <v>B</v>
      </c>
      <c r="M189" t="str">
        <f t="shared" si="20"/>
        <v>Passed</v>
      </c>
    </row>
    <row r="190" spans="1:13" x14ac:dyDescent="0.3">
      <c r="A190" s="45">
        <f t="shared" si="16"/>
        <v>41</v>
      </c>
      <c r="B190" s="45" t="s">
        <v>220</v>
      </c>
      <c r="C190" s="45" t="s">
        <v>130</v>
      </c>
      <c r="D190" s="12" t="s">
        <v>1863</v>
      </c>
      <c r="E190" s="12">
        <v>9</v>
      </c>
      <c r="F190" s="12">
        <v>21</v>
      </c>
      <c r="G190" s="45">
        <f t="shared" si="17"/>
        <v>30</v>
      </c>
      <c r="H190" s="12"/>
      <c r="I190" s="12"/>
      <c r="J190" s="12">
        <v>40</v>
      </c>
      <c r="K190" s="45">
        <f t="shared" si="18"/>
        <v>70</v>
      </c>
      <c r="L190" t="str">
        <f t="shared" si="19"/>
        <v>B+</v>
      </c>
      <c r="M190" t="str">
        <f t="shared" si="20"/>
        <v>Passed</v>
      </c>
    </row>
    <row r="191" spans="1:13" x14ac:dyDescent="0.3">
      <c r="A191" s="45">
        <f t="shared" si="16"/>
        <v>42</v>
      </c>
      <c r="B191" s="45" t="s">
        <v>659</v>
      </c>
      <c r="C191" s="45" t="s">
        <v>117</v>
      </c>
      <c r="D191" s="12" t="s">
        <v>1855</v>
      </c>
      <c r="E191" s="12">
        <v>10</v>
      </c>
      <c r="F191" s="12">
        <v>27</v>
      </c>
      <c r="G191" s="45">
        <f t="shared" si="17"/>
        <v>37</v>
      </c>
      <c r="H191" s="12"/>
      <c r="I191" s="12"/>
      <c r="J191" s="12">
        <v>40</v>
      </c>
      <c r="K191" s="45">
        <f t="shared" si="18"/>
        <v>77</v>
      </c>
      <c r="L191" t="str">
        <f t="shared" si="19"/>
        <v>B+</v>
      </c>
      <c r="M191" t="str">
        <f t="shared" si="20"/>
        <v>Passed</v>
      </c>
    </row>
    <row r="192" spans="1:13" x14ac:dyDescent="0.3">
      <c r="A192" s="45">
        <f t="shared" si="16"/>
        <v>43</v>
      </c>
      <c r="B192" s="45" t="s">
        <v>146</v>
      </c>
      <c r="C192" s="45" t="s">
        <v>94</v>
      </c>
      <c r="D192" s="12" t="s">
        <v>1828</v>
      </c>
      <c r="E192" s="12">
        <v>9</v>
      </c>
      <c r="F192" s="12">
        <v>21</v>
      </c>
      <c r="G192" s="45">
        <f t="shared" si="17"/>
        <v>30</v>
      </c>
      <c r="H192" s="12"/>
      <c r="I192" s="12"/>
      <c r="J192" s="12">
        <v>25</v>
      </c>
      <c r="K192" s="45">
        <f t="shared" si="18"/>
        <v>55</v>
      </c>
      <c r="L192" t="str">
        <f t="shared" si="19"/>
        <v>C+</v>
      </c>
      <c r="M192" t="str">
        <f t="shared" si="20"/>
        <v>Passed</v>
      </c>
    </row>
    <row r="193" spans="1:13" x14ac:dyDescent="0.3">
      <c r="A193" s="45">
        <f t="shared" si="16"/>
        <v>44</v>
      </c>
      <c r="B193" s="277" t="s">
        <v>147</v>
      </c>
      <c r="C193" s="45" t="s">
        <v>95</v>
      </c>
      <c r="D193" s="12" t="s">
        <v>1821</v>
      </c>
      <c r="E193" s="12">
        <v>9</v>
      </c>
      <c r="F193" s="12">
        <v>21</v>
      </c>
      <c r="G193" s="45">
        <f t="shared" si="17"/>
        <v>30</v>
      </c>
      <c r="H193" s="12"/>
      <c r="I193" s="12"/>
      <c r="J193" s="12">
        <v>35</v>
      </c>
      <c r="K193" s="45">
        <f t="shared" si="18"/>
        <v>65</v>
      </c>
      <c r="L193" t="str">
        <f t="shared" si="19"/>
        <v>B</v>
      </c>
      <c r="M193" t="str">
        <f t="shared" si="20"/>
        <v>Passed</v>
      </c>
    </row>
    <row r="194" spans="1:13" x14ac:dyDescent="0.3">
      <c r="A194" s="45">
        <f t="shared" si="16"/>
        <v>45</v>
      </c>
      <c r="B194" s="45" t="s">
        <v>155</v>
      </c>
      <c r="C194" s="45" t="s">
        <v>103</v>
      </c>
      <c r="D194" s="12" t="s">
        <v>1839</v>
      </c>
      <c r="E194" s="12">
        <v>9</v>
      </c>
      <c r="F194" s="12">
        <v>20</v>
      </c>
      <c r="G194" s="45">
        <f t="shared" si="17"/>
        <v>29</v>
      </c>
      <c r="H194" s="12"/>
      <c r="I194" s="12"/>
      <c r="J194" s="12">
        <v>35</v>
      </c>
      <c r="K194" s="45">
        <f t="shared" si="18"/>
        <v>64</v>
      </c>
      <c r="L194" t="str">
        <f t="shared" si="19"/>
        <v>B</v>
      </c>
      <c r="M194" t="str">
        <f t="shared" si="20"/>
        <v>Passed</v>
      </c>
    </row>
    <row r="195" spans="1:13" x14ac:dyDescent="0.3">
      <c r="A195" s="45">
        <f t="shared" si="16"/>
        <v>46</v>
      </c>
      <c r="B195" s="429" t="s">
        <v>182</v>
      </c>
      <c r="C195" s="429" t="s">
        <v>105</v>
      </c>
      <c r="D195" s="429" t="s">
        <v>1920</v>
      </c>
      <c r="E195" s="429">
        <v>5</v>
      </c>
      <c r="F195" s="429">
        <v>20</v>
      </c>
      <c r="G195" s="429">
        <f t="shared" si="17"/>
        <v>25</v>
      </c>
      <c r="H195" s="429"/>
      <c r="I195" s="429"/>
      <c r="J195" s="429" t="s">
        <v>1938</v>
      </c>
      <c r="K195" s="45"/>
    </row>
    <row r="196" spans="1:13" x14ac:dyDescent="0.3">
      <c r="A196" s="45">
        <f t="shared" si="16"/>
        <v>47</v>
      </c>
      <c r="B196" s="429" t="s">
        <v>161</v>
      </c>
      <c r="C196" s="429" t="s">
        <v>111</v>
      </c>
      <c r="D196" s="429" t="s">
        <v>1920</v>
      </c>
      <c r="E196" s="429">
        <v>7.5</v>
      </c>
      <c r="F196" s="429">
        <v>21</v>
      </c>
      <c r="G196" s="429">
        <f t="shared" si="17"/>
        <v>28.5</v>
      </c>
      <c r="H196" s="429"/>
      <c r="I196" s="429"/>
      <c r="J196" s="429" t="s">
        <v>1938</v>
      </c>
      <c r="K196" s="409"/>
    </row>
    <row r="197" spans="1:13" x14ac:dyDescent="0.3">
      <c r="A197" s="45">
        <f t="shared" si="16"/>
        <v>48</v>
      </c>
      <c r="B197" s="45" t="s">
        <v>169</v>
      </c>
      <c r="C197" s="45" t="s">
        <v>122</v>
      </c>
      <c r="D197" s="12" t="s">
        <v>1920</v>
      </c>
      <c r="E197" s="12"/>
      <c r="F197" s="12"/>
      <c r="G197" s="45"/>
      <c r="H197" s="12"/>
      <c r="I197" s="12"/>
      <c r="J197" s="12"/>
      <c r="K197" s="45"/>
    </row>
    <row r="198" spans="1:13" x14ac:dyDescent="0.3">
      <c r="A198" s="45">
        <f t="shared" si="16"/>
        <v>49</v>
      </c>
      <c r="B198" s="45" t="s">
        <v>648</v>
      </c>
      <c r="C198" s="45" t="s">
        <v>129</v>
      </c>
      <c r="D198" s="12" t="s">
        <v>1851</v>
      </c>
      <c r="E198" s="12">
        <v>9</v>
      </c>
      <c r="F198" s="12">
        <v>23</v>
      </c>
      <c r="G198" s="45">
        <f t="shared" si="17"/>
        <v>32</v>
      </c>
      <c r="H198" s="12"/>
      <c r="I198" s="12"/>
      <c r="J198" s="12">
        <v>35</v>
      </c>
      <c r="K198" s="45">
        <f t="shared" si="18"/>
        <v>67</v>
      </c>
      <c r="L198" t="str">
        <f t="shared" si="19"/>
        <v>B</v>
      </c>
      <c r="M198" t="str">
        <f t="shared" si="20"/>
        <v>Passed</v>
      </c>
    </row>
    <row r="199" spans="1:13" x14ac:dyDescent="0.3">
      <c r="A199" s="45">
        <f t="shared" si="16"/>
        <v>50</v>
      </c>
      <c r="B199" s="45" t="s">
        <v>177</v>
      </c>
      <c r="C199" s="45" t="s">
        <v>132</v>
      </c>
      <c r="D199" s="12" t="s">
        <v>1827</v>
      </c>
      <c r="E199" s="12">
        <v>9</v>
      </c>
      <c r="F199" s="12">
        <v>27</v>
      </c>
      <c r="G199" s="45">
        <f t="shared" si="17"/>
        <v>36</v>
      </c>
      <c r="H199" s="12"/>
      <c r="I199" s="12"/>
      <c r="J199" s="12">
        <v>42</v>
      </c>
      <c r="K199" s="45">
        <f t="shared" si="18"/>
        <v>78</v>
      </c>
      <c r="L199" t="str">
        <f t="shared" si="19"/>
        <v>B+</v>
      </c>
      <c r="M199" t="str">
        <f t="shared" si="20"/>
        <v>Passed</v>
      </c>
    </row>
    <row r="200" spans="1:13" x14ac:dyDescent="0.3">
      <c r="A200" s="45">
        <f t="shared" si="16"/>
        <v>51</v>
      </c>
      <c r="B200" s="45" t="s">
        <v>179</v>
      </c>
      <c r="C200" s="45" t="s">
        <v>665</v>
      </c>
      <c r="D200" s="12" t="s">
        <v>1842</v>
      </c>
      <c r="E200" s="12">
        <v>8</v>
      </c>
      <c r="F200" s="12">
        <v>18</v>
      </c>
      <c r="G200" s="45">
        <f t="shared" si="17"/>
        <v>26</v>
      </c>
      <c r="H200" s="12"/>
      <c r="I200" s="12"/>
      <c r="J200" s="12">
        <v>30</v>
      </c>
      <c r="K200" s="45">
        <f t="shared" si="18"/>
        <v>56</v>
      </c>
      <c r="L200" t="str">
        <f t="shared" si="19"/>
        <v>C+</v>
      </c>
      <c r="M200" t="str">
        <f t="shared" si="20"/>
        <v>Passed</v>
      </c>
    </row>
    <row r="201" spans="1:13" x14ac:dyDescent="0.3">
      <c r="A201" s="45">
        <f t="shared" si="16"/>
        <v>52</v>
      </c>
      <c r="B201" s="45" t="s">
        <v>180</v>
      </c>
      <c r="C201" s="45" t="s">
        <v>136</v>
      </c>
      <c r="D201" s="12" t="s">
        <v>1847</v>
      </c>
      <c r="E201" s="12">
        <v>8</v>
      </c>
      <c r="F201" s="12">
        <v>18</v>
      </c>
      <c r="G201" s="45">
        <f t="shared" si="17"/>
        <v>26</v>
      </c>
      <c r="H201" s="12"/>
      <c r="I201" s="12"/>
      <c r="J201" s="12">
        <v>35</v>
      </c>
      <c r="K201" s="45">
        <f t="shared" si="18"/>
        <v>61</v>
      </c>
      <c r="L201" t="str">
        <f t="shared" si="19"/>
        <v>B</v>
      </c>
      <c r="M201" t="str">
        <f t="shared" si="20"/>
        <v>Passed</v>
      </c>
    </row>
    <row r="202" spans="1:13" x14ac:dyDescent="0.3">
      <c r="A202" s="45">
        <f t="shared" si="16"/>
        <v>53</v>
      </c>
      <c r="B202" s="45" t="s">
        <v>183</v>
      </c>
      <c r="C202" s="45" t="s">
        <v>140</v>
      </c>
      <c r="D202" s="12" t="s">
        <v>1837</v>
      </c>
      <c r="E202" s="12">
        <v>9</v>
      </c>
      <c r="F202" s="12">
        <v>23</v>
      </c>
      <c r="G202" s="45">
        <f t="shared" si="17"/>
        <v>32</v>
      </c>
      <c r="H202" s="12"/>
      <c r="I202" s="12"/>
      <c r="J202" s="12">
        <v>25</v>
      </c>
      <c r="K202" s="45">
        <f t="shared" si="18"/>
        <v>57</v>
      </c>
      <c r="L202" t="str">
        <f t="shared" si="19"/>
        <v>C+</v>
      </c>
      <c r="M202" t="str">
        <f t="shared" si="20"/>
        <v>Passed</v>
      </c>
    </row>
    <row r="203" spans="1:13" x14ac:dyDescent="0.3">
      <c r="A203" s="45">
        <f t="shared" si="16"/>
        <v>54</v>
      </c>
      <c r="B203" s="45" t="s">
        <v>184</v>
      </c>
      <c r="C203" s="45" t="s">
        <v>142</v>
      </c>
      <c r="D203" s="12" t="s">
        <v>1841</v>
      </c>
      <c r="E203" s="12">
        <v>7.5</v>
      </c>
      <c r="F203" s="12">
        <v>20</v>
      </c>
      <c r="G203" s="45">
        <f t="shared" si="17"/>
        <v>27.5</v>
      </c>
      <c r="H203" s="12"/>
      <c r="I203" s="12"/>
      <c r="J203" s="12">
        <v>40</v>
      </c>
      <c r="K203" s="409">
        <f t="shared" si="18"/>
        <v>67.5</v>
      </c>
      <c r="L203" t="str">
        <f t="shared" si="19"/>
        <v>B</v>
      </c>
      <c r="M203" t="str">
        <f t="shared" si="20"/>
        <v>Passed</v>
      </c>
    </row>
    <row r="204" spans="1:13" x14ac:dyDescent="0.3">
      <c r="A204" s="314"/>
      <c r="B204" s="56"/>
      <c r="C204" s="56"/>
      <c r="D204" s="56"/>
      <c r="E204" s="56"/>
      <c r="F204" s="56"/>
      <c r="G204" s="315"/>
      <c r="H204" s="56"/>
      <c r="I204" s="56"/>
      <c r="J204" s="56"/>
      <c r="K204" s="315"/>
    </row>
    <row r="205" spans="1:13" x14ac:dyDescent="0.3">
      <c r="A205" s="314"/>
      <c r="B205" s="56"/>
      <c r="C205" s="56"/>
      <c r="D205" s="56"/>
      <c r="E205" s="56"/>
      <c r="F205" s="56"/>
      <c r="G205" s="315"/>
      <c r="H205" s="56"/>
      <c r="I205" s="56"/>
      <c r="J205" s="56"/>
      <c r="K205" s="315"/>
    </row>
    <row r="206" spans="1:13" x14ac:dyDescent="0.3">
      <c r="A206" s="314"/>
      <c r="B206" s="56"/>
      <c r="C206" s="56"/>
      <c r="D206" s="56"/>
      <c r="E206" s="56"/>
      <c r="F206" s="56"/>
      <c r="G206" s="315"/>
      <c r="H206" s="56"/>
      <c r="I206" s="56"/>
      <c r="J206" s="56"/>
      <c r="K206" s="315"/>
    </row>
    <row r="210" spans="1:15" x14ac:dyDescent="0.3">
      <c r="A210" s="38" t="s">
        <v>0</v>
      </c>
      <c r="B210" s="39"/>
      <c r="C210" s="39"/>
      <c r="D210" s="39"/>
      <c r="E210" s="39"/>
      <c r="F210" s="39"/>
      <c r="G210" s="39"/>
      <c r="H210" s="56"/>
      <c r="I210" s="56"/>
    </row>
    <row r="211" spans="1:15" x14ac:dyDescent="0.3">
      <c r="A211" s="46" t="s">
        <v>66</v>
      </c>
      <c r="B211" s="46"/>
      <c r="C211" s="46"/>
      <c r="D211" s="46"/>
      <c r="E211" s="46"/>
      <c r="F211" s="46"/>
      <c r="G211" s="46"/>
      <c r="H211" s="48"/>
      <c r="I211" s="48"/>
      <c r="J211" s="14"/>
      <c r="K211" s="14"/>
    </row>
    <row r="212" spans="1:15" x14ac:dyDescent="0.3">
      <c r="A212" s="460" t="s">
        <v>362</v>
      </c>
      <c r="B212" s="461"/>
      <c r="C212" s="461"/>
      <c r="D212" s="2"/>
      <c r="E212" s="2"/>
      <c r="F212" s="2"/>
      <c r="G212" s="2"/>
      <c r="H212" s="2"/>
      <c r="I212" s="2"/>
      <c r="J212" s="2"/>
      <c r="K212" s="2"/>
      <c r="L212" s="1"/>
      <c r="M212" s="16"/>
      <c r="N212" s="16"/>
      <c r="O212" s="13"/>
    </row>
    <row r="213" spans="1:15" x14ac:dyDescent="0.3">
      <c r="A213" s="38" t="s">
        <v>1</v>
      </c>
      <c r="B213" s="462" t="s">
        <v>38</v>
      </c>
      <c r="C213" s="462"/>
      <c r="D213" s="38"/>
      <c r="E213" s="38"/>
      <c r="F213" s="38"/>
      <c r="G213" s="38"/>
      <c r="H213" s="48"/>
      <c r="I213" s="48"/>
      <c r="J213" s="14"/>
      <c r="K213" s="14"/>
    </row>
    <row r="214" spans="1:15" x14ac:dyDescent="0.3">
      <c r="A214" s="38" t="s">
        <v>3</v>
      </c>
      <c r="B214" s="462" t="s">
        <v>73</v>
      </c>
      <c r="C214" s="462"/>
      <c r="D214" s="38"/>
      <c r="E214" s="38"/>
      <c r="F214" s="38"/>
      <c r="G214" s="38"/>
      <c r="H214" s="48"/>
      <c r="I214" s="48"/>
      <c r="J214" s="14"/>
      <c r="K214" s="14"/>
    </row>
    <row r="215" spans="1:15" x14ac:dyDescent="0.3">
      <c r="A215" s="38" t="s">
        <v>4</v>
      </c>
      <c r="B215" s="462" t="s">
        <v>74</v>
      </c>
      <c r="C215" s="462"/>
      <c r="D215" s="38"/>
      <c r="E215" s="38"/>
      <c r="F215" s="38"/>
      <c r="G215" s="38"/>
      <c r="H215" s="48"/>
      <c r="I215" s="48"/>
      <c r="J215" s="14"/>
      <c r="K215" s="14"/>
    </row>
    <row r="216" spans="1:15" x14ac:dyDescent="0.3">
      <c r="A216" s="38" t="s">
        <v>5</v>
      </c>
      <c r="B216" s="463">
        <v>3</v>
      </c>
      <c r="C216" s="463"/>
      <c r="D216" s="38"/>
      <c r="E216" s="38"/>
      <c r="F216" s="38"/>
      <c r="G216" s="38"/>
      <c r="H216" s="48"/>
      <c r="I216" s="48"/>
      <c r="J216" s="14"/>
      <c r="K216" s="14"/>
    </row>
    <row r="217" spans="1:15" x14ac:dyDescent="0.3">
      <c r="A217" s="38" t="s">
        <v>6</v>
      </c>
      <c r="B217" s="462" t="s">
        <v>423</v>
      </c>
      <c r="C217" s="462"/>
      <c r="D217" s="48"/>
      <c r="E217" s="14"/>
      <c r="F217" s="14"/>
      <c r="G217" s="14"/>
      <c r="H217" s="14"/>
      <c r="I217" s="14"/>
      <c r="J217" s="14"/>
      <c r="K217" s="14"/>
    </row>
    <row r="218" spans="1:15" x14ac:dyDescent="0.3">
      <c r="A218" s="14" t="s">
        <v>68</v>
      </c>
      <c r="B218" s="462"/>
      <c r="C218" s="462"/>
      <c r="D218" s="38"/>
      <c r="E218" s="38"/>
      <c r="F218" s="38"/>
      <c r="G218" s="38"/>
      <c r="H218" s="48"/>
      <c r="I218" s="48"/>
      <c r="J218" s="14"/>
      <c r="K218" s="14"/>
    </row>
    <row r="219" spans="1:15" x14ac:dyDescent="0.3">
      <c r="A219" s="42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t="str">
        <f t="shared" ref="L219" si="21">IF(K220&gt;=80,"A",IF(K220&gt;=70,"B+",IF(K220&gt;=60,"B",IF(K220&gt;=55,"C+",IF(K220&gt;=50,"C",IF(K220&gt;=45,"D+",IF(K220&gt;=40,"D","F")))))))</f>
        <v>A</v>
      </c>
      <c r="M219" t="str">
        <f>IF(K220&gt;=50,"Passed","Failed")</f>
        <v>Passed</v>
      </c>
    </row>
    <row r="220" spans="1:15" ht="60" x14ac:dyDescent="0.3">
      <c r="A220" s="42" t="s">
        <v>8</v>
      </c>
      <c r="B220" s="42" t="s">
        <v>9</v>
      </c>
      <c r="C220" s="42" t="s">
        <v>10</v>
      </c>
      <c r="D220" s="43" t="s">
        <v>11</v>
      </c>
      <c r="E220" s="43" t="s">
        <v>12</v>
      </c>
      <c r="F220" s="43" t="s">
        <v>13</v>
      </c>
      <c r="G220" s="43" t="s">
        <v>14</v>
      </c>
      <c r="H220" s="43" t="s">
        <v>210</v>
      </c>
      <c r="I220" s="43" t="s">
        <v>209</v>
      </c>
      <c r="J220" s="43" t="s">
        <v>15</v>
      </c>
      <c r="K220" s="43" t="s">
        <v>16</v>
      </c>
      <c r="L220" t="s">
        <v>17</v>
      </c>
      <c r="M220" t="s">
        <v>18</v>
      </c>
      <c r="N220" t="s">
        <v>19</v>
      </c>
    </row>
    <row r="221" spans="1:15" x14ac:dyDescent="0.3">
      <c r="A221" s="1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N221" t="s">
        <v>20</v>
      </c>
      <c r="O221">
        <f>COUNT(G222:G275)</f>
        <v>50</v>
      </c>
    </row>
    <row r="222" spans="1:15" x14ac:dyDescent="0.3">
      <c r="A222" s="12">
        <f>ROW(A1)</f>
        <v>1</v>
      </c>
      <c r="B222" s="45" t="s">
        <v>203</v>
      </c>
      <c r="C222" s="45" t="s">
        <v>92</v>
      </c>
      <c r="D222" s="12" t="s">
        <v>1912</v>
      </c>
      <c r="E222" s="12">
        <v>10</v>
      </c>
      <c r="F222" s="12">
        <v>23</v>
      </c>
      <c r="G222" s="317">
        <f t="shared" ref="G222:G275" si="22">SUM(E222:F222)</f>
        <v>33</v>
      </c>
      <c r="H222" s="12"/>
      <c r="I222" s="12"/>
      <c r="J222" s="12">
        <v>47</v>
      </c>
      <c r="K222" s="317">
        <f t="shared" ref="K222:K275" si="23">SUM(G222:J222)</f>
        <v>80</v>
      </c>
      <c r="L222" t="str">
        <f t="shared" ref="L222:L250" si="24">IF(K222&gt;=80,"A",IF(K222&gt;=70,"B+",IF(K222&gt;=60,"B",IF(K222&gt;=55,"C+",IF(K222&gt;=50,"C",IF(K222&gt;=45,"D+",IF(K222&gt;=40,"D","F")))))))</f>
        <v>A</v>
      </c>
      <c r="M222" t="str">
        <f t="shared" ref="M222:M250" si="25">IF(K222&gt;=50,"Passed","Failed")</f>
        <v>Passed</v>
      </c>
      <c r="N222" t="s">
        <v>21</v>
      </c>
      <c r="O222">
        <f>COUNT(J222:J275)</f>
        <v>49</v>
      </c>
    </row>
    <row r="223" spans="1:15" x14ac:dyDescent="0.3">
      <c r="A223" s="12">
        <f t="shared" ref="A223:A275" si="26">ROW(A2)</f>
        <v>2</v>
      </c>
      <c r="B223" s="45" t="s">
        <v>145</v>
      </c>
      <c r="C223" s="45" t="s">
        <v>93</v>
      </c>
      <c r="D223" s="12" t="s">
        <v>1889</v>
      </c>
      <c r="E223" s="12">
        <v>9</v>
      </c>
      <c r="F223" s="340">
        <v>22</v>
      </c>
      <c r="G223" s="317">
        <f t="shared" si="22"/>
        <v>31</v>
      </c>
      <c r="H223" s="12"/>
      <c r="I223" s="12"/>
      <c r="J223" s="12">
        <v>19</v>
      </c>
      <c r="K223" s="317">
        <f t="shared" si="23"/>
        <v>50</v>
      </c>
      <c r="L223" t="str">
        <f t="shared" si="24"/>
        <v>C</v>
      </c>
      <c r="M223" t="str">
        <f t="shared" si="25"/>
        <v>Passed</v>
      </c>
      <c r="N223" t="s">
        <v>22</v>
      </c>
      <c r="O223">
        <f>O221-O222</f>
        <v>1</v>
      </c>
    </row>
    <row r="224" spans="1:15" x14ac:dyDescent="0.3">
      <c r="A224" s="12">
        <f t="shared" si="26"/>
        <v>3</v>
      </c>
      <c r="B224" s="45" t="s">
        <v>149</v>
      </c>
      <c r="C224" s="45" t="s">
        <v>97</v>
      </c>
      <c r="D224" s="12" t="s">
        <v>1915</v>
      </c>
      <c r="E224" s="12">
        <v>10</v>
      </c>
      <c r="F224" s="12">
        <v>33</v>
      </c>
      <c r="G224" s="317">
        <f t="shared" si="22"/>
        <v>43</v>
      </c>
      <c r="H224" s="12"/>
      <c r="I224" s="12"/>
      <c r="J224" s="12">
        <v>45</v>
      </c>
      <c r="K224" s="317">
        <f t="shared" si="23"/>
        <v>88</v>
      </c>
      <c r="L224" t="str">
        <f t="shared" si="24"/>
        <v>A</v>
      </c>
      <c r="M224" t="str">
        <f t="shared" si="25"/>
        <v>Passed</v>
      </c>
      <c r="N224" t="s">
        <v>23</v>
      </c>
      <c r="O224">
        <f>COUNTIF(M222:M275,"Passed")</f>
        <v>39</v>
      </c>
    </row>
    <row r="225" spans="1:22" x14ac:dyDescent="0.3">
      <c r="A225" s="12">
        <f t="shared" si="26"/>
        <v>4</v>
      </c>
      <c r="B225" s="45" t="s">
        <v>152</v>
      </c>
      <c r="C225" s="45" t="s">
        <v>100</v>
      </c>
      <c r="D225" s="12" t="s">
        <v>1877</v>
      </c>
      <c r="E225" s="12">
        <v>8</v>
      </c>
      <c r="F225" s="12">
        <v>20</v>
      </c>
      <c r="G225" s="317">
        <f t="shared" si="22"/>
        <v>28</v>
      </c>
      <c r="H225" s="12"/>
      <c r="I225" s="12"/>
      <c r="J225" s="12">
        <v>26</v>
      </c>
      <c r="K225" s="317">
        <f t="shared" si="23"/>
        <v>54</v>
      </c>
      <c r="L225" t="str">
        <f t="shared" si="24"/>
        <v>C</v>
      </c>
      <c r="M225" t="str">
        <f t="shared" si="25"/>
        <v>Passed</v>
      </c>
      <c r="N225" t="s">
        <v>24</v>
      </c>
      <c r="O225" s="179">
        <f>O224/O222%</f>
        <v>79.591836734693885</v>
      </c>
    </row>
    <row r="226" spans="1:22" x14ac:dyDescent="0.3">
      <c r="A226" s="12">
        <f t="shared" si="26"/>
        <v>5</v>
      </c>
      <c r="B226" s="45" t="s">
        <v>156</v>
      </c>
      <c r="C226" s="45" t="s">
        <v>104</v>
      </c>
      <c r="D226" s="12" t="s">
        <v>1916</v>
      </c>
      <c r="E226" s="12">
        <v>10</v>
      </c>
      <c r="F226" s="12">
        <v>22</v>
      </c>
      <c r="G226" s="317">
        <f t="shared" si="22"/>
        <v>32</v>
      </c>
      <c r="H226" s="12"/>
      <c r="I226" s="12"/>
      <c r="J226" s="12">
        <v>55</v>
      </c>
      <c r="K226" s="317">
        <f t="shared" si="23"/>
        <v>87</v>
      </c>
      <c r="L226" t="str">
        <f t="shared" si="24"/>
        <v>A</v>
      </c>
      <c r="M226" t="str">
        <f t="shared" si="25"/>
        <v>Passed</v>
      </c>
      <c r="N226" t="s">
        <v>25</v>
      </c>
      <c r="O226">
        <f>COUNTIF(M222:M275,"failed")</f>
        <v>10</v>
      </c>
    </row>
    <row r="227" spans="1:22" x14ac:dyDescent="0.3">
      <c r="A227" s="12">
        <f t="shared" si="26"/>
        <v>6</v>
      </c>
      <c r="B227" s="45" t="s">
        <v>160</v>
      </c>
      <c r="C227" s="45" t="s">
        <v>109</v>
      </c>
      <c r="D227" s="12" t="s">
        <v>1914</v>
      </c>
      <c r="E227" s="12">
        <v>10</v>
      </c>
      <c r="F227" s="12">
        <v>20</v>
      </c>
      <c r="G227" s="317">
        <f t="shared" si="22"/>
        <v>30</v>
      </c>
      <c r="H227" s="12"/>
      <c r="I227" s="12"/>
      <c r="J227" s="12">
        <v>53</v>
      </c>
      <c r="K227" s="317">
        <f t="shared" si="23"/>
        <v>83</v>
      </c>
      <c r="L227" t="str">
        <f t="shared" si="24"/>
        <v>A</v>
      </c>
      <c r="M227" t="str">
        <f t="shared" si="25"/>
        <v>Passed</v>
      </c>
      <c r="N227" t="s">
        <v>26</v>
      </c>
      <c r="O227" s="179">
        <f>O226/O222%</f>
        <v>20.408163265306122</v>
      </c>
    </row>
    <row r="228" spans="1:22" x14ac:dyDescent="0.3">
      <c r="A228" s="12">
        <f t="shared" si="26"/>
        <v>7</v>
      </c>
      <c r="B228" s="45" t="s">
        <v>207</v>
      </c>
      <c r="C228" s="45" t="s">
        <v>110</v>
      </c>
      <c r="D228" s="12" t="s">
        <v>1870</v>
      </c>
      <c r="E228" s="12"/>
      <c r="F228" s="12"/>
      <c r="G228" s="317"/>
      <c r="H228" s="12"/>
      <c r="I228" s="12"/>
      <c r="J228" s="12"/>
      <c r="K228" s="317"/>
      <c r="N228" t="s">
        <v>27</v>
      </c>
      <c r="O228" s="180">
        <f>AVERAGE(K222:K275)</f>
        <v>61.857142857142854</v>
      </c>
    </row>
    <row r="229" spans="1:22" x14ac:dyDescent="0.3">
      <c r="A229" s="12">
        <f t="shared" si="26"/>
        <v>8</v>
      </c>
      <c r="B229" s="45" t="s">
        <v>163</v>
      </c>
      <c r="C229" s="45" t="s">
        <v>113</v>
      </c>
      <c r="D229" s="12" t="s">
        <v>1895</v>
      </c>
      <c r="E229" s="12">
        <v>10</v>
      </c>
      <c r="F229" s="12">
        <v>22</v>
      </c>
      <c r="G229" s="317">
        <f t="shared" si="22"/>
        <v>32</v>
      </c>
      <c r="H229" s="12"/>
      <c r="I229" s="12"/>
      <c r="J229" s="12">
        <v>54</v>
      </c>
      <c r="K229" s="317">
        <f t="shared" si="23"/>
        <v>86</v>
      </c>
      <c r="L229" t="str">
        <f t="shared" si="24"/>
        <v>A</v>
      </c>
      <c r="M229" t="str">
        <f t="shared" si="25"/>
        <v>Passed</v>
      </c>
    </row>
    <row r="230" spans="1:22" x14ac:dyDescent="0.3">
      <c r="A230" s="12">
        <f t="shared" si="26"/>
        <v>9</v>
      </c>
      <c r="B230" s="45" t="s">
        <v>480</v>
      </c>
      <c r="C230" s="45" t="s">
        <v>115</v>
      </c>
      <c r="D230" s="12" t="s">
        <v>1876</v>
      </c>
      <c r="E230" s="12">
        <v>10</v>
      </c>
      <c r="F230" s="12">
        <v>22</v>
      </c>
      <c r="G230" s="317">
        <f t="shared" si="22"/>
        <v>32</v>
      </c>
      <c r="H230" s="12"/>
      <c r="I230" s="12"/>
      <c r="J230" s="12">
        <v>49</v>
      </c>
      <c r="K230" s="317">
        <f t="shared" si="23"/>
        <v>81</v>
      </c>
      <c r="L230" t="str">
        <f t="shared" si="24"/>
        <v>A</v>
      </c>
      <c r="M230" t="str">
        <f t="shared" si="25"/>
        <v>Passed</v>
      </c>
    </row>
    <row r="231" spans="1:22" x14ac:dyDescent="0.3">
      <c r="A231" s="12">
        <f t="shared" si="26"/>
        <v>10</v>
      </c>
      <c r="B231" s="45" t="s">
        <v>200</v>
      </c>
      <c r="C231" s="45" t="s">
        <v>119</v>
      </c>
      <c r="D231" s="12" t="s">
        <v>1904</v>
      </c>
      <c r="E231" s="12">
        <v>8</v>
      </c>
      <c r="F231" s="12">
        <v>20</v>
      </c>
      <c r="G231" s="317">
        <f t="shared" si="22"/>
        <v>28</v>
      </c>
      <c r="H231" s="12"/>
      <c r="I231" s="12"/>
      <c r="J231" s="12">
        <v>19</v>
      </c>
      <c r="K231" s="317">
        <f t="shared" si="23"/>
        <v>47</v>
      </c>
      <c r="L231" t="str">
        <f t="shared" si="24"/>
        <v>D+</v>
      </c>
      <c r="M231" t="str">
        <f t="shared" si="25"/>
        <v>Failed</v>
      </c>
    </row>
    <row r="232" spans="1:22" x14ac:dyDescent="0.3">
      <c r="A232" s="12">
        <f t="shared" si="26"/>
        <v>11</v>
      </c>
      <c r="B232" s="45" t="s">
        <v>205</v>
      </c>
      <c r="C232" s="45" t="s">
        <v>120</v>
      </c>
      <c r="D232" s="12" t="s">
        <v>1870</v>
      </c>
      <c r="E232" s="12"/>
      <c r="F232" s="12"/>
      <c r="G232" s="317"/>
      <c r="H232" s="12"/>
      <c r="I232" s="12"/>
      <c r="J232" s="12"/>
      <c r="K232" s="317"/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 t="s">
        <v>33</v>
      </c>
      <c r="U232" t="s">
        <v>34</v>
      </c>
      <c r="V232" t="s">
        <v>35</v>
      </c>
    </row>
    <row r="233" spans="1:22" x14ac:dyDescent="0.3">
      <c r="A233" s="12">
        <f t="shared" si="26"/>
        <v>12</v>
      </c>
      <c r="B233" s="45" t="s">
        <v>168</v>
      </c>
      <c r="C233" s="45" t="s">
        <v>121</v>
      </c>
      <c r="D233" s="12" t="s">
        <v>1873</v>
      </c>
      <c r="E233" s="12">
        <v>8</v>
      </c>
      <c r="F233" s="12">
        <v>20</v>
      </c>
      <c r="G233" s="317">
        <f t="shared" si="22"/>
        <v>28</v>
      </c>
      <c r="H233" s="12"/>
      <c r="I233" s="12"/>
      <c r="J233" s="12">
        <v>38</v>
      </c>
      <c r="K233" s="317">
        <f t="shared" si="23"/>
        <v>66</v>
      </c>
      <c r="L233" t="str">
        <f t="shared" si="24"/>
        <v>B</v>
      </c>
      <c r="M233" t="str">
        <f t="shared" si="25"/>
        <v>Passed</v>
      </c>
      <c r="O233">
        <f>COUNTIF(L222:L275,"A")</f>
        <v>9</v>
      </c>
      <c r="P233">
        <f>COUNTIF(L222:L275,"B+")</f>
        <v>4</v>
      </c>
      <c r="Q233">
        <f>COUNTIF(L222:L275,"B")</f>
        <v>19</v>
      </c>
      <c r="R233">
        <f>COUNTIF(L222:L275,"C+")</f>
        <v>2</v>
      </c>
      <c r="S233">
        <f>COUNTIF(L222:L275,"C")</f>
        <v>5</v>
      </c>
      <c r="T233">
        <f>COUNTIF(L222:L275,"D+")</f>
        <v>2</v>
      </c>
      <c r="U233">
        <f>COUNTIF(L222:L275,"D")</f>
        <v>4</v>
      </c>
      <c r="V233">
        <f>COUNTIF(L222:L275,"F")</f>
        <v>4</v>
      </c>
    </row>
    <row r="234" spans="1:22" x14ac:dyDescent="0.3">
      <c r="A234" s="12">
        <f t="shared" si="26"/>
        <v>13</v>
      </c>
      <c r="B234" s="45" t="s">
        <v>170</v>
      </c>
      <c r="C234" s="45" t="s">
        <v>124</v>
      </c>
      <c r="D234" s="12" t="s">
        <v>1899</v>
      </c>
      <c r="E234" s="12">
        <v>10</v>
      </c>
      <c r="F234" s="12">
        <v>15</v>
      </c>
      <c r="G234" s="317">
        <f t="shared" si="22"/>
        <v>25</v>
      </c>
      <c r="H234" s="12"/>
      <c r="I234" s="12"/>
      <c r="J234" s="12">
        <v>39</v>
      </c>
      <c r="K234" s="317">
        <f t="shared" si="23"/>
        <v>64</v>
      </c>
      <c r="L234" t="str">
        <f t="shared" si="24"/>
        <v>B</v>
      </c>
      <c r="M234" t="str">
        <f t="shared" si="25"/>
        <v>Passed</v>
      </c>
    </row>
    <row r="235" spans="1:22" x14ac:dyDescent="0.3">
      <c r="A235" s="12">
        <f t="shared" si="26"/>
        <v>14</v>
      </c>
      <c r="B235" s="45" t="s">
        <v>172</v>
      </c>
      <c r="C235" s="45" t="s">
        <v>126</v>
      </c>
      <c r="D235" s="12" t="s">
        <v>1878</v>
      </c>
      <c r="E235" s="12">
        <v>10</v>
      </c>
      <c r="F235" s="12">
        <v>20</v>
      </c>
      <c r="G235" s="317">
        <f t="shared" si="22"/>
        <v>30</v>
      </c>
      <c r="H235" s="12"/>
      <c r="I235" s="12"/>
      <c r="J235" s="12">
        <v>44</v>
      </c>
      <c r="K235" s="317">
        <f t="shared" si="23"/>
        <v>74</v>
      </c>
      <c r="L235" t="str">
        <f t="shared" si="24"/>
        <v>B+</v>
      </c>
      <c r="M235" t="str">
        <f t="shared" si="25"/>
        <v>Passed</v>
      </c>
    </row>
    <row r="236" spans="1:22" x14ac:dyDescent="0.3">
      <c r="A236" s="12">
        <f t="shared" si="26"/>
        <v>15</v>
      </c>
      <c r="B236" s="45" t="s">
        <v>173</v>
      </c>
      <c r="C236" s="45" t="s">
        <v>127</v>
      </c>
      <c r="D236" s="12" t="s">
        <v>1887</v>
      </c>
      <c r="E236" s="12">
        <v>10</v>
      </c>
      <c r="F236" s="12">
        <v>23</v>
      </c>
      <c r="G236" s="317">
        <f t="shared" si="22"/>
        <v>33</v>
      </c>
      <c r="H236" s="12"/>
      <c r="I236" s="12"/>
      <c r="J236" s="12">
        <v>39</v>
      </c>
      <c r="K236" s="317">
        <f t="shared" si="23"/>
        <v>72</v>
      </c>
      <c r="L236" t="str">
        <f t="shared" si="24"/>
        <v>B+</v>
      </c>
      <c r="M236" t="str">
        <f t="shared" si="25"/>
        <v>Passed</v>
      </c>
    </row>
    <row r="237" spans="1:22" x14ac:dyDescent="0.3">
      <c r="A237" s="12">
        <f t="shared" si="26"/>
        <v>16</v>
      </c>
      <c r="B237" s="45" t="s">
        <v>175</v>
      </c>
      <c r="C237" s="45" t="s">
        <v>131</v>
      </c>
      <c r="D237" s="12" t="s">
        <v>1919</v>
      </c>
      <c r="E237" s="12">
        <v>9</v>
      </c>
      <c r="F237" s="12">
        <v>25</v>
      </c>
      <c r="G237" s="317">
        <f t="shared" si="22"/>
        <v>34</v>
      </c>
      <c r="H237" s="12"/>
      <c r="I237" s="12"/>
      <c r="J237" s="12">
        <v>52</v>
      </c>
      <c r="K237" s="317">
        <f t="shared" si="23"/>
        <v>86</v>
      </c>
      <c r="L237" t="str">
        <f t="shared" si="24"/>
        <v>A</v>
      </c>
      <c r="M237" t="str">
        <f t="shared" si="25"/>
        <v>Passed</v>
      </c>
    </row>
    <row r="238" spans="1:22" x14ac:dyDescent="0.3">
      <c r="A238" s="12">
        <f t="shared" si="26"/>
        <v>17</v>
      </c>
      <c r="B238" s="277" t="s">
        <v>178</v>
      </c>
      <c r="C238" s="45" t="s">
        <v>133</v>
      </c>
      <c r="D238" s="12" t="s">
        <v>1910</v>
      </c>
      <c r="E238" s="12">
        <v>10</v>
      </c>
      <c r="F238" s="12">
        <v>25</v>
      </c>
      <c r="G238" s="317">
        <f t="shared" si="22"/>
        <v>35</v>
      </c>
      <c r="H238" s="12"/>
      <c r="I238" s="12"/>
      <c r="J238" s="12">
        <v>46</v>
      </c>
      <c r="K238" s="317">
        <f t="shared" si="23"/>
        <v>81</v>
      </c>
      <c r="L238" t="str">
        <f t="shared" si="24"/>
        <v>A</v>
      </c>
      <c r="M238" t="str">
        <f t="shared" si="25"/>
        <v>Passed</v>
      </c>
    </row>
    <row r="239" spans="1:22" x14ac:dyDescent="0.3">
      <c r="A239" s="12">
        <f t="shared" si="26"/>
        <v>18</v>
      </c>
      <c r="B239" s="45" t="s">
        <v>534</v>
      </c>
      <c r="C239" s="303" t="s">
        <v>363</v>
      </c>
      <c r="D239" s="12" t="s">
        <v>1890</v>
      </c>
      <c r="E239" s="12">
        <v>4</v>
      </c>
      <c r="F239" s="12">
        <v>15</v>
      </c>
      <c r="G239" s="317">
        <f t="shared" si="22"/>
        <v>19</v>
      </c>
      <c r="H239" s="12"/>
      <c r="I239" s="12"/>
      <c r="J239" s="12">
        <v>2</v>
      </c>
      <c r="K239" s="317">
        <f t="shared" si="23"/>
        <v>21</v>
      </c>
      <c r="L239" t="str">
        <f t="shared" si="24"/>
        <v>F</v>
      </c>
      <c r="M239" t="str">
        <f t="shared" si="25"/>
        <v>Failed</v>
      </c>
    </row>
    <row r="240" spans="1:22" x14ac:dyDescent="0.3">
      <c r="A240" s="12">
        <f t="shared" si="26"/>
        <v>19</v>
      </c>
      <c r="B240" s="389" t="s">
        <v>144</v>
      </c>
      <c r="C240" s="304" t="s">
        <v>137</v>
      </c>
      <c r="D240" s="12" t="s">
        <v>1902</v>
      </c>
      <c r="E240" s="12">
        <v>8</v>
      </c>
      <c r="F240" s="12">
        <v>18</v>
      </c>
      <c r="G240" s="317">
        <f t="shared" si="22"/>
        <v>26</v>
      </c>
      <c r="H240" s="12"/>
      <c r="I240" s="12"/>
      <c r="J240" s="12">
        <v>18</v>
      </c>
      <c r="K240" s="317">
        <f t="shared" si="23"/>
        <v>44</v>
      </c>
      <c r="L240" t="str">
        <f t="shared" si="24"/>
        <v>D</v>
      </c>
      <c r="M240" t="str">
        <f t="shared" si="25"/>
        <v>Failed</v>
      </c>
    </row>
    <row r="241" spans="1:13" x14ac:dyDescent="0.3">
      <c r="A241" s="12">
        <f t="shared" si="26"/>
        <v>20</v>
      </c>
      <c r="B241" s="390" t="s">
        <v>204</v>
      </c>
      <c r="C241" s="390" t="s">
        <v>138</v>
      </c>
      <c r="D241" s="12" t="s">
        <v>1891</v>
      </c>
      <c r="E241" s="12">
        <v>10</v>
      </c>
      <c r="F241" s="12">
        <v>20</v>
      </c>
      <c r="G241" s="317">
        <f t="shared" si="22"/>
        <v>30</v>
      </c>
      <c r="H241" s="12"/>
      <c r="I241" s="12"/>
      <c r="J241" s="12">
        <v>36</v>
      </c>
      <c r="K241" s="317">
        <f t="shared" si="23"/>
        <v>66</v>
      </c>
      <c r="L241" t="str">
        <f t="shared" si="24"/>
        <v>B</v>
      </c>
      <c r="M241" t="str">
        <f t="shared" si="25"/>
        <v>Passed</v>
      </c>
    </row>
    <row r="242" spans="1:13" x14ac:dyDescent="0.3">
      <c r="A242" s="12">
        <f t="shared" si="26"/>
        <v>21</v>
      </c>
      <c r="B242" s="305" t="s">
        <v>181</v>
      </c>
      <c r="C242" s="45" t="s">
        <v>139</v>
      </c>
      <c r="D242" s="12" t="s">
        <v>1892</v>
      </c>
      <c r="E242" s="12">
        <v>10</v>
      </c>
      <c r="F242" s="12">
        <v>21</v>
      </c>
      <c r="G242" s="317">
        <f t="shared" si="22"/>
        <v>31</v>
      </c>
      <c r="H242" s="12"/>
      <c r="I242" s="12"/>
      <c r="J242" s="12">
        <v>33</v>
      </c>
      <c r="K242" s="317">
        <f t="shared" si="23"/>
        <v>64</v>
      </c>
      <c r="L242" t="str">
        <f t="shared" si="24"/>
        <v>B</v>
      </c>
      <c r="M242" t="str">
        <f t="shared" si="25"/>
        <v>Passed</v>
      </c>
    </row>
    <row r="243" spans="1:13" x14ac:dyDescent="0.3">
      <c r="A243" s="12">
        <f t="shared" si="26"/>
        <v>22</v>
      </c>
      <c r="B243" s="391" t="s">
        <v>201</v>
      </c>
      <c r="C243" s="45" t="s">
        <v>141</v>
      </c>
      <c r="D243" s="12" t="s">
        <v>1872</v>
      </c>
      <c r="E243" s="12">
        <v>10</v>
      </c>
      <c r="F243" s="12">
        <v>18</v>
      </c>
      <c r="G243" s="317">
        <f t="shared" si="22"/>
        <v>28</v>
      </c>
      <c r="H243" s="12"/>
      <c r="I243" s="12"/>
      <c r="J243" s="12">
        <v>40</v>
      </c>
      <c r="K243" s="317">
        <f t="shared" si="23"/>
        <v>68</v>
      </c>
      <c r="L243" t="str">
        <f t="shared" si="24"/>
        <v>B</v>
      </c>
      <c r="M243" t="str">
        <f t="shared" si="25"/>
        <v>Passed</v>
      </c>
    </row>
    <row r="244" spans="1:13" x14ac:dyDescent="0.3">
      <c r="A244" s="12">
        <f t="shared" si="26"/>
        <v>23</v>
      </c>
      <c r="B244" s="45" t="s">
        <v>176</v>
      </c>
      <c r="C244" s="45" t="s">
        <v>481</v>
      </c>
      <c r="D244" s="12" t="s">
        <v>1911</v>
      </c>
      <c r="E244" s="12">
        <v>8</v>
      </c>
      <c r="F244" s="12">
        <v>18</v>
      </c>
      <c r="G244" s="317">
        <f t="shared" si="22"/>
        <v>26</v>
      </c>
      <c r="H244" s="12"/>
      <c r="I244" s="12"/>
      <c r="J244" s="12">
        <v>34</v>
      </c>
      <c r="K244" s="317">
        <f t="shared" si="23"/>
        <v>60</v>
      </c>
      <c r="L244" t="str">
        <f t="shared" si="24"/>
        <v>B</v>
      </c>
      <c r="M244" t="str">
        <f t="shared" si="25"/>
        <v>Passed</v>
      </c>
    </row>
    <row r="245" spans="1:13" x14ac:dyDescent="0.3">
      <c r="A245" s="12">
        <f t="shared" si="26"/>
        <v>24</v>
      </c>
      <c r="B245" s="12" t="s">
        <v>148</v>
      </c>
      <c r="C245" s="12" t="s">
        <v>96</v>
      </c>
      <c r="D245" s="12" t="s">
        <v>1903</v>
      </c>
      <c r="E245" s="12">
        <v>10</v>
      </c>
      <c r="F245" s="12">
        <v>20</v>
      </c>
      <c r="G245" s="317">
        <f t="shared" si="22"/>
        <v>30</v>
      </c>
      <c r="H245" s="12"/>
      <c r="I245" s="12"/>
      <c r="J245" s="12">
        <v>38</v>
      </c>
      <c r="K245" s="317">
        <f t="shared" si="23"/>
        <v>68</v>
      </c>
      <c r="L245" t="str">
        <f t="shared" si="24"/>
        <v>B</v>
      </c>
      <c r="M245" t="str">
        <f t="shared" si="25"/>
        <v>Passed</v>
      </c>
    </row>
    <row r="246" spans="1:13" x14ac:dyDescent="0.3">
      <c r="A246" s="12">
        <f t="shared" si="26"/>
        <v>25</v>
      </c>
      <c r="B246" s="12" t="s">
        <v>153</v>
      </c>
      <c r="C246" s="12" t="s">
        <v>101</v>
      </c>
      <c r="D246" s="12" t="s">
        <v>1880</v>
      </c>
      <c r="E246" s="12">
        <v>6</v>
      </c>
      <c r="F246" s="12">
        <v>20</v>
      </c>
      <c r="G246" s="317">
        <f t="shared" si="22"/>
        <v>26</v>
      </c>
      <c r="H246" s="12"/>
      <c r="I246" s="12"/>
      <c r="J246" s="12">
        <v>14</v>
      </c>
      <c r="K246" s="317">
        <f t="shared" si="23"/>
        <v>40</v>
      </c>
      <c r="L246" t="str">
        <f t="shared" si="24"/>
        <v>D</v>
      </c>
      <c r="M246" t="str">
        <f t="shared" si="25"/>
        <v>Failed</v>
      </c>
    </row>
    <row r="247" spans="1:13" x14ac:dyDescent="0.3">
      <c r="A247" s="12">
        <f t="shared" si="26"/>
        <v>26</v>
      </c>
      <c r="B247" s="12" t="s">
        <v>154</v>
      </c>
      <c r="C247" s="12" t="s">
        <v>102</v>
      </c>
      <c r="D247" s="12" t="s">
        <v>1901</v>
      </c>
      <c r="E247" s="12">
        <v>8</v>
      </c>
      <c r="F247" s="12">
        <v>20</v>
      </c>
      <c r="G247" s="317">
        <f t="shared" si="22"/>
        <v>28</v>
      </c>
      <c r="H247" s="12"/>
      <c r="I247" s="12"/>
      <c r="J247" s="12">
        <v>4</v>
      </c>
      <c r="K247" s="317">
        <f t="shared" si="23"/>
        <v>32</v>
      </c>
      <c r="L247" t="str">
        <f t="shared" si="24"/>
        <v>F</v>
      </c>
      <c r="M247" t="str">
        <f t="shared" si="25"/>
        <v>Failed</v>
      </c>
    </row>
    <row r="248" spans="1:13" x14ac:dyDescent="0.3">
      <c r="A248" s="12">
        <f t="shared" si="26"/>
        <v>27</v>
      </c>
      <c r="B248" s="12" t="s">
        <v>162</v>
      </c>
      <c r="C248" s="12" t="s">
        <v>112</v>
      </c>
      <c r="D248" s="12" t="s">
        <v>1913</v>
      </c>
      <c r="E248" s="12">
        <v>8</v>
      </c>
      <c r="F248" s="12">
        <v>24</v>
      </c>
      <c r="G248" s="317">
        <f t="shared" si="22"/>
        <v>32</v>
      </c>
      <c r="H248" s="12"/>
      <c r="I248" s="12"/>
      <c r="J248" s="12">
        <v>32</v>
      </c>
      <c r="K248" s="317">
        <f t="shared" si="23"/>
        <v>64</v>
      </c>
      <c r="L248" t="str">
        <f t="shared" si="24"/>
        <v>B</v>
      </c>
      <c r="M248" t="str">
        <f t="shared" si="25"/>
        <v>Passed</v>
      </c>
    </row>
    <row r="249" spans="1:13" x14ac:dyDescent="0.3">
      <c r="A249" s="12">
        <f t="shared" si="26"/>
        <v>28</v>
      </c>
      <c r="B249" s="12" t="s">
        <v>164</v>
      </c>
      <c r="C249" s="12" t="s">
        <v>114</v>
      </c>
      <c r="D249" s="12" t="s">
        <v>1896</v>
      </c>
      <c r="E249" s="12">
        <v>9</v>
      </c>
      <c r="F249" s="12">
        <v>18</v>
      </c>
      <c r="G249" s="317">
        <f t="shared" si="22"/>
        <v>27</v>
      </c>
      <c r="H249" s="12"/>
      <c r="I249" s="12"/>
      <c r="J249" s="12">
        <v>34</v>
      </c>
      <c r="K249" s="317">
        <f t="shared" si="23"/>
        <v>61</v>
      </c>
      <c r="L249" t="str">
        <f t="shared" si="24"/>
        <v>B</v>
      </c>
      <c r="M249" t="str">
        <f t="shared" si="25"/>
        <v>Passed</v>
      </c>
    </row>
    <row r="250" spans="1:13" x14ac:dyDescent="0.3">
      <c r="A250" s="12">
        <f t="shared" si="26"/>
        <v>29</v>
      </c>
      <c r="B250" s="60" t="s">
        <v>165</v>
      </c>
      <c r="C250" s="12" t="s">
        <v>116</v>
      </c>
      <c r="D250" s="12" t="s">
        <v>1875</v>
      </c>
      <c r="E250" s="12">
        <v>10</v>
      </c>
      <c r="F250" s="12">
        <v>20</v>
      </c>
      <c r="G250" s="317">
        <f t="shared" si="22"/>
        <v>30</v>
      </c>
      <c r="H250" s="12"/>
      <c r="I250" s="12"/>
      <c r="J250" s="12">
        <v>54</v>
      </c>
      <c r="K250" s="317">
        <f t="shared" si="23"/>
        <v>84</v>
      </c>
      <c r="L250" t="str">
        <f t="shared" si="24"/>
        <v>A</v>
      </c>
      <c r="M250" t="str">
        <f t="shared" si="25"/>
        <v>Passed</v>
      </c>
    </row>
    <row r="251" spans="1:13" x14ac:dyDescent="0.3">
      <c r="A251" s="12">
        <f t="shared" si="26"/>
        <v>30</v>
      </c>
      <c r="B251" s="12" t="s">
        <v>206</v>
      </c>
      <c r="C251" s="12" t="s">
        <v>123</v>
      </c>
      <c r="D251" s="12" t="s">
        <v>1906</v>
      </c>
      <c r="E251" s="12">
        <v>10</v>
      </c>
      <c r="F251" s="12">
        <v>21</v>
      </c>
      <c r="G251" s="317">
        <f t="shared" si="22"/>
        <v>31</v>
      </c>
      <c r="H251" s="12"/>
      <c r="I251" s="12"/>
      <c r="J251" s="12">
        <v>34</v>
      </c>
      <c r="K251" s="317">
        <f t="shared" si="23"/>
        <v>65</v>
      </c>
      <c r="L251" t="str">
        <f t="shared" ref="L251:L275" si="27">IF(K251&gt;=80,"A",IF(K251&gt;=70,"B+",IF(K251&gt;=60,"B",IF(K251&gt;=55,"C+",IF(K251&gt;=50,"C",IF(K251&gt;=45,"D+",IF(K251&gt;=40,"D","F")))))))</f>
        <v>B</v>
      </c>
      <c r="M251" t="str">
        <f t="shared" ref="M251:M275" si="28">IF(K251&gt;=50,"Passed","Failed")</f>
        <v>Passed</v>
      </c>
    </row>
    <row r="252" spans="1:13" x14ac:dyDescent="0.3">
      <c r="A252" s="12">
        <f t="shared" si="26"/>
        <v>31</v>
      </c>
      <c r="B252" s="12" t="s">
        <v>202</v>
      </c>
      <c r="C252" s="12" t="s">
        <v>135</v>
      </c>
      <c r="D252" s="12" t="s">
        <v>1907</v>
      </c>
      <c r="E252" s="12">
        <v>8</v>
      </c>
      <c r="F252" s="12">
        <v>21</v>
      </c>
      <c r="G252" s="317">
        <f t="shared" si="22"/>
        <v>29</v>
      </c>
      <c r="H252" s="12"/>
      <c r="I252" s="12"/>
      <c r="J252" s="12">
        <v>34</v>
      </c>
      <c r="K252" s="317">
        <f t="shared" si="23"/>
        <v>63</v>
      </c>
      <c r="L252" t="str">
        <f t="shared" si="27"/>
        <v>B</v>
      </c>
      <c r="M252" t="str">
        <f t="shared" si="28"/>
        <v>Passed</v>
      </c>
    </row>
    <row r="253" spans="1:13" x14ac:dyDescent="0.3">
      <c r="A253" s="12">
        <f t="shared" si="26"/>
        <v>32</v>
      </c>
      <c r="B253" s="12" t="s">
        <v>1249</v>
      </c>
      <c r="C253" s="12" t="s">
        <v>422</v>
      </c>
      <c r="D253" s="12" t="s">
        <v>1884</v>
      </c>
      <c r="E253" s="12">
        <v>8</v>
      </c>
      <c r="F253" s="12">
        <v>20</v>
      </c>
      <c r="G253" s="317">
        <f t="shared" si="22"/>
        <v>28</v>
      </c>
      <c r="H253" s="12"/>
      <c r="I253" s="12"/>
      <c r="J253" s="12">
        <v>31</v>
      </c>
      <c r="K253" s="317">
        <f t="shared" si="23"/>
        <v>59</v>
      </c>
      <c r="L253" t="str">
        <f t="shared" si="27"/>
        <v>C+</v>
      </c>
      <c r="M253" t="str">
        <f t="shared" si="28"/>
        <v>Passed</v>
      </c>
    </row>
    <row r="254" spans="1:13" x14ac:dyDescent="0.3">
      <c r="A254" s="12">
        <f t="shared" si="26"/>
        <v>33</v>
      </c>
      <c r="B254" s="45" t="s">
        <v>150</v>
      </c>
      <c r="C254" s="45" t="s">
        <v>98</v>
      </c>
      <c r="D254" s="12" t="s">
        <v>1897</v>
      </c>
      <c r="E254" s="12">
        <v>10</v>
      </c>
      <c r="F254" s="12">
        <v>19</v>
      </c>
      <c r="G254" s="317">
        <f t="shared" si="22"/>
        <v>29</v>
      </c>
      <c r="H254" s="12"/>
      <c r="I254" s="12"/>
      <c r="J254" s="12">
        <v>32</v>
      </c>
      <c r="K254" s="317">
        <f t="shared" si="23"/>
        <v>61</v>
      </c>
      <c r="L254" t="str">
        <f t="shared" si="27"/>
        <v>B</v>
      </c>
      <c r="M254" t="str">
        <f t="shared" si="28"/>
        <v>Passed</v>
      </c>
    </row>
    <row r="255" spans="1:13" x14ac:dyDescent="0.3">
      <c r="A255" s="12">
        <f t="shared" si="26"/>
        <v>34</v>
      </c>
      <c r="B255" s="45" t="s">
        <v>151</v>
      </c>
      <c r="C255" s="45" t="s">
        <v>99</v>
      </c>
      <c r="D255" s="12" t="s">
        <v>1888</v>
      </c>
      <c r="E255" s="12">
        <v>8</v>
      </c>
      <c r="F255" s="12">
        <v>21</v>
      </c>
      <c r="G255" s="317">
        <f t="shared" si="22"/>
        <v>29</v>
      </c>
      <c r="H255" s="12"/>
      <c r="I255" s="12"/>
      <c r="J255" s="12">
        <v>3</v>
      </c>
      <c r="K255" s="317">
        <f t="shared" si="23"/>
        <v>32</v>
      </c>
      <c r="L255" t="str">
        <f t="shared" si="27"/>
        <v>F</v>
      </c>
      <c r="M255" t="str">
        <f t="shared" si="28"/>
        <v>Failed</v>
      </c>
    </row>
    <row r="256" spans="1:13" x14ac:dyDescent="0.3">
      <c r="A256" s="12">
        <f t="shared" si="26"/>
        <v>35</v>
      </c>
      <c r="B256" s="45" t="s">
        <v>157</v>
      </c>
      <c r="C256" s="45" t="s">
        <v>106</v>
      </c>
      <c r="D256" s="12" t="s">
        <v>1893</v>
      </c>
      <c r="E256" s="12">
        <v>10</v>
      </c>
      <c r="F256" s="340">
        <v>21</v>
      </c>
      <c r="G256" s="317">
        <f t="shared" si="22"/>
        <v>31</v>
      </c>
      <c r="H256" s="12"/>
      <c r="I256" s="12"/>
      <c r="J256" s="12">
        <v>19</v>
      </c>
      <c r="K256" s="317">
        <f t="shared" si="23"/>
        <v>50</v>
      </c>
      <c r="L256" t="str">
        <f t="shared" si="27"/>
        <v>C</v>
      </c>
      <c r="M256" t="str">
        <f t="shared" si="28"/>
        <v>Passed</v>
      </c>
    </row>
    <row r="257" spans="1:13" x14ac:dyDescent="0.3">
      <c r="A257" s="12">
        <f t="shared" si="26"/>
        <v>36</v>
      </c>
      <c r="B257" s="45" t="s">
        <v>158</v>
      </c>
      <c r="C257" s="45" t="s">
        <v>107</v>
      </c>
      <c r="D257" s="12" t="s">
        <v>1898</v>
      </c>
      <c r="E257" s="12">
        <v>10</v>
      </c>
      <c r="F257" s="12">
        <v>17</v>
      </c>
      <c r="G257" s="317">
        <f t="shared" si="22"/>
        <v>27</v>
      </c>
      <c r="H257" s="12"/>
      <c r="I257" s="12"/>
      <c r="J257" s="12">
        <v>38</v>
      </c>
      <c r="K257" s="317">
        <f t="shared" si="23"/>
        <v>65</v>
      </c>
      <c r="L257" t="str">
        <f t="shared" si="27"/>
        <v>B</v>
      </c>
      <c r="M257" t="str">
        <f t="shared" si="28"/>
        <v>Passed</v>
      </c>
    </row>
    <row r="258" spans="1:13" x14ac:dyDescent="0.3">
      <c r="A258" s="12">
        <f t="shared" si="26"/>
        <v>37</v>
      </c>
      <c r="B258" s="45" t="s">
        <v>159</v>
      </c>
      <c r="C258" s="45" t="s">
        <v>108</v>
      </c>
      <c r="D258" s="12" t="s">
        <v>1909</v>
      </c>
      <c r="E258" s="12">
        <v>10</v>
      </c>
      <c r="F258" s="12">
        <v>20</v>
      </c>
      <c r="G258" s="317">
        <f t="shared" si="22"/>
        <v>30</v>
      </c>
      <c r="H258" s="12"/>
      <c r="I258" s="12"/>
      <c r="J258" s="12">
        <v>40</v>
      </c>
      <c r="K258" s="317">
        <f t="shared" si="23"/>
        <v>70</v>
      </c>
      <c r="L258" t="str">
        <f t="shared" si="27"/>
        <v>B+</v>
      </c>
      <c r="M258" t="str">
        <f t="shared" si="28"/>
        <v>Passed</v>
      </c>
    </row>
    <row r="259" spans="1:13" x14ac:dyDescent="0.3">
      <c r="A259" s="12">
        <f t="shared" si="26"/>
        <v>38</v>
      </c>
      <c r="B259" s="45" t="s">
        <v>167</v>
      </c>
      <c r="C259" s="45" t="s">
        <v>118</v>
      </c>
      <c r="D259" s="12" t="s">
        <v>1871</v>
      </c>
      <c r="E259" s="12">
        <v>9</v>
      </c>
      <c r="F259" s="12">
        <v>20</v>
      </c>
      <c r="G259" s="317">
        <f t="shared" si="22"/>
        <v>29</v>
      </c>
      <c r="H259" s="12"/>
      <c r="I259" s="12"/>
      <c r="J259" s="12">
        <v>25</v>
      </c>
      <c r="K259" s="317">
        <f t="shared" si="23"/>
        <v>54</v>
      </c>
      <c r="L259" t="str">
        <f t="shared" si="27"/>
        <v>C</v>
      </c>
      <c r="M259" t="str">
        <f t="shared" si="28"/>
        <v>Passed</v>
      </c>
    </row>
    <row r="260" spans="1:13" x14ac:dyDescent="0.3">
      <c r="A260" s="12">
        <f t="shared" si="26"/>
        <v>39</v>
      </c>
      <c r="B260" s="45" t="s">
        <v>171</v>
      </c>
      <c r="C260" s="45" t="s">
        <v>125</v>
      </c>
      <c r="D260" s="12" t="s">
        <v>1879</v>
      </c>
      <c r="E260" s="12">
        <v>10</v>
      </c>
      <c r="F260" s="12">
        <v>19</v>
      </c>
      <c r="G260" s="317">
        <f t="shared" si="22"/>
        <v>29</v>
      </c>
      <c r="H260" s="12"/>
      <c r="I260" s="12"/>
      <c r="J260" s="12">
        <v>12</v>
      </c>
      <c r="K260" s="317">
        <f t="shared" si="23"/>
        <v>41</v>
      </c>
      <c r="L260" t="str">
        <f t="shared" si="27"/>
        <v>D</v>
      </c>
      <c r="M260" t="str">
        <f t="shared" si="28"/>
        <v>Failed</v>
      </c>
    </row>
    <row r="261" spans="1:13" x14ac:dyDescent="0.3">
      <c r="A261" s="12">
        <f t="shared" si="26"/>
        <v>40</v>
      </c>
      <c r="B261" s="45" t="s">
        <v>174</v>
      </c>
      <c r="C261" s="45" t="s">
        <v>128</v>
      </c>
      <c r="D261" s="12" t="s">
        <v>1874</v>
      </c>
      <c r="E261" s="12">
        <v>9</v>
      </c>
      <c r="F261" s="12">
        <v>19</v>
      </c>
      <c r="G261" s="317">
        <f t="shared" si="22"/>
        <v>28</v>
      </c>
      <c r="H261" s="12"/>
      <c r="I261" s="12"/>
      <c r="J261" s="12">
        <v>36</v>
      </c>
      <c r="K261" s="317">
        <f t="shared" si="23"/>
        <v>64</v>
      </c>
      <c r="L261" t="str">
        <f t="shared" si="27"/>
        <v>B</v>
      </c>
      <c r="M261" t="str">
        <f t="shared" si="28"/>
        <v>Passed</v>
      </c>
    </row>
    <row r="262" spans="1:13" x14ac:dyDescent="0.3">
      <c r="A262" s="12">
        <f t="shared" si="26"/>
        <v>41</v>
      </c>
      <c r="B262" s="45" t="s">
        <v>220</v>
      </c>
      <c r="C262" s="45" t="s">
        <v>130</v>
      </c>
      <c r="D262" s="12" t="s">
        <v>1886</v>
      </c>
      <c r="E262" s="12">
        <v>8</v>
      </c>
      <c r="F262" s="12">
        <v>20</v>
      </c>
      <c r="G262" s="317">
        <f t="shared" si="22"/>
        <v>28</v>
      </c>
      <c r="H262" s="12"/>
      <c r="I262" s="12"/>
      <c r="J262" s="12">
        <v>15</v>
      </c>
      <c r="K262" s="317">
        <f t="shared" si="23"/>
        <v>43</v>
      </c>
      <c r="L262" t="str">
        <f t="shared" si="27"/>
        <v>D</v>
      </c>
      <c r="M262" t="str">
        <f t="shared" si="28"/>
        <v>Failed</v>
      </c>
    </row>
    <row r="263" spans="1:13" x14ac:dyDescent="0.3">
      <c r="A263" s="12">
        <f t="shared" si="26"/>
        <v>42</v>
      </c>
      <c r="B263" s="45" t="s">
        <v>659</v>
      </c>
      <c r="C263" s="45" t="s">
        <v>117</v>
      </c>
      <c r="D263" s="12" t="s">
        <v>1894</v>
      </c>
      <c r="E263" s="12">
        <v>10</v>
      </c>
      <c r="F263" s="12">
        <v>20</v>
      </c>
      <c r="G263" s="317">
        <f t="shared" si="22"/>
        <v>30</v>
      </c>
      <c r="H263" s="12"/>
      <c r="I263" s="12"/>
      <c r="J263" s="12">
        <v>32</v>
      </c>
      <c r="K263" s="317">
        <f t="shared" si="23"/>
        <v>62</v>
      </c>
      <c r="L263" t="str">
        <f t="shared" si="27"/>
        <v>B</v>
      </c>
      <c r="M263" t="str">
        <f t="shared" si="28"/>
        <v>Passed</v>
      </c>
    </row>
    <row r="264" spans="1:13" x14ac:dyDescent="0.3">
      <c r="A264" s="12">
        <f t="shared" si="26"/>
        <v>43</v>
      </c>
      <c r="B264" s="45" t="s">
        <v>146</v>
      </c>
      <c r="C264" s="45" t="s">
        <v>94</v>
      </c>
      <c r="D264" s="12" t="s">
        <v>1883</v>
      </c>
      <c r="E264" s="12">
        <v>10</v>
      </c>
      <c r="F264" s="12">
        <v>22</v>
      </c>
      <c r="G264" s="317">
        <f t="shared" si="22"/>
        <v>32</v>
      </c>
      <c r="H264" s="12"/>
      <c r="I264" s="12"/>
      <c r="J264" s="12">
        <v>6</v>
      </c>
      <c r="K264" s="317">
        <f t="shared" si="23"/>
        <v>38</v>
      </c>
      <c r="L264" t="str">
        <f t="shared" si="27"/>
        <v>F</v>
      </c>
      <c r="M264" t="str">
        <f t="shared" si="28"/>
        <v>Failed</v>
      </c>
    </row>
    <row r="265" spans="1:13" x14ac:dyDescent="0.3">
      <c r="A265" s="12">
        <f t="shared" si="26"/>
        <v>44</v>
      </c>
      <c r="B265" s="277" t="s">
        <v>147</v>
      </c>
      <c r="C265" s="45" t="s">
        <v>95</v>
      </c>
      <c r="D265" s="12" t="s">
        <v>1882</v>
      </c>
      <c r="E265" s="12">
        <v>10</v>
      </c>
      <c r="F265" s="12">
        <v>20</v>
      </c>
      <c r="G265" s="317">
        <f t="shared" si="22"/>
        <v>30</v>
      </c>
      <c r="H265" s="12"/>
      <c r="I265" s="12"/>
      <c r="J265" s="12">
        <v>38</v>
      </c>
      <c r="K265" s="317">
        <f t="shared" si="23"/>
        <v>68</v>
      </c>
      <c r="L265" t="str">
        <f t="shared" si="27"/>
        <v>B</v>
      </c>
      <c r="M265" t="str">
        <f t="shared" si="28"/>
        <v>Passed</v>
      </c>
    </row>
    <row r="266" spans="1:13" x14ac:dyDescent="0.3">
      <c r="A266" s="12">
        <f t="shared" si="26"/>
        <v>45</v>
      </c>
      <c r="B266" s="45" t="s">
        <v>155</v>
      </c>
      <c r="C266" s="45" t="s">
        <v>103</v>
      </c>
      <c r="D266" s="12" t="s">
        <v>1908</v>
      </c>
      <c r="E266" s="12">
        <v>8</v>
      </c>
      <c r="F266" s="12">
        <v>19</v>
      </c>
      <c r="G266" s="317">
        <f t="shared" si="22"/>
        <v>27</v>
      </c>
      <c r="H266" s="12"/>
      <c r="I266" s="12"/>
      <c r="J266" s="12">
        <v>28</v>
      </c>
      <c r="K266" s="317">
        <f t="shared" si="23"/>
        <v>55</v>
      </c>
      <c r="L266" t="str">
        <f t="shared" si="27"/>
        <v>C+</v>
      </c>
      <c r="M266" t="str">
        <f t="shared" si="28"/>
        <v>Passed</v>
      </c>
    </row>
    <row r="267" spans="1:13" s="14" customFormat="1" x14ac:dyDescent="0.3">
      <c r="A267" s="429">
        <f t="shared" si="26"/>
        <v>46</v>
      </c>
      <c r="B267" s="429" t="s">
        <v>182</v>
      </c>
      <c r="C267" s="429" t="s">
        <v>105</v>
      </c>
      <c r="D267" s="429" t="s">
        <v>1870</v>
      </c>
      <c r="E267" s="429">
        <v>5</v>
      </c>
      <c r="F267" s="429">
        <v>20</v>
      </c>
      <c r="G267" s="429">
        <f t="shared" si="22"/>
        <v>25</v>
      </c>
      <c r="H267" s="429"/>
      <c r="I267" s="429"/>
      <c r="J267" s="429" t="s">
        <v>1938</v>
      </c>
      <c r="K267" s="429"/>
    </row>
    <row r="268" spans="1:13" x14ac:dyDescent="0.3">
      <c r="A268" s="12">
        <f t="shared" si="26"/>
        <v>47</v>
      </c>
      <c r="B268" s="45" t="s">
        <v>161</v>
      </c>
      <c r="C268" s="45" t="s">
        <v>111</v>
      </c>
      <c r="D268" s="12" t="s">
        <v>1870</v>
      </c>
      <c r="E268" s="12"/>
      <c r="F268" s="12"/>
      <c r="G268" s="317"/>
      <c r="H268" s="12"/>
      <c r="I268" s="12"/>
      <c r="J268" s="12"/>
      <c r="K268" s="317"/>
    </row>
    <row r="269" spans="1:13" x14ac:dyDescent="0.3">
      <c r="A269" s="12">
        <f t="shared" si="26"/>
        <v>48</v>
      </c>
      <c r="B269" s="45" t="s">
        <v>169</v>
      </c>
      <c r="C269" s="45" t="s">
        <v>122</v>
      </c>
      <c r="D269" s="12" t="s">
        <v>1870</v>
      </c>
      <c r="E269" s="12"/>
      <c r="F269" s="12"/>
      <c r="G269" s="317"/>
      <c r="H269" s="12"/>
      <c r="I269" s="12"/>
      <c r="J269" s="12"/>
      <c r="K269" s="317"/>
    </row>
    <row r="270" spans="1:13" x14ac:dyDescent="0.3">
      <c r="A270" s="12">
        <f t="shared" si="26"/>
        <v>49</v>
      </c>
      <c r="B270" s="45" t="s">
        <v>648</v>
      </c>
      <c r="C270" s="45" t="s">
        <v>129</v>
      </c>
      <c r="D270" s="12" t="s">
        <v>1918</v>
      </c>
      <c r="E270" s="12">
        <v>9</v>
      </c>
      <c r="F270" s="12">
        <v>20</v>
      </c>
      <c r="G270" s="317">
        <f t="shared" si="22"/>
        <v>29</v>
      </c>
      <c r="H270" s="12"/>
      <c r="I270" s="12"/>
      <c r="J270" s="12">
        <v>36</v>
      </c>
      <c r="K270" s="317">
        <f t="shared" si="23"/>
        <v>65</v>
      </c>
      <c r="L270" t="str">
        <f t="shared" si="27"/>
        <v>B</v>
      </c>
      <c r="M270" t="str">
        <f t="shared" si="28"/>
        <v>Passed</v>
      </c>
    </row>
    <row r="271" spans="1:13" x14ac:dyDescent="0.3">
      <c r="A271" s="12">
        <f t="shared" si="26"/>
        <v>50</v>
      </c>
      <c r="B271" s="45" t="s">
        <v>177</v>
      </c>
      <c r="C271" s="45" t="s">
        <v>132</v>
      </c>
      <c r="D271" s="12" t="s">
        <v>1900</v>
      </c>
      <c r="E271" s="12">
        <v>10</v>
      </c>
      <c r="F271" s="12">
        <v>23</v>
      </c>
      <c r="G271" s="317">
        <f t="shared" si="22"/>
        <v>33</v>
      </c>
      <c r="H271" s="12"/>
      <c r="I271" s="12"/>
      <c r="J271" s="12">
        <v>40</v>
      </c>
      <c r="K271" s="317">
        <f t="shared" si="23"/>
        <v>73</v>
      </c>
      <c r="L271" t="str">
        <f t="shared" si="27"/>
        <v>B+</v>
      </c>
      <c r="M271" t="str">
        <f t="shared" si="28"/>
        <v>Passed</v>
      </c>
    </row>
    <row r="272" spans="1:13" x14ac:dyDescent="0.3">
      <c r="A272" s="12">
        <f t="shared" si="26"/>
        <v>51</v>
      </c>
      <c r="B272" s="45" t="s">
        <v>179</v>
      </c>
      <c r="C272" s="45" t="s">
        <v>665</v>
      </c>
      <c r="D272" s="12" t="s">
        <v>1881</v>
      </c>
      <c r="E272" s="12">
        <v>10</v>
      </c>
      <c r="F272" s="12">
        <v>21</v>
      </c>
      <c r="G272" s="317">
        <f t="shared" si="22"/>
        <v>31</v>
      </c>
      <c r="H272" s="12"/>
      <c r="I272" s="12"/>
      <c r="J272" s="12">
        <v>36</v>
      </c>
      <c r="K272" s="317">
        <f t="shared" si="23"/>
        <v>67</v>
      </c>
      <c r="L272" t="str">
        <f t="shared" si="27"/>
        <v>B</v>
      </c>
      <c r="M272" t="str">
        <f t="shared" si="28"/>
        <v>Passed</v>
      </c>
    </row>
    <row r="273" spans="1:15" x14ac:dyDescent="0.3">
      <c r="A273" s="12">
        <f t="shared" si="26"/>
        <v>52</v>
      </c>
      <c r="B273" s="45" t="s">
        <v>180</v>
      </c>
      <c r="C273" s="45" t="s">
        <v>136</v>
      </c>
      <c r="D273" s="12" t="s">
        <v>1885</v>
      </c>
      <c r="E273" s="12">
        <v>10</v>
      </c>
      <c r="F273" s="12">
        <v>22</v>
      </c>
      <c r="G273" s="317">
        <f t="shared" si="22"/>
        <v>32</v>
      </c>
      <c r="H273" s="12"/>
      <c r="I273" s="12"/>
      <c r="J273" s="12">
        <v>15</v>
      </c>
      <c r="K273" s="317">
        <f t="shared" si="23"/>
        <v>47</v>
      </c>
      <c r="L273" t="str">
        <f t="shared" si="27"/>
        <v>D+</v>
      </c>
      <c r="M273" t="str">
        <f t="shared" si="28"/>
        <v>Failed</v>
      </c>
    </row>
    <row r="274" spans="1:15" x14ac:dyDescent="0.3">
      <c r="A274" s="12">
        <f t="shared" si="26"/>
        <v>53</v>
      </c>
      <c r="B274" s="45" t="s">
        <v>183</v>
      </c>
      <c r="C274" s="45" t="s">
        <v>140</v>
      </c>
      <c r="D274" s="12" t="s">
        <v>1917</v>
      </c>
      <c r="E274" s="12">
        <v>10</v>
      </c>
      <c r="F274" s="12">
        <v>23</v>
      </c>
      <c r="G274" s="317">
        <f t="shared" si="22"/>
        <v>33</v>
      </c>
      <c r="H274" s="12"/>
      <c r="I274" s="12"/>
      <c r="J274" s="12">
        <v>21</v>
      </c>
      <c r="K274" s="317">
        <f t="shared" si="23"/>
        <v>54</v>
      </c>
      <c r="L274" t="str">
        <f t="shared" si="27"/>
        <v>C</v>
      </c>
      <c r="M274" t="str">
        <f t="shared" si="28"/>
        <v>Passed</v>
      </c>
    </row>
    <row r="275" spans="1:15" x14ac:dyDescent="0.3">
      <c r="A275" s="12">
        <f t="shared" si="26"/>
        <v>54</v>
      </c>
      <c r="B275" s="45" t="s">
        <v>184</v>
      </c>
      <c r="C275" s="45" t="s">
        <v>142</v>
      </c>
      <c r="D275" s="12" t="s">
        <v>1905</v>
      </c>
      <c r="E275" s="12">
        <v>8</v>
      </c>
      <c r="F275" s="12">
        <v>20</v>
      </c>
      <c r="G275" s="317">
        <f t="shared" si="22"/>
        <v>28</v>
      </c>
      <c r="H275" s="12"/>
      <c r="I275" s="12"/>
      <c r="J275" s="12">
        <v>36</v>
      </c>
      <c r="K275" s="317">
        <f t="shared" si="23"/>
        <v>64</v>
      </c>
      <c r="L275" t="str">
        <f t="shared" si="27"/>
        <v>B</v>
      </c>
      <c r="M275" t="str">
        <f t="shared" si="28"/>
        <v>Passed</v>
      </c>
    </row>
    <row r="277" spans="1:15" x14ac:dyDescent="0.3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/>
    </row>
    <row r="278" spans="1:15" x14ac:dyDescent="0.3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/>
    </row>
    <row r="279" spans="1:15" x14ac:dyDescent="0.3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/>
    </row>
    <row r="280" spans="1:15" x14ac:dyDescent="0.3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/>
    </row>
    <row r="281" spans="1:15" x14ac:dyDescent="0.3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/>
    </row>
    <row r="284" spans="1:15" x14ac:dyDescent="0.3">
      <c r="A284" s="38" t="s">
        <v>0</v>
      </c>
      <c r="B284" s="39"/>
      <c r="C284" s="39"/>
      <c r="D284" s="39"/>
      <c r="E284" s="39"/>
      <c r="F284" s="39"/>
      <c r="G284" s="39"/>
      <c r="H284" s="70"/>
      <c r="I284" s="70"/>
      <c r="J284" s="39"/>
      <c r="K284" s="39"/>
      <c r="L284" s="39"/>
    </row>
    <row r="285" spans="1:15" x14ac:dyDescent="0.3">
      <c r="A285" s="14" t="s">
        <v>66</v>
      </c>
      <c r="B285" s="14"/>
      <c r="C285" s="14"/>
      <c r="D285" s="14"/>
    </row>
    <row r="286" spans="1:15" x14ac:dyDescent="0.3">
      <c r="A286" s="460" t="s">
        <v>362</v>
      </c>
      <c r="B286" s="461"/>
      <c r="C286" s="461"/>
      <c r="D286" s="2"/>
      <c r="E286" s="2"/>
      <c r="F286" s="2"/>
      <c r="G286" s="2"/>
      <c r="H286" s="2"/>
      <c r="I286" s="2"/>
      <c r="J286" s="2"/>
      <c r="K286" s="2"/>
      <c r="L286" s="1"/>
      <c r="M286" s="16"/>
      <c r="N286" s="16"/>
      <c r="O286" s="13"/>
    </row>
    <row r="287" spans="1:15" x14ac:dyDescent="0.3">
      <c r="A287" s="38" t="s">
        <v>1</v>
      </c>
      <c r="B287" s="462" t="s">
        <v>69</v>
      </c>
      <c r="C287" s="462"/>
      <c r="D287" s="38"/>
      <c r="E287" s="39"/>
      <c r="F287" s="39"/>
      <c r="G287" s="39"/>
      <c r="H287" s="70"/>
      <c r="I287" s="70"/>
      <c r="J287" s="39"/>
      <c r="K287" s="39"/>
      <c r="L287" s="39"/>
    </row>
    <row r="288" spans="1:15" x14ac:dyDescent="0.3">
      <c r="A288" s="38" t="s">
        <v>3</v>
      </c>
      <c r="B288" s="462" t="s">
        <v>1770</v>
      </c>
      <c r="C288" s="462"/>
      <c r="D288" s="38"/>
      <c r="E288" s="39"/>
      <c r="F288" s="39"/>
      <c r="G288" s="39"/>
      <c r="H288" s="70"/>
      <c r="I288" s="70"/>
      <c r="J288" s="39"/>
      <c r="K288" s="39"/>
      <c r="L288" s="39"/>
    </row>
    <row r="289" spans="1:15" x14ac:dyDescent="0.3">
      <c r="A289" s="38" t="s">
        <v>4</v>
      </c>
      <c r="B289" s="463" t="s">
        <v>75</v>
      </c>
      <c r="C289" s="463"/>
      <c r="D289" s="38"/>
      <c r="E289" s="39"/>
      <c r="F289" s="39"/>
      <c r="G289" s="39"/>
      <c r="H289" s="70"/>
      <c r="I289" s="70"/>
      <c r="J289" s="39"/>
      <c r="K289" s="39"/>
      <c r="L289" s="39"/>
    </row>
    <row r="290" spans="1:15" x14ac:dyDescent="0.3">
      <c r="A290" s="38" t="s">
        <v>5</v>
      </c>
      <c r="B290" s="463">
        <v>2</v>
      </c>
      <c r="C290" s="463"/>
      <c r="D290" s="38"/>
      <c r="E290" s="39"/>
      <c r="F290" s="39"/>
      <c r="G290" s="39"/>
      <c r="H290" s="70"/>
      <c r="I290" s="70"/>
      <c r="J290" s="39"/>
      <c r="K290" s="39"/>
      <c r="L290" s="39"/>
    </row>
    <row r="291" spans="1:15" x14ac:dyDescent="0.3">
      <c r="A291" s="38" t="s">
        <v>6</v>
      </c>
      <c r="B291" s="462" t="s">
        <v>424</v>
      </c>
      <c r="C291" s="462"/>
      <c r="D291" s="38"/>
      <c r="E291" s="39"/>
      <c r="F291" s="39"/>
      <c r="G291" s="39"/>
      <c r="H291" s="70"/>
      <c r="I291" s="70"/>
      <c r="J291" s="39"/>
      <c r="K291" s="39"/>
      <c r="L291" s="39"/>
    </row>
    <row r="292" spans="1:15" x14ac:dyDescent="0.3">
      <c r="A292" s="38" t="s">
        <v>68</v>
      </c>
      <c r="B292" s="465" t="s">
        <v>679</v>
      </c>
      <c r="C292" s="465"/>
      <c r="D292" s="38"/>
      <c r="E292" s="39"/>
      <c r="F292" s="39"/>
      <c r="G292" s="39"/>
      <c r="H292" s="70"/>
      <c r="I292" s="70"/>
      <c r="J292" s="39"/>
      <c r="K292" s="39"/>
      <c r="L292" s="39"/>
    </row>
    <row r="293" spans="1:15" x14ac:dyDescent="0.3">
      <c r="A293" s="49"/>
      <c r="B293" s="14"/>
      <c r="C293" s="14"/>
      <c r="D293" s="14"/>
    </row>
    <row r="294" spans="1:15" ht="60" x14ac:dyDescent="0.3">
      <c r="A294" s="42" t="s">
        <v>8</v>
      </c>
      <c r="B294" s="12" t="s">
        <v>9</v>
      </c>
      <c r="C294" s="12" t="s">
        <v>10</v>
      </c>
      <c r="D294" s="43" t="s">
        <v>11</v>
      </c>
      <c r="E294" s="43" t="s">
        <v>12</v>
      </c>
      <c r="F294" s="43" t="s">
        <v>13</v>
      </c>
      <c r="G294" s="43" t="s">
        <v>14</v>
      </c>
      <c r="H294" s="43" t="s">
        <v>208</v>
      </c>
      <c r="I294" s="43" t="s">
        <v>209</v>
      </c>
      <c r="J294" s="43" t="s">
        <v>15</v>
      </c>
      <c r="K294" s="43" t="s">
        <v>16</v>
      </c>
      <c r="L294" t="s">
        <v>17</v>
      </c>
      <c r="M294" t="s">
        <v>18</v>
      </c>
      <c r="N294" t="s">
        <v>19</v>
      </c>
    </row>
    <row r="295" spans="1:15" x14ac:dyDescent="0.3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N295" t="s">
        <v>20</v>
      </c>
      <c r="O295">
        <f>COUNT(G296:G349)</f>
        <v>50</v>
      </c>
    </row>
    <row r="296" spans="1:15" x14ac:dyDescent="0.3">
      <c r="A296" s="12">
        <v>1</v>
      </c>
      <c r="B296" s="45" t="s">
        <v>203</v>
      </c>
      <c r="C296" s="45" t="s">
        <v>92</v>
      </c>
      <c r="D296" s="12" t="s">
        <v>1799</v>
      </c>
      <c r="E296" s="12">
        <v>10</v>
      </c>
      <c r="F296" s="12">
        <v>17</v>
      </c>
      <c r="G296" s="241">
        <f>SUM(E296:F296)</f>
        <v>27</v>
      </c>
      <c r="H296" s="12"/>
      <c r="I296" s="12"/>
      <c r="J296" s="12">
        <v>25</v>
      </c>
      <c r="K296" s="241">
        <f>SUM(G296:J296)</f>
        <v>52</v>
      </c>
      <c r="L296" t="str">
        <f t="shared" ref="L296:L322" si="29">IF(K296&gt;=80,"A",IF(K296&gt;=70,"B+",IF(K296&gt;=60,"B",IF(K296&gt;=55,"C+",IF(K296&gt;=50,"C",IF(K296&gt;=45,"D+",IF(K296&gt;=40,"D","F")))))))</f>
        <v>C</v>
      </c>
      <c r="M296" t="str">
        <f t="shared" ref="M296:M322" si="30">IF(K296&gt;=50,"Passed","Failed")</f>
        <v>Passed</v>
      </c>
      <c r="N296" t="s">
        <v>21</v>
      </c>
      <c r="O296">
        <f>COUNT(J296:J349)</f>
        <v>49</v>
      </c>
    </row>
    <row r="297" spans="1:15" x14ac:dyDescent="0.3">
      <c r="A297" s="12">
        <v>2</v>
      </c>
      <c r="B297" s="45" t="s">
        <v>145</v>
      </c>
      <c r="C297" s="45" t="s">
        <v>93</v>
      </c>
      <c r="D297" s="12" t="s">
        <v>1817</v>
      </c>
      <c r="E297" s="12">
        <v>8</v>
      </c>
      <c r="F297" s="12">
        <v>25</v>
      </c>
      <c r="G297" s="241">
        <f t="shared" ref="G297:G349" si="31">SUM(E297:F297)</f>
        <v>33</v>
      </c>
      <c r="H297" s="12"/>
      <c r="I297" s="12"/>
      <c r="J297">
        <v>22</v>
      </c>
      <c r="K297" s="241">
        <f t="shared" ref="K297:K349" si="32">SUM(G297:J297)</f>
        <v>55</v>
      </c>
      <c r="L297" t="str">
        <f t="shared" si="29"/>
        <v>C+</v>
      </c>
      <c r="M297" t="str">
        <f t="shared" si="30"/>
        <v>Passed</v>
      </c>
      <c r="N297" t="s">
        <v>22</v>
      </c>
      <c r="O297">
        <f>O295-O296</f>
        <v>1</v>
      </c>
    </row>
    <row r="298" spans="1:15" x14ac:dyDescent="0.3">
      <c r="A298" s="12">
        <v>3</v>
      </c>
      <c r="B298" s="45" t="s">
        <v>149</v>
      </c>
      <c r="C298" s="45" t="s">
        <v>97</v>
      </c>
      <c r="D298" s="12" t="s">
        <v>1803</v>
      </c>
      <c r="E298" s="12">
        <v>9</v>
      </c>
      <c r="F298" s="12">
        <v>25</v>
      </c>
      <c r="G298" s="241">
        <f t="shared" si="31"/>
        <v>34</v>
      </c>
      <c r="H298" s="12"/>
      <c r="I298" s="12"/>
      <c r="J298" s="12">
        <v>48</v>
      </c>
      <c r="K298" s="241">
        <f t="shared" si="32"/>
        <v>82</v>
      </c>
      <c r="L298" t="str">
        <f t="shared" si="29"/>
        <v>A</v>
      </c>
      <c r="M298" t="str">
        <f t="shared" si="30"/>
        <v>Passed</v>
      </c>
      <c r="N298" t="s">
        <v>23</v>
      </c>
      <c r="O298">
        <f>COUNTIF(M296:M349,"Passed")</f>
        <v>42</v>
      </c>
    </row>
    <row r="299" spans="1:15" x14ac:dyDescent="0.3">
      <c r="A299" s="12">
        <v>4</v>
      </c>
      <c r="B299" s="45" t="s">
        <v>152</v>
      </c>
      <c r="C299" s="45" t="s">
        <v>100</v>
      </c>
      <c r="D299" s="12" t="s">
        <v>1779</v>
      </c>
      <c r="E299" s="12">
        <v>8</v>
      </c>
      <c r="F299" s="12">
        <v>17</v>
      </c>
      <c r="G299" s="241">
        <f t="shared" si="31"/>
        <v>25</v>
      </c>
      <c r="H299" s="12"/>
      <c r="I299" s="12"/>
      <c r="J299" s="12">
        <v>25</v>
      </c>
      <c r="K299" s="241">
        <f t="shared" si="32"/>
        <v>50</v>
      </c>
      <c r="L299" t="str">
        <f>IF(K299&gt;=80,"A",IF(K299&gt;=70,"B+",IF(K299&gt;=60,"B",IF(K299&gt;=55,"C+",IF(K299&gt;=50,"C",IF(K299&gt;=45,"D+",IF(K299&gt;=40,"D","F")))))))</f>
        <v>C</v>
      </c>
      <c r="M299" t="str">
        <f t="shared" si="30"/>
        <v>Passed</v>
      </c>
      <c r="N299" t="s">
        <v>24</v>
      </c>
      <c r="O299">
        <f>O298/O296%</f>
        <v>85.714285714285722</v>
      </c>
    </row>
    <row r="300" spans="1:15" x14ac:dyDescent="0.3">
      <c r="A300" s="12">
        <v>5</v>
      </c>
      <c r="B300" s="45" t="s">
        <v>156</v>
      </c>
      <c r="C300" s="45" t="s">
        <v>104</v>
      </c>
      <c r="D300" s="12" t="s">
        <v>1798</v>
      </c>
      <c r="E300" s="12">
        <v>10</v>
      </c>
      <c r="F300" s="12">
        <v>23</v>
      </c>
      <c r="G300" s="241">
        <f t="shared" si="31"/>
        <v>33</v>
      </c>
      <c r="H300" s="12"/>
      <c r="I300" s="12"/>
      <c r="J300" s="12">
        <v>36</v>
      </c>
      <c r="K300" s="241">
        <f t="shared" si="32"/>
        <v>69</v>
      </c>
      <c r="L300" t="str">
        <f t="shared" si="29"/>
        <v>B</v>
      </c>
      <c r="M300" t="str">
        <f t="shared" si="30"/>
        <v>Passed</v>
      </c>
      <c r="N300" t="s">
        <v>25</v>
      </c>
      <c r="O300">
        <f>COUNTIF(M296:M349,"failed")</f>
        <v>7</v>
      </c>
    </row>
    <row r="301" spans="1:15" x14ac:dyDescent="0.3">
      <c r="A301" s="12">
        <v>6</v>
      </c>
      <c r="B301" s="45" t="s">
        <v>160</v>
      </c>
      <c r="C301" s="45" t="s">
        <v>109</v>
      </c>
      <c r="D301" s="12" t="s">
        <v>1804</v>
      </c>
      <c r="E301" s="12">
        <v>10</v>
      </c>
      <c r="F301" s="12">
        <v>26</v>
      </c>
      <c r="G301" s="241">
        <f t="shared" si="31"/>
        <v>36</v>
      </c>
      <c r="H301" s="12"/>
      <c r="I301" s="12"/>
      <c r="J301" s="12">
        <v>46</v>
      </c>
      <c r="K301" s="241">
        <f t="shared" si="32"/>
        <v>82</v>
      </c>
      <c r="L301" t="str">
        <f t="shared" si="29"/>
        <v>A</v>
      </c>
      <c r="M301" t="str">
        <f t="shared" si="30"/>
        <v>Passed</v>
      </c>
      <c r="N301" t="s">
        <v>26</v>
      </c>
      <c r="O301" s="179">
        <f>O300/O296%</f>
        <v>14.285714285714286</v>
      </c>
    </row>
    <row r="302" spans="1:15" x14ac:dyDescent="0.3">
      <c r="A302" s="12">
        <v>7</v>
      </c>
      <c r="B302" s="45" t="s">
        <v>207</v>
      </c>
      <c r="C302" s="45" t="s">
        <v>110</v>
      </c>
      <c r="D302" s="12" t="s">
        <v>1771</v>
      </c>
      <c r="E302" s="12"/>
      <c r="F302" s="12"/>
      <c r="G302" s="241"/>
      <c r="H302" s="12"/>
      <c r="I302" s="12"/>
      <c r="J302" s="12"/>
      <c r="K302" s="241"/>
      <c r="N302" t="s">
        <v>27</v>
      </c>
      <c r="O302" s="179">
        <f>AVERAGE(K296:K349)</f>
        <v>57.265306122448976</v>
      </c>
    </row>
    <row r="303" spans="1:15" x14ac:dyDescent="0.3">
      <c r="A303" s="12">
        <v>8</v>
      </c>
      <c r="B303" s="45" t="s">
        <v>163</v>
      </c>
      <c r="C303" s="45" t="s">
        <v>113</v>
      </c>
      <c r="D303" s="12" t="s">
        <v>1777</v>
      </c>
      <c r="E303" s="12">
        <v>8</v>
      </c>
      <c r="F303" s="12">
        <v>21</v>
      </c>
      <c r="G303" s="241">
        <f t="shared" si="31"/>
        <v>29</v>
      </c>
      <c r="H303" s="12"/>
      <c r="I303" s="12"/>
      <c r="J303" s="12">
        <v>24</v>
      </c>
      <c r="K303" s="241">
        <f t="shared" si="32"/>
        <v>53</v>
      </c>
      <c r="L303" t="str">
        <f t="shared" si="29"/>
        <v>C</v>
      </c>
      <c r="M303" t="str">
        <f t="shared" si="30"/>
        <v>Passed</v>
      </c>
    </row>
    <row r="304" spans="1:15" x14ac:dyDescent="0.3">
      <c r="A304" s="12">
        <v>9</v>
      </c>
      <c r="B304" s="45" t="s">
        <v>480</v>
      </c>
      <c r="C304" s="45" t="s">
        <v>115</v>
      </c>
      <c r="D304" s="12" t="s">
        <v>1807</v>
      </c>
      <c r="E304" s="12">
        <v>10</v>
      </c>
      <c r="F304" s="12">
        <v>21</v>
      </c>
      <c r="G304" s="241">
        <f t="shared" si="31"/>
        <v>31</v>
      </c>
      <c r="H304" s="12"/>
      <c r="I304" s="12"/>
      <c r="J304" s="12">
        <v>46</v>
      </c>
      <c r="K304" s="241">
        <f t="shared" si="32"/>
        <v>77</v>
      </c>
      <c r="L304" t="str">
        <f t="shared" si="29"/>
        <v>B+</v>
      </c>
      <c r="M304" t="str">
        <f t="shared" si="30"/>
        <v>Passed</v>
      </c>
    </row>
    <row r="305" spans="1:22" x14ac:dyDescent="0.3">
      <c r="A305" s="12">
        <v>10</v>
      </c>
      <c r="B305" s="45" t="s">
        <v>200</v>
      </c>
      <c r="C305" s="45" t="s">
        <v>119</v>
      </c>
      <c r="D305" s="12" t="s">
        <v>1772</v>
      </c>
      <c r="E305" s="12">
        <v>9</v>
      </c>
      <c r="F305" s="12">
        <v>11</v>
      </c>
      <c r="G305" s="241">
        <f t="shared" si="31"/>
        <v>20</v>
      </c>
      <c r="H305" s="12"/>
      <c r="I305" s="12"/>
      <c r="J305" s="12">
        <v>19</v>
      </c>
      <c r="K305" s="241">
        <f t="shared" si="32"/>
        <v>39</v>
      </c>
      <c r="L305" t="str">
        <f t="shared" si="29"/>
        <v>F</v>
      </c>
      <c r="M305" t="str">
        <f t="shared" si="30"/>
        <v>Failed</v>
      </c>
    </row>
    <row r="306" spans="1:22" x14ac:dyDescent="0.3">
      <c r="A306" s="12">
        <v>11</v>
      </c>
      <c r="B306" s="45" t="s">
        <v>205</v>
      </c>
      <c r="C306" s="45" t="s">
        <v>120</v>
      </c>
      <c r="D306" s="12" t="s">
        <v>1771</v>
      </c>
      <c r="E306" s="12"/>
      <c r="F306" s="12"/>
      <c r="G306" s="241"/>
      <c r="H306" s="12"/>
      <c r="I306" s="12"/>
      <c r="J306" s="12"/>
      <c r="K306" s="241"/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 t="s">
        <v>33</v>
      </c>
      <c r="U306" t="s">
        <v>34</v>
      </c>
      <c r="V306" t="s">
        <v>35</v>
      </c>
    </row>
    <row r="307" spans="1:22" x14ac:dyDescent="0.3">
      <c r="A307" s="12">
        <v>12</v>
      </c>
      <c r="B307" s="45" t="s">
        <v>168</v>
      </c>
      <c r="C307" s="45" t="s">
        <v>121</v>
      </c>
      <c r="D307" s="12" t="s">
        <v>1781</v>
      </c>
      <c r="E307" s="12">
        <v>8</v>
      </c>
      <c r="F307" s="12">
        <v>19</v>
      </c>
      <c r="G307" s="241">
        <f t="shared" si="31"/>
        <v>27</v>
      </c>
      <c r="H307" s="12"/>
      <c r="I307" s="12"/>
      <c r="J307" s="12">
        <v>25</v>
      </c>
      <c r="K307" s="241">
        <f t="shared" si="32"/>
        <v>52</v>
      </c>
      <c r="L307" t="str">
        <f t="shared" si="29"/>
        <v>C</v>
      </c>
      <c r="M307" t="str">
        <f t="shared" si="30"/>
        <v>Passed</v>
      </c>
      <c r="O307">
        <f>COUNTIF(L296:L349,"A")</f>
        <v>2</v>
      </c>
      <c r="P307">
        <f>COUNTIF(L296:L349,"B+")</f>
        <v>5</v>
      </c>
      <c r="Q307">
        <f>COUNTIF(L296:L349,"B")</f>
        <v>16</v>
      </c>
      <c r="R307">
        <f>COUNTIF(L296:L349,"C+")</f>
        <v>9</v>
      </c>
      <c r="S307">
        <f>COUNTIF(L296:L349,"C")</f>
        <v>10</v>
      </c>
      <c r="T307">
        <f>COUNTIF(L296:L349,"D+")</f>
        <v>2</v>
      </c>
      <c r="U307">
        <f>COUNTIF(L296:L349,"D")</f>
        <v>0</v>
      </c>
      <c r="V307">
        <f>COUNTIF(L296:L349,"F")</f>
        <v>5</v>
      </c>
    </row>
    <row r="308" spans="1:22" x14ac:dyDescent="0.3">
      <c r="A308" s="12">
        <v>13</v>
      </c>
      <c r="B308" s="45" t="s">
        <v>170</v>
      </c>
      <c r="C308" s="45" t="s">
        <v>124</v>
      </c>
      <c r="D308" s="12" t="s">
        <v>1790</v>
      </c>
      <c r="E308" s="12">
        <v>9</v>
      </c>
      <c r="F308" s="12">
        <v>17</v>
      </c>
      <c r="G308" s="241">
        <f t="shared" si="31"/>
        <v>26</v>
      </c>
      <c r="H308" s="12"/>
      <c r="I308" s="12"/>
      <c r="J308" s="12">
        <v>25</v>
      </c>
      <c r="K308" s="241">
        <f t="shared" si="32"/>
        <v>51</v>
      </c>
      <c r="L308" t="str">
        <f t="shared" si="29"/>
        <v>C</v>
      </c>
      <c r="M308" t="str">
        <f t="shared" si="30"/>
        <v>Passed</v>
      </c>
    </row>
    <row r="309" spans="1:22" x14ac:dyDescent="0.3">
      <c r="A309" s="12">
        <v>14</v>
      </c>
      <c r="B309" s="45" t="s">
        <v>172</v>
      </c>
      <c r="C309" s="45" t="s">
        <v>126</v>
      </c>
      <c r="D309" s="12" t="s">
        <v>1814</v>
      </c>
      <c r="E309" s="12">
        <v>8</v>
      </c>
      <c r="F309" s="12">
        <v>9</v>
      </c>
      <c r="G309" s="241">
        <f t="shared" si="31"/>
        <v>17</v>
      </c>
      <c r="H309" s="12"/>
      <c r="I309" s="12"/>
      <c r="J309" s="12">
        <v>15</v>
      </c>
      <c r="K309" s="241">
        <f t="shared" si="32"/>
        <v>32</v>
      </c>
      <c r="L309" t="str">
        <f t="shared" si="29"/>
        <v>F</v>
      </c>
      <c r="M309" t="str">
        <f t="shared" si="30"/>
        <v>Failed</v>
      </c>
    </row>
    <row r="310" spans="1:22" x14ac:dyDescent="0.3">
      <c r="A310" s="12">
        <v>15</v>
      </c>
      <c r="B310" s="45" t="s">
        <v>173</v>
      </c>
      <c r="C310" s="45" t="s">
        <v>127</v>
      </c>
      <c r="D310" s="12" t="s">
        <v>1820</v>
      </c>
      <c r="E310" s="12">
        <v>10</v>
      </c>
      <c r="F310" s="12">
        <v>18</v>
      </c>
      <c r="G310" s="241">
        <f t="shared" si="31"/>
        <v>28</v>
      </c>
      <c r="H310" s="12"/>
      <c r="I310" s="12"/>
      <c r="J310" s="12">
        <v>24</v>
      </c>
      <c r="K310" s="241">
        <f t="shared" si="32"/>
        <v>52</v>
      </c>
      <c r="L310" t="str">
        <f t="shared" si="29"/>
        <v>C</v>
      </c>
      <c r="M310" t="str">
        <f t="shared" si="30"/>
        <v>Passed</v>
      </c>
    </row>
    <row r="311" spans="1:22" x14ac:dyDescent="0.3">
      <c r="A311" s="12">
        <v>16</v>
      </c>
      <c r="B311" s="45" t="s">
        <v>175</v>
      </c>
      <c r="C311" s="45" t="s">
        <v>131</v>
      </c>
      <c r="D311" s="12" t="s">
        <v>1811</v>
      </c>
      <c r="E311" s="12">
        <v>10</v>
      </c>
      <c r="F311" s="12">
        <v>24</v>
      </c>
      <c r="G311" s="241">
        <f t="shared" si="31"/>
        <v>34</v>
      </c>
      <c r="H311" s="12"/>
      <c r="I311" s="12"/>
      <c r="J311" s="12">
        <v>26</v>
      </c>
      <c r="K311" s="241">
        <f t="shared" si="32"/>
        <v>60</v>
      </c>
      <c r="L311" t="str">
        <f t="shared" si="29"/>
        <v>B</v>
      </c>
      <c r="M311" t="str">
        <f t="shared" si="30"/>
        <v>Passed</v>
      </c>
    </row>
    <row r="312" spans="1:22" x14ac:dyDescent="0.3">
      <c r="A312" s="12">
        <v>17</v>
      </c>
      <c r="B312" s="277" t="s">
        <v>178</v>
      </c>
      <c r="C312" s="45" t="s">
        <v>133</v>
      </c>
      <c r="D312" s="12" t="s">
        <v>1793</v>
      </c>
      <c r="E312" s="12">
        <v>10</v>
      </c>
      <c r="F312" s="12">
        <v>20</v>
      </c>
      <c r="G312" s="241">
        <f t="shared" si="31"/>
        <v>30</v>
      </c>
      <c r="H312" s="12"/>
      <c r="I312" s="12"/>
      <c r="J312" s="12">
        <v>26</v>
      </c>
      <c r="K312" s="241">
        <f t="shared" si="32"/>
        <v>56</v>
      </c>
      <c r="L312" t="str">
        <f t="shared" si="29"/>
        <v>C+</v>
      </c>
      <c r="M312" t="str">
        <f t="shared" si="30"/>
        <v>Passed</v>
      </c>
    </row>
    <row r="313" spans="1:22" x14ac:dyDescent="0.3">
      <c r="A313" s="12">
        <v>18</v>
      </c>
      <c r="B313" s="45" t="s">
        <v>534</v>
      </c>
      <c r="C313" s="303" t="s">
        <v>363</v>
      </c>
      <c r="D313" s="12" t="s">
        <v>1786</v>
      </c>
      <c r="E313" s="12">
        <v>1</v>
      </c>
      <c r="F313" s="12">
        <v>0</v>
      </c>
      <c r="G313" s="241">
        <f t="shared" si="31"/>
        <v>1</v>
      </c>
      <c r="H313" s="12"/>
      <c r="I313" s="12"/>
      <c r="J313" s="12">
        <v>29</v>
      </c>
      <c r="K313" s="241">
        <f t="shared" si="32"/>
        <v>30</v>
      </c>
      <c r="L313" t="str">
        <f t="shared" si="29"/>
        <v>F</v>
      </c>
      <c r="M313" t="str">
        <f t="shared" si="30"/>
        <v>Failed</v>
      </c>
    </row>
    <row r="314" spans="1:22" x14ac:dyDescent="0.3">
      <c r="A314" s="12">
        <v>19</v>
      </c>
      <c r="B314" s="389" t="s">
        <v>144</v>
      </c>
      <c r="C314" s="304" t="s">
        <v>137</v>
      </c>
      <c r="D314" s="12" t="s">
        <v>1796</v>
      </c>
      <c r="E314" s="12">
        <v>8</v>
      </c>
      <c r="F314" s="12">
        <v>17</v>
      </c>
      <c r="G314" s="241">
        <f t="shared" si="31"/>
        <v>25</v>
      </c>
      <c r="H314" s="12"/>
      <c r="I314" s="12"/>
      <c r="J314" s="12">
        <v>31</v>
      </c>
      <c r="K314" s="241">
        <f t="shared" si="32"/>
        <v>56</v>
      </c>
      <c r="L314" t="str">
        <f t="shared" si="29"/>
        <v>C+</v>
      </c>
      <c r="M314" t="str">
        <f t="shared" si="30"/>
        <v>Passed</v>
      </c>
    </row>
    <row r="315" spans="1:22" x14ac:dyDescent="0.3">
      <c r="A315" s="12">
        <v>20</v>
      </c>
      <c r="B315" s="390" t="s">
        <v>204</v>
      </c>
      <c r="C315" s="390" t="s">
        <v>138</v>
      </c>
      <c r="D315" s="12" t="s">
        <v>1797</v>
      </c>
      <c r="E315" s="12">
        <v>8</v>
      </c>
      <c r="F315" s="12">
        <v>24</v>
      </c>
      <c r="G315" s="241">
        <f t="shared" si="31"/>
        <v>32</v>
      </c>
      <c r="H315" s="12"/>
      <c r="I315" s="12"/>
      <c r="J315" s="12">
        <v>30</v>
      </c>
      <c r="K315" s="241">
        <f t="shared" si="32"/>
        <v>62</v>
      </c>
      <c r="L315" t="str">
        <f t="shared" si="29"/>
        <v>B</v>
      </c>
      <c r="M315" t="str">
        <f t="shared" si="30"/>
        <v>Passed</v>
      </c>
    </row>
    <row r="316" spans="1:22" x14ac:dyDescent="0.3">
      <c r="A316" s="12">
        <v>21</v>
      </c>
      <c r="B316" s="305" t="s">
        <v>181</v>
      </c>
      <c r="C316" s="45" t="s">
        <v>139</v>
      </c>
      <c r="D316" s="12" t="s">
        <v>1791</v>
      </c>
      <c r="E316" s="12">
        <v>10</v>
      </c>
      <c r="F316" s="12">
        <v>18</v>
      </c>
      <c r="G316" s="241">
        <f t="shared" si="31"/>
        <v>28</v>
      </c>
      <c r="H316" s="12"/>
      <c r="I316" s="12"/>
      <c r="J316" s="12">
        <v>28</v>
      </c>
      <c r="K316" s="241">
        <f t="shared" si="32"/>
        <v>56</v>
      </c>
      <c r="L316" t="str">
        <f t="shared" si="29"/>
        <v>C+</v>
      </c>
      <c r="M316" t="str">
        <f t="shared" si="30"/>
        <v>Passed</v>
      </c>
    </row>
    <row r="317" spans="1:22" x14ac:dyDescent="0.3">
      <c r="A317" s="12">
        <v>22</v>
      </c>
      <c r="B317" s="391" t="s">
        <v>201</v>
      </c>
      <c r="C317" s="45" t="s">
        <v>141</v>
      </c>
      <c r="D317" s="12" t="s">
        <v>1813</v>
      </c>
      <c r="E317" s="12">
        <v>9</v>
      </c>
      <c r="F317" s="12">
        <v>23</v>
      </c>
      <c r="G317" s="241">
        <f t="shared" si="31"/>
        <v>32</v>
      </c>
      <c r="H317" s="12"/>
      <c r="I317" s="12"/>
      <c r="J317" s="12">
        <v>28</v>
      </c>
      <c r="K317" s="241">
        <f t="shared" si="32"/>
        <v>60</v>
      </c>
      <c r="L317" t="str">
        <f t="shared" si="29"/>
        <v>B</v>
      </c>
      <c r="M317" t="str">
        <f t="shared" si="30"/>
        <v>Passed</v>
      </c>
    </row>
    <row r="318" spans="1:22" x14ac:dyDescent="0.3">
      <c r="A318" s="12">
        <v>23</v>
      </c>
      <c r="B318" s="45" t="s">
        <v>176</v>
      </c>
      <c r="C318" s="45" t="s">
        <v>481</v>
      </c>
      <c r="D318" s="12" t="s">
        <v>1782</v>
      </c>
      <c r="E318" s="12">
        <v>10</v>
      </c>
      <c r="F318" s="12">
        <v>26</v>
      </c>
      <c r="G318" s="241">
        <f t="shared" si="31"/>
        <v>36</v>
      </c>
      <c r="H318" s="12"/>
      <c r="I318" s="12"/>
      <c r="J318" s="12">
        <v>26</v>
      </c>
      <c r="K318" s="241">
        <f t="shared" si="32"/>
        <v>62</v>
      </c>
      <c r="L318" t="str">
        <f t="shared" si="29"/>
        <v>B</v>
      </c>
      <c r="M318" t="str">
        <f t="shared" si="30"/>
        <v>Passed</v>
      </c>
    </row>
    <row r="319" spans="1:22" x14ac:dyDescent="0.3">
      <c r="A319" s="12">
        <v>24</v>
      </c>
      <c r="B319" s="12" t="s">
        <v>148</v>
      </c>
      <c r="C319" s="12" t="s">
        <v>96</v>
      </c>
      <c r="D319" s="12" t="s">
        <v>1788</v>
      </c>
      <c r="E319" s="12">
        <v>10</v>
      </c>
      <c r="F319" s="340">
        <v>15</v>
      </c>
      <c r="G319" s="241">
        <f t="shared" si="31"/>
        <v>25</v>
      </c>
      <c r="H319" s="12"/>
      <c r="I319" s="12"/>
      <c r="J319" s="12">
        <v>25</v>
      </c>
      <c r="K319" s="241">
        <f t="shared" si="32"/>
        <v>50</v>
      </c>
      <c r="L319" t="str">
        <f t="shared" si="29"/>
        <v>C</v>
      </c>
      <c r="M319" t="str">
        <f t="shared" si="30"/>
        <v>Passed</v>
      </c>
    </row>
    <row r="320" spans="1:22" x14ac:dyDescent="0.3">
      <c r="A320" s="12">
        <v>25</v>
      </c>
      <c r="B320" s="12" t="s">
        <v>153</v>
      </c>
      <c r="C320" s="12" t="s">
        <v>101</v>
      </c>
      <c r="D320" s="12" t="s">
        <v>1794</v>
      </c>
      <c r="E320" s="12">
        <v>8</v>
      </c>
      <c r="F320" s="12">
        <v>22</v>
      </c>
      <c r="G320" s="241">
        <f t="shared" si="31"/>
        <v>30</v>
      </c>
      <c r="H320" s="12"/>
      <c r="I320" s="12"/>
      <c r="J320" s="12">
        <v>32</v>
      </c>
      <c r="K320" s="241">
        <f t="shared" si="32"/>
        <v>62</v>
      </c>
      <c r="L320" t="str">
        <f t="shared" si="29"/>
        <v>B</v>
      </c>
      <c r="M320" t="str">
        <f t="shared" si="30"/>
        <v>Passed</v>
      </c>
    </row>
    <row r="321" spans="1:13" x14ac:dyDescent="0.3">
      <c r="A321" s="12">
        <v>26</v>
      </c>
      <c r="B321" s="12" t="s">
        <v>154</v>
      </c>
      <c r="C321" s="12" t="s">
        <v>102</v>
      </c>
      <c r="D321" s="12" t="s">
        <v>1792</v>
      </c>
      <c r="E321" s="12">
        <v>8</v>
      </c>
      <c r="F321" s="12">
        <v>20</v>
      </c>
      <c r="G321" s="241">
        <f t="shared" si="31"/>
        <v>28</v>
      </c>
      <c r="H321" s="12"/>
      <c r="I321" s="12"/>
      <c r="J321" s="12">
        <v>19</v>
      </c>
      <c r="K321" s="241">
        <f t="shared" si="32"/>
        <v>47</v>
      </c>
      <c r="L321" t="str">
        <f t="shared" si="29"/>
        <v>D+</v>
      </c>
      <c r="M321" t="str">
        <f t="shared" si="30"/>
        <v>Failed</v>
      </c>
    </row>
    <row r="322" spans="1:13" x14ac:dyDescent="0.3">
      <c r="A322" s="12">
        <v>27</v>
      </c>
      <c r="B322" s="12" t="s">
        <v>162</v>
      </c>
      <c r="C322" s="12" t="s">
        <v>112</v>
      </c>
      <c r="D322" s="12" t="s">
        <v>1787</v>
      </c>
      <c r="E322" s="12">
        <v>4</v>
      </c>
      <c r="F322" s="12">
        <v>19</v>
      </c>
      <c r="G322" s="241">
        <f t="shared" si="31"/>
        <v>23</v>
      </c>
      <c r="H322" s="12"/>
      <c r="I322" s="12"/>
      <c r="J322" s="12">
        <v>35</v>
      </c>
      <c r="K322" s="241">
        <f t="shared" si="32"/>
        <v>58</v>
      </c>
      <c r="L322" t="str">
        <f t="shared" si="29"/>
        <v>C+</v>
      </c>
      <c r="M322" t="str">
        <f t="shared" si="30"/>
        <v>Passed</v>
      </c>
    </row>
    <row r="323" spans="1:13" x14ac:dyDescent="0.3">
      <c r="A323" s="12">
        <v>28</v>
      </c>
      <c r="B323" s="12" t="s">
        <v>164</v>
      </c>
      <c r="C323" s="12" t="s">
        <v>114</v>
      </c>
      <c r="D323" s="12" t="s">
        <v>1785</v>
      </c>
      <c r="E323" s="12">
        <v>10</v>
      </c>
      <c r="F323" s="12">
        <v>26</v>
      </c>
      <c r="G323" s="241">
        <f t="shared" si="31"/>
        <v>36</v>
      </c>
      <c r="H323" s="12"/>
      <c r="I323" s="12"/>
      <c r="J323" s="12">
        <v>36</v>
      </c>
      <c r="K323" s="241">
        <f t="shared" si="32"/>
        <v>72</v>
      </c>
      <c r="L323" t="str">
        <f t="shared" ref="L323:L349" si="33">IF(K323&gt;=80,"A",IF(K323&gt;=70,"B+",IF(K323&gt;=60,"B",IF(K323&gt;=55,"C+",IF(K323&gt;=50,"C",IF(K323&gt;=45,"D+",IF(K323&gt;=40,"D","F")))))))</f>
        <v>B+</v>
      </c>
      <c r="M323" t="str">
        <f t="shared" ref="M323:M349" si="34">IF(K323&gt;=50,"Passed","Failed")</f>
        <v>Passed</v>
      </c>
    </row>
    <row r="324" spans="1:13" x14ac:dyDescent="0.3">
      <c r="A324" s="12">
        <v>29</v>
      </c>
      <c r="B324" s="60" t="s">
        <v>165</v>
      </c>
      <c r="C324" s="12" t="s">
        <v>116</v>
      </c>
      <c r="D324" s="12" t="s">
        <v>1776</v>
      </c>
      <c r="E324" s="12">
        <v>10</v>
      </c>
      <c r="F324" s="12">
        <v>26</v>
      </c>
      <c r="G324" s="241">
        <f t="shared" si="31"/>
        <v>36</v>
      </c>
      <c r="H324" s="12"/>
      <c r="I324" s="12"/>
      <c r="J324" s="12">
        <v>34</v>
      </c>
      <c r="K324" s="241">
        <f t="shared" si="32"/>
        <v>70</v>
      </c>
      <c r="L324" t="str">
        <f t="shared" si="33"/>
        <v>B+</v>
      </c>
      <c r="M324" t="str">
        <f t="shared" si="34"/>
        <v>Passed</v>
      </c>
    </row>
    <row r="325" spans="1:13" x14ac:dyDescent="0.3">
      <c r="A325" s="12">
        <v>30</v>
      </c>
      <c r="B325" s="12" t="s">
        <v>206</v>
      </c>
      <c r="C325" s="12" t="s">
        <v>123</v>
      </c>
      <c r="D325" s="12" t="s">
        <v>1812</v>
      </c>
      <c r="E325" s="12">
        <v>10</v>
      </c>
      <c r="F325" s="12">
        <v>22</v>
      </c>
      <c r="G325" s="241">
        <f t="shared" si="31"/>
        <v>32</v>
      </c>
      <c r="H325" s="12"/>
      <c r="I325" s="12"/>
      <c r="J325" s="12">
        <v>33</v>
      </c>
      <c r="K325" s="241">
        <f t="shared" si="32"/>
        <v>65</v>
      </c>
      <c r="L325" t="str">
        <f t="shared" si="33"/>
        <v>B</v>
      </c>
      <c r="M325" t="str">
        <f t="shared" si="34"/>
        <v>Passed</v>
      </c>
    </row>
    <row r="326" spans="1:13" x14ac:dyDescent="0.3">
      <c r="A326" s="12">
        <v>31</v>
      </c>
      <c r="B326" s="12" t="s">
        <v>202</v>
      </c>
      <c r="C326" s="12" t="s">
        <v>135</v>
      </c>
      <c r="D326" s="12" t="s">
        <v>1816</v>
      </c>
      <c r="E326" s="12">
        <v>8</v>
      </c>
      <c r="F326" s="12">
        <v>24</v>
      </c>
      <c r="G326" s="241">
        <f t="shared" si="31"/>
        <v>32</v>
      </c>
      <c r="H326" s="12"/>
      <c r="I326" s="12"/>
      <c r="J326" s="12">
        <v>32</v>
      </c>
      <c r="K326" s="241">
        <f t="shared" si="32"/>
        <v>64</v>
      </c>
      <c r="L326" t="str">
        <f t="shared" si="33"/>
        <v>B</v>
      </c>
      <c r="M326" t="str">
        <f t="shared" si="34"/>
        <v>Passed</v>
      </c>
    </row>
    <row r="327" spans="1:13" x14ac:dyDescent="0.3">
      <c r="A327" s="12">
        <v>32</v>
      </c>
      <c r="B327" s="12" t="s">
        <v>1249</v>
      </c>
      <c r="C327" s="12" t="s">
        <v>422</v>
      </c>
      <c r="D327" s="12" t="s">
        <v>1819</v>
      </c>
      <c r="E327" s="12">
        <v>6</v>
      </c>
      <c r="F327" s="12"/>
      <c r="G327" s="241">
        <f t="shared" si="31"/>
        <v>6</v>
      </c>
      <c r="H327" s="12"/>
      <c r="I327" s="12"/>
      <c r="J327" s="12">
        <v>25</v>
      </c>
      <c r="K327" s="241">
        <f t="shared" si="32"/>
        <v>31</v>
      </c>
      <c r="L327" t="str">
        <f t="shared" si="33"/>
        <v>F</v>
      </c>
      <c r="M327" t="str">
        <f t="shared" si="34"/>
        <v>Failed</v>
      </c>
    </row>
    <row r="328" spans="1:13" x14ac:dyDescent="0.3">
      <c r="A328" s="12">
        <v>33</v>
      </c>
      <c r="B328" s="45" t="s">
        <v>150</v>
      </c>
      <c r="C328" s="45" t="s">
        <v>98</v>
      </c>
      <c r="D328" s="12" t="s">
        <v>1802</v>
      </c>
      <c r="E328" s="12">
        <v>10</v>
      </c>
      <c r="F328" s="12">
        <v>18</v>
      </c>
      <c r="G328" s="241">
        <f t="shared" si="31"/>
        <v>28</v>
      </c>
      <c r="H328" s="12"/>
      <c r="I328" s="12"/>
      <c r="J328" s="12">
        <v>29</v>
      </c>
      <c r="K328" s="241">
        <f t="shared" si="32"/>
        <v>57</v>
      </c>
      <c r="L328" t="str">
        <f t="shared" si="33"/>
        <v>C+</v>
      </c>
      <c r="M328" t="str">
        <f t="shared" si="34"/>
        <v>Passed</v>
      </c>
    </row>
    <row r="329" spans="1:13" x14ac:dyDescent="0.3">
      <c r="A329" s="12">
        <v>34</v>
      </c>
      <c r="B329" s="45" t="s">
        <v>151</v>
      </c>
      <c r="C329" s="45" t="s">
        <v>99</v>
      </c>
      <c r="D329" s="12" t="s">
        <v>1780</v>
      </c>
      <c r="E329" s="12">
        <v>3</v>
      </c>
      <c r="F329" s="12"/>
      <c r="G329" s="241">
        <f t="shared" si="31"/>
        <v>3</v>
      </c>
      <c r="H329" s="12"/>
      <c r="I329" s="12"/>
      <c r="J329" s="12">
        <v>30</v>
      </c>
      <c r="K329" s="241">
        <f t="shared" si="32"/>
        <v>33</v>
      </c>
      <c r="L329" t="str">
        <f t="shared" si="33"/>
        <v>F</v>
      </c>
      <c r="M329" t="str">
        <f t="shared" si="34"/>
        <v>Failed</v>
      </c>
    </row>
    <row r="330" spans="1:13" x14ac:dyDescent="0.3">
      <c r="A330" s="12">
        <v>35</v>
      </c>
      <c r="B330" s="45" t="s">
        <v>157</v>
      </c>
      <c r="C330" s="45" t="s">
        <v>106</v>
      </c>
      <c r="D330" s="12" t="s">
        <v>1795</v>
      </c>
      <c r="E330" s="12">
        <v>10</v>
      </c>
      <c r="F330" s="340">
        <v>18</v>
      </c>
      <c r="G330" s="241">
        <f t="shared" si="31"/>
        <v>28</v>
      </c>
      <c r="H330" s="12"/>
      <c r="I330" s="12"/>
      <c r="J330" s="12">
        <v>22</v>
      </c>
      <c r="K330" s="241">
        <f t="shared" si="32"/>
        <v>50</v>
      </c>
      <c r="L330" t="str">
        <f t="shared" si="33"/>
        <v>C</v>
      </c>
      <c r="M330" t="str">
        <f t="shared" si="34"/>
        <v>Passed</v>
      </c>
    </row>
    <row r="331" spans="1:13" x14ac:dyDescent="0.3">
      <c r="A331" s="12">
        <v>36</v>
      </c>
      <c r="B331" s="45" t="s">
        <v>158</v>
      </c>
      <c r="C331" s="45" t="s">
        <v>107</v>
      </c>
      <c r="D331" s="12" t="s">
        <v>1778</v>
      </c>
      <c r="E331" s="12">
        <v>8</v>
      </c>
      <c r="F331" s="12">
        <v>22</v>
      </c>
      <c r="G331" s="241">
        <f t="shared" si="31"/>
        <v>30</v>
      </c>
      <c r="H331" s="12"/>
      <c r="I331" s="12"/>
      <c r="J331" s="12">
        <v>32</v>
      </c>
      <c r="K331" s="241">
        <f t="shared" si="32"/>
        <v>62</v>
      </c>
      <c r="L331" t="str">
        <f t="shared" si="33"/>
        <v>B</v>
      </c>
      <c r="M331" t="str">
        <f t="shared" si="34"/>
        <v>Passed</v>
      </c>
    </row>
    <row r="332" spans="1:13" x14ac:dyDescent="0.3">
      <c r="A332" s="12">
        <v>37</v>
      </c>
      <c r="B332" s="45" t="s">
        <v>159</v>
      </c>
      <c r="C332" s="45" t="s">
        <v>108</v>
      </c>
      <c r="D332" s="12" t="s">
        <v>1810</v>
      </c>
      <c r="E332" s="12">
        <v>10</v>
      </c>
      <c r="F332" s="12">
        <v>23</v>
      </c>
      <c r="G332" s="241">
        <f t="shared" si="31"/>
        <v>33</v>
      </c>
      <c r="H332" s="12"/>
      <c r="I332" s="12"/>
      <c r="J332" s="12">
        <v>34</v>
      </c>
      <c r="K332" s="241">
        <f t="shared" si="32"/>
        <v>67</v>
      </c>
      <c r="L332" t="str">
        <f t="shared" si="33"/>
        <v>B</v>
      </c>
      <c r="M332" t="str">
        <f t="shared" si="34"/>
        <v>Passed</v>
      </c>
    </row>
    <row r="333" spans="1:13" x14ac:dyDescent="0.3">
      <c r="A333" s="12">
        <v>38</v>
      </c>
      <c r="B333" s="45" t="s">
        <v>167</v>
      </c>
      <c r="C333" s="45" t="s">
        <v>118</v>
      </c>
      <c r="D333" s="12" t="s">
        <v>1784</v>
      </c>
      <c r="E333" s="12">
        <v>8</v>
      </c>
      <c r="F333" s="12">
        <v>25</v>
      </c>
      <c r="G333" s="241">
        <f t="shared" si="31"/>
        <v>33</v>
      </c>
      <c r="H333" s="12"/>
      <c r="I333" s="12"/>
      <c r="J333" s="12">
        <v>40</v>
      </c>
      <c r="K333" s="241">
        <f t="shared" si="32"/>
        <v>73</v>
      </c>
      <c r="L333" t="str">
        <f t="shared" si="33"/>
        <v>B+</v>
      </c>
      <c r="M333" t="str">
        <f t="shared" si="34"/>
        <v>Passed</v>
      </c>
    </row>
    <row r="334" spans="1:13" x14ac:dyDescent="0.3">
      <c r="A334" s="12">
        <v>39</v>
      </c>
      <c r="B334" s="45" t="s">
        <v>171</v>
      </c>
      <c r="C334" s="45" t="s">
        <v>125</v>
      </c>
      <c r="D334" s="12" t="s">
        <v>1789</v>
      </c>
      <c r="E334" s="12">
        <v>8</v>
      </c>
      <c r="F334" s="12">
        <v>15</v>
      </c>
      <c r="G334" s="241">
        <f t="shared" si="31"/>
        <v>23</v>
      </c>
      <c r="H334" s="12"/>
      <c r="I334" s="12"/>
      <c r="J334" s="12">
        <v>28</v>
      </c>
      <c r="K334" s="241">
        <f t="shared" si="32"/>
        <v>51</v>
      </c>
      <c r="L334" t="str">
        <f t="shared" si="33"/>
        <v>C</v>
      </c>
      <c r="M334" t="str">
        <f t="shared" si="34"/>
        <v>Passed</v>
      </c>
    </row>
    <row r="335" spans="1:13" x14ac:dyDescent="0.3">
      <c r="A335" s="12">
        <v>40</v>
      </c>
      <c r="B335" s="45" t="s">
        <v>174</v>
      </c>
      <c r="C335" s="45" t="s">
        <v>128</v>
      </c>
      <c r="D335" s="12" t="s">
        <v>1783</v>
      </c>
      <c r="E335" s="12">
        <v>10</v>
      </c>
      <c r="F335" s="12">
        <v>22</v>
      </c>
      <c r="G335" s="241">
        <f t="shared" si="31"/>
        <v>32</v>
      </c>
      <c r="H335" s="12"/>
      <c r="I335" s="12"/>
      <c r="J335" s="12">
        <v>28</v>
      </c>
      <c r="K335" s="241">
        <f t="shared" si="32"/>
        <v>60</v>
      </c>
      <c r="L335" t="str">
        <f t="shared" si="33"/>
        <v>B</v>
      </c>
      <c r="M335" t="str">
        <f t="shared" si="34"/>
        <v>Passed</v>
      </c>
    </row>
    <row r="336" spans="1:13" x14ac:dyDescent="0.3">
      <c r="A336" s="12">
        <v>41</v>
      </c>
      <c r="B336" s="45" t="s">
        <v>220</v>
      </c>
      <c r="C336" s="45" t="s">
        <v>130</v>
      </c>
      <c r="D336" s="12" t="s">
        <v>1805</v>
      </c>
      <c r="E336" s="12">
        <v>8</v>
      </c>
      <c r="F336" s="12">
        <v>18</v>
      </c>
      <c r="G336" s="241">
        <f t="shared" si="31"/>
        <v>26</v>
      </c>
      <c r="H336" s="12"/>
      <c r="I336" s="12"/>
      <c r="J336" s="12">
        <v>35</v>
      </c>
      <c r="K336" s="241">
        <f t="shared" si="32"/>
        <v>61</v>
      </c>
      <c r="L336" t="str">
        <f t="shared" si="33"/>
        <v>B</v>
      </c>
      <c r="M336" t="str">
        <f t="shared" si="34"/>
        <v>Passed</v>
      </c>
    </row>
    <row r="337" spans="1:13" x14ac:dyDescent="0.3">
      <c r="A337" s="12">
        <v>42</v>
      </c>
      <c r="B337" s="45" t="s">
        <v>659</v>
      </c>
      <c r="C337" s="45" t="s">
        <v>117</v>
      </c>
      <c r="D337" s="12" t="s">
        <v>1800</v>
      </c>
      <c r="E337" s="12">
        <v>10</v>
      </c>
      <c r="F337" s="12">
        <v>26</v>
      </c>
      <c r="G337" s="241">
        <f t="shared" si="31"/>
        <v>36</v>
      </c>
      <c r="H337" s="12"/>
      <c r="I337" s="12"/>
      <c r="J337" s="12">
        <v>23</v>
      </c>
      <c r="K337" s="241">
        <f t="shared" si="32"/>
        <v>59</v>
      </c>
      <c r="L337" t="str">
        <f t="shared" si="33"/>
        <v>C+</v>
      </c>
      <c r="M337" t="str">
        <f t="shared" si="34"/>
        <v>Passed</v>
      </c>
    </row>
    <row r="338" spans="1:13" x14ac:dyDescent="0.3">
      <c r="A338" s="12">
        <v>43</v>
      </c>
      <c r="B338" s="45" t="s">
        <v>146</v>
      </c>
      <c r="C338" s="45" t="s">
        <v>94</v>
      </c>
      <c r="D338" s="12" t="s">
        <v>1775</v>
      </c>
      <c r="E338" s="12">
        <v>10</v>
      </c>
      <c r="F338" s="12">
        <v>19</v>
      </c>
      <c r="G338" s="241">
        <f t="shared" si="31"/>
        <v>29</v>
      </c>
      <c r="H338" s="12"/>
      <c r="I338" s="12"/>
      <c r="J338" s="12">
        <v>33</v>
      </c>
      <c r="K338" s="241">
        <f t="shared" si="32"/>
        <v>62</v>
      </c>
      <c r="L338" t="str">
        <f t="shared" si="33"/>
        <v>B</v>
      </c>
      <c r="M338" t="str">
        <f t="shared" si="34"/>
        <v>Passed</v>
      </c>
    </row>
    <row r="339" spans="1:13" x14ac:dyDescent="0.3">
      <c r="A339" s="12">
        <v>44</v>
      </c>
      <c r="B339" s="277" t="s">
        <v>147</v>
      </c>
      <c r="C339" s="45" t="s">
        <v>95</v>
      </c>
      <c r="D339" s="12" t="s">
        <v>1774</v>
      </c>
      <c r="E339" s="12">
        <v>10</v>
      </c>
      <c r="F339" s="12">
        <v>22</v>
      </c>
      <c r="G339" s="241">
        <f t="shared" si="31"/>
        <v>32</v>
      </c>
      <c r="H339" s="12"/>
      <c r="I339" s="12"/>
      <c r="J339" s="12">
        <v>39</v>
      </c>
      <c r="K339" s="241">
        <f t="shared" si="32"/>
        <v>71</v>
      </c>
      <c r="L339" t="str">
        <f t="shared" si="33"/>
        <v>B+</v>
      </c>
      <c r="M339" t="str">
        <f t="shared" si="34"/>
        <v>Passed</v>
      </c>
    </row>
    <row r="340" spans="1:13" x14ac:dyDescent="0.3">
      <c r="A340" s="12">
        <v>45</v>
      </c>
      <c r="B340" s="45" t="s">
        <v>155</v>
      </c>
      <c r="C340" s="45" t="s">
        <v>103</v>
      </c>
      <c r="D340" s="12" t="s">
        <v>1773</v>
      </c>
      <c r="E340" s="12">
        <v>9</v>
      </c>
      <c r="F340" s="12">
        <v>15</v>
      </c>
      <c r="G340" s="241">
        <f t="shared" si="31"/>
        <v>24</v>
      </c>
      <c r="H340" s="12"/>
      <c r="I340" s="12"/>
      <c r="J340" s="12">
        <v>21</v>
      </c>
      <c r="K340" s="241">
        <f t="shared" si="32"/>
        <v>45</v>
      </c>
      <c r="L340" t="str">
        <f t="shared" si="33"/>
        <v>D+</v>
      </c>
      <c r="M340" t="str">
        <f t="shared" si="34"/>
        <v>Failed</v>
      </c>
    </row>
    <row r="341" spans="1:13" x14ac:dyDescent="0.3">
      <c r="A341" s="12">
        <v>46</v>
      </c>
      <c r="B341" s="45" t="s">
        <v>182</v>
      </c>
      <c r="C341" s="45" t="s">
        <v>105</v>
      </c>
      <c r="D341" s="12" t="s">
        <v>1771</v>
      </c>
      <c r="E341" s="12">
        <v>4</v>
      </c>
      <c r="F341" s="12"/>
      <c r="G341" s="241">
        <f t="shared" si="31"/>
        <v>4</v>
      </c>
      <c r="H341" s="12"/>
      <c r="I341" s="12"/>
      <c r="J341" s="12" t="s">
        <v>1938</v>
      </c>
      <c r="K341" s="241"/>
    </row>
    <row r="342" spans="1:13" x14ac:dyDescent="0.3">
      <c r="A342" s="12">
        <v>47</v>
      </c>
      <c r="B342" s="45" t="s">
        <v>161</v>
      </c>
      <c r="C342" s="45" t="s">
        <v>111</v>
      </c>
      <c r="D342" s="12" t="s">
        <v>1771</v>
      </c>
      <c r="E342" s="12"/>
      <c r="F342" s="12"/>
      <c r="G342" s="241"/>
      <c r="H342" s="12"/>
      <c r="I342" s="12"/>
      <c r="J342" s="12"/>
      <c r="K342" s="241"/>
    </row>
    <row r="343" spans="1:13" x14ac:dyDescent="0.3">
      <c r="A343" s="12">
        <v>48</v>
      </c>
      <c r="B343" s="45" t="s">
        <v>169</v>
      </c>
      <c r="C343" s="45" t="s">
        <v>122</v>
      </c>
      <c r="D343" s="12" t="s">
        <v>1771</v>
      </c>
      <c r="E343" s="12"/>
      <c r="F343" s="12"/>
      <c r="G343" s="241"/>
      <c r="H343" s="12"/>
      <c r="I343" s="12"/>
      <c r="J343" s="12"/>
      <c r="K343" s="241"/>
    </row>
    <row r="344" spans="1:13" x14ac:dyDescent="0.3">
      <c r="A344" s="12">
        <v>49</v>
      </c>
      <c r="B344" s="45" t="s">
        <v>648</v>
      </c>
      <c r="C344" s="45" t="s">
        <v>129</v>
      </c>
      <c r="D344" s="12" t="s">
        <v>1806</v>
      </c>
      <c r="E344" s="12">
        <v>10</v>
      </c>
      <c r="F344" s="12">
        <v>16</v>
      </c>
      <c r="G344" s="241">
        <f t="shared" si="31"/>
        <v>26</v>
      </c>
      <c r="H344" s="12"/>
      <c r="I344" s="12"/>
      <c r="J344" s="12">
        <v>34</v>
      </c>
      <c r="K344" s="241">
        <f t="shared" si="32"/>
        <v>60</v>
      </c>
      <c r="L344" t="str">
        <f t="shared" si="33"/>
        <v>B</v>
      </c>
      <c r="M344" t="str">
        <f t="shared" si="34"/>
        <v>Passed</v>
      </c>
    </row>
    <row r="345" spans="1:13" x14ac:dyDescent="0.3">
      <c r="A345" s="12">
        <v>50</v>
      </c>
      <c r="B345" s="45" t="s">
        <v>177</v>
      </c>
      <c r="C345" s="45" t="s">
        <v>132</v>
      </c>
      <c r="D345" s="12" t="s">
        <v>1808</v>
      </c>
      <c r="E345" s="12">
        <v>10</v>
      </c>
      <c r="F345" s="12">
        <v>22</v>
      </c>
      <c r="G345" s="241">
        <f t="shared" si="31"/>
        <v>32</v>
      </c>
      <c r="H345" s="12"/>
      <c r="I345" s="12"/>
      <c r="J345" s="12">
        <v>29</v>
      </c>
      <c r="K345" s="241">
        <f t="shared" si="32"/>
        <v>61</v>
      </c>
      <c r="L345" t="str">
        <f t="shared" si="33"/>
        <v>B</v>
      </c>
      <c r="M345" t="str">
        <f t="shared" si="34"/>
        <v>Passed</v>
      </c>
    </row>
    <row r="346" spans="1:13" x14ac:dyDescent="0.3">
      <c r="A346" s="12">
        <v>51</v>
      </c>
      <c r="B346" s="45" t="s">
        <v>179</v>
      </c>
      <c r="C346" s="45" t="s">
        <v>665</v>
      </c>
      <c r="D346" s="12" t="s">
        <v>1818</v>
      </c>
      <c r="E346" s="12">
        <v>8</v>
      </c>
      <c r="F346" s="12">
        <v>29</v>
      </c>
      <c r="G346" s="241">
        <f t="shared" si="31"/>
        <v>37</v>
      </c>
      <c r="H346" s="12"/>
      <c r="I346" s="12"/>
      <c r="J346" s="12">
        <v>23</v>
      </c>
      <c r="K346" s="241">
        <f t="shared" si="32"/>
        <v>60</v>
      </c>
      <c r="L346" t="str">
        <f t="shared" si="33"/>
        <v>B</v>
      </c>
      <c r="M346" t="str">
        <f t="shared" si="34"/>
        <v>Passed</v>
      </c>
    </row>
    <row r="347" spans="1:13" x14ac:dyDescent="0.3">
      <c r="A347" s="12">
        <v>52</v>
      </c>
      <c r="B347" s="45" t="s">
        <v>180</v>
      </c>
      <c r="C347" s="45" t="s">
        <v>136</v>
      </c>
      <c r="D347" s="12" t="s">
        <v>1815</v>
      </c>
      <c r="E347" s="12">
        <v>8</v>
      </c>
      <c r="F347" s="12">
        <v>21</v>
      </c>
      <c r="G347" s="241">
        <f t="shared" si="31"/>
        <v>29</v>
      </c>
      <c r="H347" s="12"/>
      <c r="I347" s="12"/>
      <c r="J347" s="12">
        <v>26</v>
      </c>
      <c r="K347" s="241">
        <f t="shared" si="32"/>
        <v>55</v>
      </c>
      <c r="L347" t="str">
        <f t="shared" si="33"/>
        <v>C+</v>
      </c>
      <c r="M347" t="str">
        <f t="shared" si="34"/>
        <v>Passed</v>
      </c>
    </row>
    <row r="348" spans="1:13" x14ac:dyDescent="0.3">
      <c r="A348" s="12">
        <v>53</v>
      </c>
      <c r="B348" s="45" t="s">
        <v>183</v>
      </c>
      <c r="C348" s="45" t="s">
        <v>140</v>
      </c>
      <c r="D348" s="12" t="s">
        <v>1809</v>
      </c>
      <c r="E348" s="12">
        <v>10</v>
      </c>
      <c r="F348" s="12">
        <v>18</v>
      </c>
      <c r="G348" s="241">
        <f t="shared" si="31"/>
        <v>28</v>
      </c>
      <c r="H348" s="12"/>
      <c r="I348" s="12"/>
      <c r="J348" s="12">
        <v>26</v>
      </c>
      <c r="K348" s="241">
        <f t="shared" si="32"/>
        <v>54</v>
      </c>
      <c r="L348" t="str">
        <f t="shared" si="33"/>
        <v>C</v>
      </c>
      <c r="M348" t="str">
        <f t="shared" si="34"/>
        <v>Passed</v>
      </c>
    </row>
    <row r="349" spans="1:13" x14ac:dyDescent="0.3">
      <c r="A349" s="12">
        <v>54</v>
      </c>
      <c r="B349" s="45" t="s">
        <v>184</v>
      </c>
      <c r="C349" s="45" t="s">
        <v>142</v>
      </c>
      <c r="D349" s="12" t="s">
        <v>1801</v>
      </c>
      <c r="E349" s="12">
        <v>8</v>
      </c>
      <c r="F349" s="12">
        <v>26</v>
      </c>
      <c r="G349" s="241">
        <f t="shared" si="31"/>
        <v>34</v>
      </c>
      <c r="H349" s="12"/>
      <c r="I349" s="12"/>
      <c r="J349" s="12">
        <v>24</v>
      </c>
      <c r="K349" s="241">
        <f t="shared" si="32"/>
        <v>58</v>
      </c>
      <c r="L349" t="str">
        <f t="shared" si="33"/>
        <v>C+</v>
      </c>
      <c r="M349" t="str">
        <f t="shared" si="34"/>
        <v>Passed</v>
      </c>
    </row>
    <row r="350" spans="1:13" x14ac:dyDescent="0.3">
      <c r="A350" s="312"/>
      <c r="B350" s="56"/>
      <c r="C350" s="56"/>
      <c r="D350" s="56"/>
      <c r="E350" s="56"/>
      <c r="F350" s="56"/>
      <c r="G350" s="316"/>
      <c r="H350" s="56"/>
      <c r="I350" s="56"/>
      <c r="J350" s="56"/>
      <c r="K350" s="56"/>
    </row>
    <row r="351" spans="1:13" x14ac:dyDescent="0.3">
      <c r="A351" s="312"/>
      <c r="B351" s="56"/>
      <c r="C351" s="56"/>
      <c r="D351" s="56"/>
      <c r="E351" s="56"/>
      <c r="F351" s="56"/>
      <c r="G351" s="316"/>
      <c r="H351" s="56"/>
      <c r="I351" s="56"/>
      <c r="J351" s="56"/>
      <c r="K351" s="56"/>
    </row>
    <row r="352" spans="1:13" x14ac:dyDescent="0.3">
      <c r="A352" s="312"/>
      <c r="B352" s="56"/>
      <c r="C352" s="56"/>
      <c r="D352" s="56"/>
      <c r="E352" s="56"/>
      <c r="F352" s="56"/>
      <c r="G352" s="316"/>
      <c r="H352" s="56"/>
      <c r="I352" s="56"/>
      <c r="J352" s="56"/>
      <c r="K352" s="56"/>
    </row>
    <row r="353" spans="1:15" x14ac:dyDescent="0.3">
      <c r="A353" s="312"/>
      <c r="B353" s="56"/>
      <c r="C353" s="56"/>
      <c r="D353" s="56"/>
      <c r="E353" s="56"/>
      <c r="F353" s="56"/>
      <c r="G353" s="316"/>
      <c r="H353" s="56"/>
      <c r="I353" s="56"/>
      <c r="J353" s="56"/>
      <c r="K353" s="56"/>
    </row>
    <row r="354" spans="1:15" x14ac:dyDescent="0.3">
      <c r="A354" s="312"/>
      <c r="B354" s="56"/>
      <c r="C354" s="56"/>
      <c r="D354" s="56"/>
      <c r="E354" s="56"/>
      <c r="F354" s="56"/>
      <c r="G354" s="316"/>
      <c r="H354" s="56"/>
      <c r="I354" s="56"/>
      <c r="J354" s="56"/>
      <c r="K354" s="56"/>
    </row>
    <row r="355" spans="1:15" x14ac:dyDescent="0.3">
      <c r="A355" s="312"/>
      <c r="B355" s="56"/>
      <c r="C355" s="56"/>
      <c r="D355" s="56"/>
      <c r="E355" s="56"/>
      <c r="F355" s="56"/>
      <c r="G355" s="316"/>
      <c r="H355" s="56"/>
      <c r="I355" s="56"/>
      <c r="J355" s="56"/>
      <c r="K355" s="56"/>
    </row>
    <row r="356" spans="1:15" x14ac:dyDescent="0.3">
      <c r="A356" s="312"/>
      <c r="B356" s="56"/>
      <c r="C356" s="56"/>
      <c r="D356" s="56"/>
      <c r="E356" s="56"/>
      <c r="F356" s="56"/>
      <c r="G356" s="316"/>
      <c r="H356" s="56"/>
      <c r="I356" s="56"/>
      <c r="J356" s="56"/>
      <c r="K356" s="56"/>
    </row>
    <row r="359" spans="1:15" x14ac:dyDescent="0.3">
      <c r="A359" s="47" t="s">
        <v>0</v>
      </c>
    </row>
    <row r="360" spans="1:15" x14ac:dyDescent="0.3">
      <c r="A360" s="47" t="s">
        <v>66</v>
      </c>
      <c r="B360" s="38"/>
      <c r="C360" s="38"/>
      <c r="D360" s="38"/>
      <c r="E360" s="39"/>
      <c r="F360" s="39"/>
      <c r="G360" s="39"/>
      <c r="H360" s="56"/>
      <c r="I360" s="56"/>
    </row>
    <row r="361" spans="1:15" x14ac:dyDescent="0.3">
      <c r="A361" s="460" t="s">
        <v>362</v>
      </c>
      <c r="B361" s="461"/>
      <c r="C361" s="461"/>
      <c r="D361" s="2"/>
      <c r="E361" s="2"/>
      <c r="F361" s="2"/>
      <c r="G361" s="2"/>
      <c r="H361" s="2"/>
      <c r="I361" s="2"/>
      <c r="J361" s="2"/>
      <c r="K361" s="2"/>
      <c r="L361" s="1"/>
      <c r="M361" s="16"/>
      <c r="N361" s="16"/>
      <c r="O361" s="13"/>
    </row>
    <row r="362" spans="1:15" x14ac:dyDescent="0.3">
      <c r="A362" s="47" t="s">
        <v>1</v>
      </c>
      <c r="B362" s="462" t="s">
        <v>38</v>
      </c>
      <c r="C362" s="462"/>
      <c r="D362" s="14"/>
    </row>
    <row r="363" spans="1:15" x14ac:dyDescent="0.3">
      <c r="A363" s="14" t="s">
        <v>3</v>
      </c>
      <c r="B363" s="462" t="s">
        <v>76</v>
      </c>
      <c r="C363" s="462"/>
      <c r="D363" s="38"/>
      <c r="E363" s="39"/>
      <c r="F363" s="39"/>
      <c r="G363" s="39"/>
      <c r="H363" s="56"/>
      <c r="I363" s="56"/>
    </row>
    <row r="364" spans="1:15" x14ac:dyDescent="0.3">
      <c r="A364" s="47" t="s">
        <v>4</v>
      </c>
      <c r="B364" s="462" t="s">
        <v>427</v>
      </c>
      <c r="C364" s="462"/>
      <c r="D364" s="48"/>
    </row>
    <row r="365" spans="1:15" x14ac:dyDescent="0.3">
      <c r="A365" s="14" t="s">
        <v>5</v>
      </c>
      <c r="B365" s="463">
        <v>3</v>
      </c>
      <c r="C365" s="463"/>
      <c r="D365" s="38"/>
      <c r="E365" s="39"/>
      <c r="F365" s="39"/>
      <c r="G365" s="39"/>
      <c r="H365" s="56"/>
      <c r="I365" s="56"/>
    </row>
    <row r="366" spans="1:15" x14ac:dyDescent="0.3">
      <c r="A366" s="47" t="s">
        <v>6</v>
      </c>
      <c r="B366" s="462" t="s">
        <v>43</v>
      </c>
      <c r="C366" s="462"/>
      <c r="D366" s="14"/>
    </row>
    <row r="367" spans="1:15" x14ac:dyDescent="0.3">
      <c r="A367" s="14" t="s">
        <v>68</v>
      </c>
      <c r="B367" s="466"/>
      <c r="C367" s="466"/>
      <c r="D367" s="38"/>
      <c r="E367" s="39"/>
      <c r="F367" s="39"/>
      <c r="G367" s="39"/>
      <c r="H367" s="56"/>
      <c r="I367" s="56"/>
    </row>
    <row r="368" spans="1:15" x14ac:dyDescent="0.3">
      <c r="A368" s="42"/>
      <c r="B368" s="14"/>
      <c r="C368" s="14"/>
      <c r="D368" s="14"/>
    </row>
    <row r="369" spans="1:22" ht="60" x14ac:dyDescent="0.3">
      <c r="A369" s="42" t="s">
        <v>8</v>
      </c>
      <c r="B369" s="42" t="s">
        <v>9</v>
      </c>
      <c r="C369" s="42" t="s">
        <v>10</v>
      </c>
      <c r="D369" s="43" t="s">
        <v>11</v>
      </c>
      <c r="E369" s="43" t="s">
        <v>12</v>
      </c>
      <c r="F369" s="43" t="s">
        <v>13</v>
      </c>
      <c r="G369" s="43" t="s">
        <v>14</v>
      </c>
      <c r="H369" s="43" t="s">
        <v>208</v>
      </c>
      <c r="I369" s="43" t="s">
        <v>209</v>
      </c>
      <c r="J369" s="43" t="s">
        <v>15</v>
      </c>
      <c r="K369" s="43" t="s">
        <v>16</v>
      </c>
      <c r="L369" t="s">
        <v>17</v>
      </c>
      <c r="M369" t="s">
        <v>18</v>
      </c>
      <c r="N369" t="s">
        <v>19</v>
      </c>
    </row>
    <row r="370" spans="1:22" x14ac:dyDescent="0.3">
      <c r="A370" s="12"/>
      <c r="B370" s="42"/>
      <c r="C370" s="42"/>
      <c r="D370" s="42"/>
      <c r="E370" s="42"/>
      <c r="F370" s="42"/>
      <c r="G370" s="42"/>
      <c r="H370" s="42"/>
      <c r="I370" s="42"/>
      <c r="J370" s="12"/>
      <c r="K370" s="12"/>
      <c r="N370" t="s">
        <v>20</v>
      </c>
      <c r="O370">
        <f>COUNT(G371:G405)</f>
        <v>29</v>
      </c>
    </row>
    <row r="371" spans="1:22" x14ac:dyDescent="0.3">
      <c r="A371" s="12">
        <v>1</v>
      </c>
      <c r="B371" s="45" t="s">
        <v>203</v>
      </c>
      <c r="C371" s="45" t="s">
        <v>92</v>
      </c>
      <c r="D371" s="12" t="s">
        <v>1318</v>
      </c>
      <c r="E371" s="12">
        <v>10</v>
      </c>
      <c r="F371" s="12">
        <v>25</v>
      </c>
      <c r="G371" s="12">
        <f>SUM(E371:F371)</f>
        <v>35</v>
      </c>
      <c r="H371" s="12"/>
      <c r="I371" s="12"/>
      <c r="J371" s="12">
        <v>31</v>
      </c>
      <c r="K371" s="12">
        <f>SUM(G371:J371)</f>
        <v>66</v>
      </c>
      <c r="L371" t="str">
        <f t="shared" ref="L371:L385" si="35">IF(K371&gt;=80,"A",IF(K371&gt;=70,"B+",IF(K371&gt;=60,"B",IF(K371&gt;=55,"C+",IF(K371&gt;=50,"C",IF(K371&gt;=45,"D+",IF(K371&gt;=40,"D","F")))))))</f>
        <v>B</v>
      </c>
      <c r="M371" t="str">
        <f t="shared" ref="M371:M376" si="36">IF(K371&gt;=50,"Passed","Failed")</f>
        <v>Passed</v>
      </c>
      <c r="N371" t="s">
        <v>21</v>
      </c>
      <c r="O371">
        <f>COUNT(J371:J405)</f>
        <v>29</v>
      </c>
    </row>
    <row r="372" spans="1:22" x14ac:dyDescent="0.3">
      <c r="A372" s="12">
        <v>2</v>
      </c>
      <c r="B372" s="45" t="s">
        <v>145</v>
      </c>
      <c r="C372" s="45" t="s">
        <v>93</v>
      </c>
      <c r="D372" s="12" t="s">
        <v>1320</v>
      </c>
      <c r="E372" s="12">
        <v>8</v>
      </c>
      <c r="F372" s="12">
        <v>22</v>
      </c>
      <c r="G372" s="12">
        <f t="shared" ref="G372:G405" si="37">SUM(E372:F372)</f>
        <v>30</v>
      </c>
      <c r="H372" s="12"/>
      <c r="I372" s="12"/>
      <c r="J372" s="12">
        <v>12</v>
      </c>
      <c r="K372" s="12">
        <f t="shared" ref="K372:K405" si="38">SUM(G372:J372)</f>
        <v>42</v>
      </c>
      <c r="L372" t="str">
        <f t="shared" si="35"/>
        <v>D</v>
      </c>
      <c r="M372" t="str">
        <f t="shared" si="36"/>
        <v>Failed</v>
      </c>
      <c r="N372" t="s">
        <v>22</v>
      </c>
      <c r="O372">
        <f>O370-O371</f>
        <v>0</v>
      </c>
    </row>
    <row r="373" spans="1:22" x14ac:dyDescent="0.3">
      <c r="A373" s="12">
        <v>3</v>
      </c>
      <c r="B373" s="45" t="s">
        <v>149</v>
      </c>
      <c r="C373" s="45" t="s">
        <v>97</v>
      </c>
      <c r="D373" s="12" t="s">
        <v>1313</v>
      </c>
      <c r="E373" s="12">
        <v>10</v>
      </c>
      <c r="F373" s="12">
        <v>26</v>
      </c>
      <c r="G373" s="12">
        <f t="shared" si="37"/>
        <v>36</v>
      </c>
      <c r="H373" s="12"/>
      <c r="I373" s="12"/>
      <c r="J373" s="12">
        <v>47</v>
      </c>
      <c r="K373" s="12">
        <f t="shared" si="38"/>
        <v>83</v>
      </c>
      <c r="L373" t="str">
        <f t="shared" si="35"/>
        <v>A</v>
      </c>
      <c r="M373" t="str">
        <f t="shared" si="36"/>
        <v>Passed</v>
      </c>
      <c r="N373" t="s">
        <v>23</v>
      </c>
      <c r="O373">
        <f>COUNTIF(M371:M405,"Passed")</f>
        <v>25</v>
      </c>
    </row>
    <row r="374" spans="1:22" ht="18" customHeight="1" x14ac:dyDescent="0.3">
      <c r="A374" s="12">
        <v>4</v>
      </c>
      <c r="B374" s="45" t="s">
        <v>152</v>
      </c>
      <c r="C374" s="45" t="s">
        <v>100</v>
      </c>
      <c r="D374" s="12" t="s">
        <v>1316</v>
      </c>
      <c r="E374" s="12">
        <v>9</v>
      </c>
      <c r="F374" s="12">
        <v>19</v>
      </c>
      <c r="G374" s="12">
        <f t="shared" si="37"/>
        <v>28</v>
      </c>
      <c r="H374" s="12"/>
      <c r="I374" s="12"/>
      <c r="J374" s="12">
        <v>22</v>
      </c>
      <c r="K374" s="12">
        <f t="shared" si="38"/>
        <v>50</v>
      </c>
      <c r="L374" t="str">
        <f t="shared" si="35"/>
        <v>C</v>
      </c>
      <c r="M374" t="str">
        <f t="shared" si="36"/>
        <v>Passed</v>
      </c>
      <c r="N374" t="s">
        <v>24</v>
      </c>
      <c r="O374" s="179">
        <f>O373/O371%</f>
        <v>86.206896551724142</v>
      </c>
    </row>
    <row r="375" spans="1:22" x14ac:dyDescent="0.3">
      <c r="A375" s="12">
        <v>5</v>
      </c>
      <c r="B375" s="45" t="s">
        <v>156</v>
      </c>
      <c r="C375" s="45" t="s">
        <v>104</v>
      </c>
      <c r="D375" s="12" t="s">
        <v>1310</v>
      </c>
      <c r="E375" s="12">
        <v>10</v>
      </c>
      <c r="F375" s="12">
        <v>24</v>
      </c>
      <c r="G375" s="12">
        <f t="shared" si="37"/>
        <v>34</v>
      </c>
      <c r="H375" s="12"/>
      <c r="I375" s="12"/>
      <c r="J375" s="12">
        <v>50</v>
      </c>
      <c r="K375" s="12">
        <f t="shared" si="38"/>
        <v>84</v>
      </c>
      <c r="L375" t="str">
        <f t="shared" si="35"/>
        <v>A</v>
      </c>
      <c r="M375" t="str">
        <f t="shared" si="36"/>
        <v>Passed</v>
      </c>
      <c r="N375" t="s">
        <v>25</v>
      </c>
      <c r="O375">
        <f>COUNTIF(M371:M405,"failed")</f>
        <v>4</v>
      </c>
    </row>
    <row r="376" spans="1:22" x14ac:dyDescent="0.3">
      <c r="A376" s="12">
        <v>6</v>
      </c>
      <c r="B376" s="45" t="s">
        <v>160</v>
      </c>
      <c r="C376" s="45" t="s">
        <v>109</v>
      </c>
      <c r="D376" s="12" t="s">
        <v>1309</v>
      </c>
      <c r="E376" s="12">
        <v>10</v>
      </c>
      <c r="F376" s="12">
        <v>26</v>
      </c>
      <c r="G376" s="12">
        <f t="shared" si="37"/>
        <v>36</v>
      </c>
      <c r="H376" s="12"/>
      <c r="I376" s="12"/>
      <c r="J376" s="12">
        <v>41</v>
      </c>
      <c r="K376" s="12">
        <f t="shared" si="38"/>
        <v>77</v>
      </c>
      <c r="L376" t="str">
        <f t="shared" si="35"/>
        <v>B+</v>
      </c>
      <c r="M376" t="str">
        <f t="shared" si="36"/>
        <v>Passed</v>
      </c>
      <c r="N376" t="s">
        <v>26</v>
      </c>
      <c r="O376" s="179">
        <f>O375/O371%</f>
        <v>13.793103448275863</v>
      </c>
    </row>
    <row r="377" spans="1:22" x14ac:dyDescent="0.3">
      <c r="A377" s="12">
        <v>7</v>
      </c>
      <c r="B377" s="45" t="s">
        <v>207</v>
      </c>
      <c r="C377" s="45" t="s">
        <v>110</v>
      </c>
      <c r="D377" s="12" t="s">
        <v>1330</v>
      </c>
      <c r="E377" s="12"/>
      <c r="F377" s="12"/>
      <c r="G377" s="12"/>
      <c r="H377" s="12"/>
      <c r="I377" s="12"/>
      <c r="J377" s="12"/>
      <c r="K377" s="12"/>
      <c r="N377" t="s">
        <v>27</v>
      </c>
      <c r="O377" s="179">
        <f>AVERAGE(K371:K405)</f>
        <v>61.103448275862071</v>
      </c>
    </row>
    <row r="378" spans="1:22" x14ac:dyDescent="0.3">
      <c r="A378" s="12">
        <v>8</v>
      </c>
      <c r="B378" s="45" t="s">
        <v>163</v>
      </c>
      <c r="C378" s="45" t="s">
        <v>113</v>
      </c>
      <c r="D378" s="12" t="s">
        <v>1314</v>
      </c>
      <c r="E378" s="12">
        <v>9</v>
      </c>
      <c r="F378" s="12">
        <v>20</v>
      </c>
      <c r="G378" s="12">
        <f t="shared" si="37"/>
        <v>29</v>
      </c>
      <c r="H378" s="12"/>
      <c r="I378" s="12"/>
      <c r="J378" s="12">
        <v>27</v>
      </c>
      <c r="K378" s="12">
        <f t="shared" si="38"/>
        <v>56</v>
      </c>
      <c r="L378" t="str">
        <f t="shared" si="35"/>
        <v>C+</v>
      </c>
      <c r="M378" t="str">
        <f>IF(K378&gt;=50,"Passed","Failed")</f>
        <v>Passed</v>
      </c>
    </row>
    <row r="379" spans="1:22" x14ac:dyDescent="0.3">
      <c r="A379" s="12">
        <v>9</v>
      </c>
      <c r="B379" s="45" t="s">
        <v>480</v>
      </c>
      <c r="C379" s="45" t="s">
        <v>115</v>
      </c>
      <c r="D379" s="12" t="s">
        <v>1321</v>
      </c>
      <c r="E379" s="12">
        <v>10</v>
      </c>
      <c r="F379" s="12">
        <v>25</v>
      </c>
      <c r="G379" s="12">
        <f t="shared" si="37"/>
        <v>35</v>
      </c>
      <c r="H379" s="12"/>
      <c r="I379" s="12"/>
      <c r="J379" s="12">
        <v>53</v>
      </c>
      <c r="K379" s="12">
        <f t="shared" si="38"/>
        <v>88</v>
      </c>
      <c r="L379" t="str">
        <f t="shared" si="35"/>
        <v>A</v>
      </c>
      <c r="M379" t="str">
        <f t="shared" ref="M379:M385" si="39">IF(K379&gt;=50,"Passed","Failed")</f>
        <v>Passed</v>
      </c>
    </row>
    <row r="380" spans="1:22" x14ac:dyDescent="0.3">
      <c r="A380" s="12">
        <v>10</v>
      </c>
      <c r="B380" s="45" t="s">
        <v>200</v>
      </c>
      <c r="C380" s="45" t="s">
        <v>119</v>
      </c>
      <c r="D380" s="12" t="s">
        <v>1327</v>
      </c>
      <c r="E380" s="12">
        <v>8</v>
      </c>
      <c r="F380" s="12">
        <v>15</v>
      </c>
      <c r="G380" s="12">
        <f t="shared" si="37"/>
        <v>23</v>
      </c>
      <c r="H380" s="12"/>
      <c r="I380" s="12"/>
      <c r="J380" s="12">
        <v>3</v>
      </c>
      <c r="K380" s="12">
        <f t="shared" si="38"/>
        <v>26</v>
      </c>
      <c r="L380" t="str">
        <f t="shared" si="35"/>
        <v>F</v>
      </c>
      <c r="M380" t="str">
        <f t="shared" si="39"/>
        <v>Failed</v>
      </c>
    </row>
    <row r="381" spans="1:22" x14ac:dyDescent="0.3">
      <c r="A381" s="12">
        <v>11</v>
      </c>
      <c r="B381" s="45" t="s">
        <v>205</v>
      </c>
      <c r="C381" s="45" t="s">
        <v>120</v>
      </c>
      <c r="D381" s="12" t="s">
        <v>1330</v>
      </c>
      <c r="E381" s="12"/>
      <c r="F381" s="12"/>
      <c r="G381" s="12"/>
      <c r="H381" s="12"/>
      <c r="I381" s="12"/>
      <c r="J381" s="12"/>
      <c r="K381" s="12"/>
      <c r="O381" t="s">
        <v>28</v>
      </c>
      <c r="P381" t="s">
        <v>29</v>
      </c>
      <c r="Q381" t="s">
        <v>30</v>
      </c>
      <c r="R381" t="s">
        <v>31</v>
      </c>
      <c r="S381" t="s">
        <v>32</v>
      </c>
      <c r="T381" t="s">
        <v>33</v>
      </c>
      <c r="U381" t="s">
        <v>34</v>
      </c>
      <c r="V381" t="s">
        <v>35</v>
      </c>
    </row>
    <row r="382" spans="1:22" x14ac:dyDescent="0.3">
      <c r="A382" s="12">
        <v>12</v>
      </c>
      <c r="B382" s="45" t="s">
        <v>168</v>
      </c>
      <c r="C382" s="45" t="s">
        <v>121</v>
      </c>
      <c r="D382" s="12" t="s">
        <v>1312</v>
      </c>
      <c r="E382" s="12">
        <v>8</v>
      </c>
      <c r="F382" s="12">
        <v>20</v>
      </c>
      <c r="G382" s="12">
        <f t="shared" si="37"/>
        <v>28</v>
      </c>
      <c r="H382" s="12"/>
      <c r="I382" s="12"/>
      <c r="J382" s="12">
        <v>28</v>
      </c>
      <c r="K382" s="12">
        <f t="shared" si="38"/>
        <v>56</v>
      </c>
      <c r="L382" t="str">
        <f t="shared" si="35"/>
        <v>C+</v>
      </c>
      <c r="M382" t="str">
        <f t="shared" si="39"/>
        <v>Passed</v>
      </c>
      <c r="O382">
        <f>COUNTIF(L371:L405,"A")</f>
        <v>5</v>
      </c>
      <c r="P382">
        <f>COUNTIF(L371:L405,"B+")</f>
        <v>2</v>
      </c>
      <c r="Q382">
        <f>COUNTIF(L371:L405,"B")</f>
        <v>8</v>
      </c>
      <c r="R382">
        <f>COUNTIF(L371:L405,"C+")</f>
        <v>4</v>
      </c>
      <c r="S382">
        <f>COUNTIF(L371:L405,"C")</f>
        <v>6</v>
      </c>
      <c r="T382">
        <f>COUNTIF(L371:L405,"D+")</f>
        <v>0</v>
      </c>
      <c r="U382">
        <f>COUNTIF(L371:L405,"D")</f>
        <v>2</v>
      </c>
      <c r="V382">
        <f>COUNTIF(L371:L405,"F")</f>
        <v>2</v>
      </c>
    </row>
    <row r="383" spans="1:22" x14ac:dyDescent="0.3">
      <c r="A383" s="12">
        <v>13</v>
      </c>
      <c r="B383" s="45" t="s">
        <v>170</v>
      </c>
      <c r="C383" s="45" t="s">
        <v>124</v>
      </c>
      <c r="D383" s="12" t="s">
        <v>1323</v>
      </c>
      <c r="E383" s="12">
        <v>10</v>
      </c>
      <c r="F383" s="12">
        <v>24</v>
      </c>
      <c r="G383" s="12">
        <f t="shared" si="37"/>
        <v>34</v>
      </c>
      <c r="H383" s="12"/>
      <c r="I383" s="12"/>
      <c r="J383" s="12">
        <v>28</v>
      </c>
      <c r="K383" s="12">
        <f t="shared" si="38"/>
        <v>62</v>
      </c>
      <c r="L383" t="str">
        <f t="shared" si="35"/>
        <v>B</v>
      </c>
      <c r="M383" t="str">
        <f t="shared" si="39"/>
        <v>Passed</v>
      </c>
    </row>
    <row r="384" spans="1:22" x14ac:dyDescent="0.3">
      <c r="A384" s="12">
        <v>14</v>
      </c>
      <c r="B384" s="45" t="s">
        <v>172</v>
      </c>
      <c r="C384" s="45" t="s">
        <v>126</v>
      </c>
      <c r="D384" s="12" t="s">
        <v>1303</v>
      </c>
      <c r="E384" s="12">
        <v>9</v>
      </c>
      <c r="F384" s="12">
        <v>19</v>
      </c>
      <c r="G384" s="12">
        <f t="shared" si="37"/>
        <v>28</v>
      </c>
      <c r="H384" s="12"/>
      <c r="I384" s="12"/>
      <c r="J384" s="12">
        <v>25</v>
      </c>
      <c r="K384" s="12">
        <f t="shared" si="38"/>
        <v>53</v>
      </c>
      <c r="L384" t="str">
        <f t="shared" si="35"/>
        <v>C</v>
      </c>
      <c r="M384" t="str">
        <f t="shared" si="39"/>
        <v>Passed</v>
      </c>
    </row>
    <row r="385" spans="1:13" x14ac:dyDescent="0.3">
      <c r="A385" s="12">
        <v>15</v>
      </c>
      <c r="B385" s="45" t="s">
        <v>173</v>
      </c>
      <c r="C385" s="45" t="s">
        <v>127</v>
      </c>
      <c r="D385" s="12" t="s">
        <v>1315</v>
      </c>
      <c r="E385" s="12">
        <v>10</v>
      </c>
      <c r="F385" s="12">
        <v>15</v>
      </c>
      <c r="G385" s="12">
        <f t="shared" si="37"/>
        <v>25</v>
      </c>
      <c r="H385" s="12"/>
      <c r="I385" s="12"/>
      <c r="J385" s="12">
        <v>33</v>
      </c>
      <c r="K385" s="12">
        <f t="shared" si="38"/>
        <v>58</v>
      </c>
      <c r="L385" t="str">
        <f t="shared" si="35"/>
        <v>C+</v>
      </c>
      <c r="M385" t="str">
        <f t="shared" si="39"/>
        <v>Passed</v>
      </c>
    </row>
    <row r="386" spans="1:13" x14ac:dyDescent="0.3">
      <c r="A386" s="12">
        <v>16</v>
      </c>
      <c r="B386" s="45" t="s">
        <v>175</v>
      </c>
      <c r="C386" s="45" t="s">
        <v>131</v>
      </c>
      <c r="D386" s="12" t="s">
        <v>1319</v>
      </c>
      <c r="E386" s="12">
        <v>10</v>
      </c>
      <c r="F386" s="12">
        <v>25</v>
      </c>
      <c r="G386" s="12">
        <f t="shared" si="37"/>
        <v>35</v>
      </c>
      <c r="H386" s="12"/>
      <c r="I386" s="12"/>
      <c r="J386" s="12">
        <v>53</v>
      </c>
      <c r="K386" s="12">
        <f t="shared" si="38"/>
        <v>88</v>
      </c>
      <c r="L386" t="str">
        <f t="shared" ref="L386:L393" si="40">IF(K386&gt;=80,"A",IF(K386&gt;=70,"B+",IF(K386&gt;=60,"B",IF(K386&gt;=55,"C+",IF(K386&gt;=50,"C",IF(K386&gt;=45,"D+",IF(K386&gt;=40,"D","F")))))))</f>
        <v>A</v>
      </c>
      <c r="M386" t="str">
        <f t="shared" ref="M386:M393" si="41">IF(K386&gt;=50,"Passed","Failed")</f>
        <v>Passed</v>
      </c>
    </row>
    <row r="387" spans="1:13" x14ac:dyDescent="0.3">
      <c r="A387" s="12">
        <v>17</v>
      </c>
      <c r="B387" s="277" t="s">
        <v>178</v>
      </c>
      <c r="C387" s="45" t="s">
        <v>133</v>
      </c>
      <c r="D387" s="12" t="s">
        <v>1308</v>
      </c>
      <c r="E387" s="12">
        <v>10</v>
      </c>
      <c r="F387" s="12">
        <v>23</v>
      </c>
      <c r="G387" s="12">
        <f t="shared" si="37"/>
        <v>33</v>
      </c>
      <c r="H387" s="12"/>
      <c r="I387" s="12"/>
      <c r="J387" s="12">
        <v>36</v>
      </c>
      <c r="K387" s="12">
        <f t="shared" si="38"/>
        <v>69</v>
      </c>
      <c r="L387" t="str">
        <f t="shared" si="40"/>
        <v>B</v>
      </c>
      <c r="M387" t="str">
        <f t="shared" si="41"/>
        <v>Passed</v>
      </c>
    </row>
    <row r="388" spans="1:13" x14ac:dyDescent="0.3">
      <c r="A388" s="12">
        <v>18</v>
      </c>
      <c r="B388" s="45" t="s">
        <v>534</v>
      </c>
      <c r="C388" s="303" t="s">
        <v>363</v>
      </c>
      <c r="D388" s="12" t="s">
        <v>1329</v>
      </c>
      <c r="E388" s="12">
        <v>8</v>
      </c>
      <c r="F388" s="12">
        <v>20</v>
      </c>
      <c r="G388" s="12">
        <f t="shared" si="37"/>
        <v>28</v>
      </c>
      <c r="H388" s="12"/>
      <c r="I388" s="12"/>
      <c r="J388" s="12">
        <v>12</v>
      </c>
      <c r="K388" s="12">
        <f t="shared" si="38"/>
        <v>40</v>
      </c>
      <c r="L388" t="str">
        <f t="shared" si="40"/>
        <v>D</v>
      </c>
      <c r="M388" t="str">
        <f t="shared" si="41"/>
        <v>Failed</v>
      </c>
    </row>
    <row r="389" spans="1:13" x14ac:dyDescent="0.3">
      <c r="A389" s="12">
        <v>19</v>
      </c>
      <c r="B389" s="389" t="s">
        <v>144</v>
      </c>
      <c r="C389" s="304" t="s">
        <v>137</v>
      </c>
      <c r="D389" s="12" t="s">
        <v>1326</v>
      </c>
      <c r="E389" s="12"/>
      <c r="F389" s="12"/>
      <c r="G389" s="12"/>
      <c r="H389" s="12"/>
      <c r="I389" s="12"/>
      <c r="J389" s="12"/>
      <c r="K389" s="12"/>
    </row>
    <row r="390" spans="1:13" x14ac:dyDescent="0.3">
      <c r="A390" s="63">
        <v>20</v>
      </c>
      <c r="B390" s="390" t="s">
        <v>204</v>
      </c>
      <c r="C390" s="390" t="s">
        <v>138</v>
      </c>
      <c r="D390" s="12" t="s">
        <v>1300</v>
      </c>
      <c r="E390" s="12">
        <v>10</v>
      </c>
      <c r="F390" s="12">
        <v>24</v>
      </c>
      <c r="G390" s="12">
        <f t="shared" si="37"/>
        <v>34</v>
      </c>
      <c r="H390" s="12"/>
      <c r="I390" s="12"/>
      <c r="J390" s="12">
        <v>42</v>
      </c>
      <c r="K390" s="12">
        <f t="shared" si="38"/>
        <v>76</v>
      </c>
      <c r="L390" t="str">
        <f t="shared" si="40"/>
        <v>B+</v>
      </c>
      <c r="M390" t="str">
        <f t="shared" si="41"/>
        <v>Passed</v>
      </c>
    </row>
    <row r="391" spans="1:13" x14ac:dyDescent="0.3">
      <c r="A391" s="62">
        <v>21</v>
      </c>
      <c r="B391" s="305" t="s">
        <v>181</v>
      </c>
      <c r="C391" s="45" t="s">
        <v>139</v>
      </c>
      <c r="D391" s="12" t="s">
        <v>1302</v>
      </c>
      <c r="E391" s="12">
        <v>10</v>
      </c>
      <c r="F391" s="12">
        <v>22</v>
      </c>
      <c r="G391" s="12">
        <f t="shared" si="37"/>
        <v>32</v>
      </c>
      <c r="H391" s="12"/>
      <c r="I391" s="12"/>
      <c r="J391" s="12">
        <v>35</v>
      </c>
      <c r="K391" s="12">
        <f t="shared" si="38"/>
        <v>67</v>
      </c>
      <c r="L391" t="str">
        <f t="shared" si="40"/>
        <v>B</v>
      </c>
      <c r="M391" t="str">
        <f t="shared" si="41"/>
        <v>Passed</v>
      </c>
    </row>
    <row r="392" spans="1:13" x14ac:dyDescent="0.3">
      <c r="A392" s="12">
        <v>22</v>
      </c>
      <c r="B392" s="391" t="s">
        <v>201</v>
      </c>
      <c r="C392" s="45" t="s">
        <v>141</v>
      </c>
      <c r="D392" s="12" t="s">
        <v>1317</v>
      </c>
      <c r="E392" s="12">
        <v>10</v>
      </c>
      <c r="F392" s="12">
        <v>20</v>
      </c>
      <c r="G392" s="12">
        <f t="shared" si="37"/>
        <v>30</v>
      </c>
      <c r="H392" s="12"/>
      <c r="I392" s="12"/>
      <c r="J392" s="12">
        <v>30</v>
      </c>
      <c r="K392" s="12">
        <f t="shared" si="38"/>
        <v>60</v>
      </c>
      <c r="L392" t="str">
        <f t="shared" si="40"/>
        <v>B</v>
      </c>
      <c r="M392" t="str">
        <f t="shared" si="41"/>
        <v>Passed</v>
      </c>
    </row>
    <row r="393" spans="1:13" x14ac:dyDescent="0.3">
      <c r="A393" s="12">
        <v>23</v>
      </c>
      <c r="B393" s="45" t="s">
        <v>176</v>
      </c>
      <c r="C393" s="45" t="s">
        <v>481</v>
      </c>
      <c r="D393" s="12" t="s">
        <v>1324</v>
      </c>
      <c r="E393" s="12">
        <v>8</v>
      </c>
      <c r="F393" s="12">
        <v>20</v>
      </c>
      <c r="G393" s="12">
        <f t="shared" si="37"/>
        <v>28</v>
      </c>
      <c r="H393" s="12"/>
      <c r="I393" s="12"/>
      <c r="J393" s="12">
        <v>6</v>
      </c>
      <c r="K393" s="12">
        <f t="shared" si="38"/>
        <v>34</v>
      </c>
      <c r="L393" t="str">
        <f t="shared" si="40"/>
        <v>F</v>
      </c>
      <c r="M393" t="str">
        <f t="shared" si="41"/>
        <v>Failed</v>
      </c>
    </row>
    <row r="394" spans="1:13" x14ac:dyDescent="0.3">
      <c r="A394" s="12">
        <v>24</v>
      </c>
      <c r="B394" s="12" t="s">
        <v>146</v>
      </c>
      <c r="C394" s="12" t="s">
        <v>94</v>
      </c>
      <c r="D394" s="12" t="s">
        <v>1325</v>
      </c>
      <c r="E394" s="12">
        <v>10</v>
      </c>
      <c r="F394" s="12">
        <v>25</v>
      </c>
      <c r="G394" s="12">
        <f t="shared" si="37"/>
        <v>35</v>
      </c>
      <c r="H394" s="12"/>
      <c r="I394" s="12"/>
      <c r="J394" s="12">
        <v>17</v>
      </c>
      <c r="K394" s="12">
        <f t="shared" si="38"/>
        <v>52</v>
      </c>
      <c r="L394" t="str">
        <f t="shared" ref="L394:L405" si="42">IF(K394&gt;=80,"A",IF(K394&gt;=70,"B+",IF(K394&gt;=60,"B",IF(K394&gt;=55,"C+",IF(K394&gt;=50,"C",IF(K394&gt;=45,"D+",IF(K394&gt;=40,"D","F")))))))</f>
        <v>C</v>
      </c>
      <c r="M394" t="str">
        <f t="shared" ref="M394:M405" si="43">IF(K394&gt;=50,"Passed","Failed")</f>
        <v>Passed</v>
      </c>
    </row>
    <row r="395" spans="1:13" x14ac:dyDescent="0.3">
      <c r="A395" s="12">
        <v>25</v>
      </c>
      <c r="B395" s="60" t="s">
        <v>147</v>
      </c>
      <c r="C395" s="12" t="s">
        <v>95</v>
      </c>
      <c r="D395" s="12" t="s">
        <v>1322</v>
      </c>
      <c r="E395" s="12">
        <v>10</v>
      </c>
      <c r="F395" s="12">
        <v>24</v>
      </c>
      <c r="G395" s="12">
        <f t="shared" si="37"/>
        <v>34</v>
      </c>
      <c r="H395" s="12"/>
      <c r="I395" s="12"/>
      <c r="J395" s="12">
        <v>19</v>
      </c>
      <c r="K395" s="12">
        <f t="shared" si="38"/>
        <v>53</v>
      </c>
      <c r="L395" t="str">
        <f t="shared" si="42"/>
        <v>C</v>
      </c>
      <c r="M395" t="str">
        <f t="shared" si="43"/>
        <v>Passed</v>
      </c>
    </row>
    <row r="396" spans="1:13" x14ac:dyDescent="0.3">
      <c r="A396" s="12">
        <v>26</v>
      </c>
      <c r="B396" s="12" t="s">
        <v>155</v>
      </c>
      <c r="C396" s="12" t="s">
        <v>103</v>
      </c>
      <c r="D396" s="12" t="s">
        <v>1328</v>
      </c>
      <c r="E396" s="12">
        <v>10</v>
      </c>
      <c r="F396" s="12">
        <v>24</v>
      </c>
      <c r="G396" s="12">
        <f t="shared" si="37"/>
        <v>34</v>
      </c>
      <c r="H396" s="12"/>
      <c r="I396" s="12"/>
      <c r="J396" s="12">
        <v>47</v>
      </c>
      <c r="K396" s="12">
        <f t="shared" si="38"/>
        <v>81</v>
      </c>
      <c r="L396" t="str">
        <f t="shared" si="42"/>
        <v>A</v>
      </c>
      <c r="M396" t="str">
        <f t="shared" si="43"/>
        <v>Passed</v>
      </c>
    </row>
    <row r="397" spans="1:13" x14ac:dyDescent="0.3">
      <c r="A397" s="12">
        <v>27</v>
      </c>
      <c r="B397" s="12" t="s">
        <v>182</v>
      </c>
      <c r="C397" s="12" t="s">
        <v>105</v>
      </c>
      <c r="D397" s="12" t="s">
        <v>1330</v>
      </c>
      <c r="E397" s="12"/>
      <c r="F397" s="12"/>
      <c r="G397" s="12"/>
      <c r="H397" s="12"/>
      <c r="I397" s="12"/>
      <c r="J397" s="12"/>
      <c r="K397" s="12"/>
    </row>
    <row r="398" spans="1:13" x14ac:dyDescent="0.3">
      <c r="A398" s="12">
        <v>28</v>
      </c>
      <c r="B398" s="12" t="s">
        <v>161</v>
      </c>
      <c r="C398" s="12" t="s">
        <v>111</v>
      </c>
      <c r="D398" s="12" t="s">
        <v>1330</v>
      </c>
      <c r="E398" s="12"/>
      <c r="F398" s="12"/>
      <c r="G398" s="12"/>
      <c r="H398" s="12"/>
      <c r="I398" s="12"/>
      <c r="J398" s="12"/>
      <c r="K398" s="12"/>
    </row>
    <row r="399" spans="1:13" x14ac:dyDescent="0.3">
      <c r="A399" s="12">
        <v>29</v>
      </c>
      <c r="B399" s="12" t="s">
        <v>169</v>
      </c>
      <c r="C399" s="12" t="s">
        <v>122</v>
      </c>
      <c r="D399" s="12" t="s">
        <v>1330</v>
      </c>
      <c r="E399" s="12"/>
      <c r="F399" s="12"/>
      <c r="G399" s="12"/>
      <c r="H399" s="12"/>
      <c r="I399" s="12"/>
      <c r="J399" s="12"/>
      <c r="K399" s="12"/>
    </row>
    <row r="400" spans="1:13" x14ac:dyDescent="0.3">
      <c r="A400" s="12">
        <v>30</v>
      </c>
      <c r="B400" s="12" t="s">
        <v>421</v>
      </c>
      <c r="C400" s="12" t="s">
        <v>129</v>
      </c>
      <c r="D400" s="12" t="s">
        <v>1305</v>
      </c>
      <c r="E400" s="12">
        <v>10</v>
      </c>
      <c r="F400" s="12">
        <v>14</v>
      </c>
      <c r="G400" s="12">
        <f t="shared" si="37"/>
        <v>24</v>
      </c>
      <c r="H400" s="12"/>
      <c r="I400" s="12"/>
      <c r="J400" s="12">
        <v>41</v>
      </c>
      <c r="K400" s="12">
        <f t="shared" si="38"/>
        <v>65</v>
      </c>
      <c r="L400" t="str">
        <f t="shared" si="42"/>
        <v>B</v>
      </c>
      <c r="M400" t="str">
        <f t="shared" si="43"/>
        <v>Passed</v>
      </c>
    </row>
    <row r="401" spans="1:15" x14ac:dyDescent="0.3">
      <c r="A401" s="12">
        <v>31</v>
      </c>
      <c r="B401" s="12" t="s">
        <v>177</v>
      </c>
      <c r="C401" s="12" t="s">
        <v>132</v>
      </c>
      <c r="D401" s="12" t="s">
        <v>1307</v>
      </c>
      <c r="E401" s="12">
        <v>10</v>
      </c>
      <c r="F401" s="12">
        <v>24</v>
      </c>
      <c r="G401" s="12">
        <f t="shared" si="37"/>
        <v>34</v>
      </c>
      <c r="H401" s="12"/>
      <c r="I401" s="12"/>
      <c r="J401" s="12">
        <v>28</v>
      </c>
      <c r="K401" s="12">
        <f t="shared" si="38"/>
        <v>62</v>
      </c>
      <c r="L401" t="str">
        <f t="shared" si="42"/>
        <v>B</v>
      </c>
      <c r="M401" t="str">
        <f t="shared" si="43"/>
        <v>Passed</v>
      </c>
    </row>
    <row r="402" spans="1:15" x14ac:dyDescent="0.3">
      <c r="A402" s="12">
        <v>32</v>
      </c>
      <c r="B402" s="12" t="s">
        <v>179</v>
      </c>
      <c r="C402" s="12" t="s">
        <v>134</v>
      </c>
      <c r="D402" s="12" t="s">
        <v>1304</v>
      </c>
      <c r="E402" s="12">
        <v>10</v>
      </c>
      <c r="F402" s="340">
        <v>24</v>
      </c>
      <c r="G402" s="12">
        <f t="shared" si="37"/>
        <v>34</v>
      </c>
      <c r="H402" s="12"/>
      <c r="I402" s="12"/>
      <c r="J402" s="12">
        <v>16</v>
      </c>
      <c r="K402" s="12">
        <f t="shared" si="38"/>
        <v>50</v>
      </c>
      <c r="L402" t="str">
        <f t="shared" si="42"/>
        <v>C</v>
      </c>
      <c r="M402" t="str">
        <f t="shared" si="43"/>
        <v>Passed</v>
      </c>
    </row>
    <row r="403" spans="1:15" x14ac:dyDescent="0.3">
      <c r="A403" s="12">
        <v>33</v>
      </c>
      <c r="B403" s="12" t="s">
        <v>180</v>
      </c>
      <c r="C403" s="12" t="s">
        <v>136</v>
      </c>
      <c r="D403" s="12" t="s">
        <v>1311</v>
      </c>
      <c r="E403" s="12">
        <v>10</v>
      </c>
      <c r="F403" s="340">
        <v>20</v>
      </c>
      <c r="G403" s="12">
        <f t="shared" si="37"/>
        <v>30</v>
      </c>
      <c r="H403" s="12"/>
      <c r="I403" s="12"/>
      <c r="J403" s="12">
        <v>20</v>
      </c>
      <c r="K403" s="12">
        <f t="shared" si="38"/>
        <v>50</v>
      </c>
      <c r="L403" t="str">
        <f t="shared" si="42"/>
        <v>C</v>
      </c>
      <c r="M403" t="str">
        <f t="shared" si="43"/>
        <v>Passed</v>
      </c>
    </row>
    <row r="404" spans="1:15" x14ac:dyDescent="0.3">
      <c r="A404" s="12">
        <v>34</v>
      </c>
      <c r="B404" s="12" t="s">
        <v>183</v>
      </c>
      <c r="C404" s="12" t="s">
        <v>140</v>
      </c>
      <c r="D404" s="12" t="s">
        <v>1306</v>
      </c>
      <c r="E404" s="12">
        <v>10</v>
      </c>
      <c r="F404" s="12">
        <v>23</v>
      </c>
      <c r="G404" s="12">
        <f t="shared" si="37"/>
        <v>33</v>
      </c>
      <c r="H404" s="12"/>
      <c r="I404" s="12"/>
      <c r="J404" s="12">
        <v>34</v>
      </c>
      <c r="K404" s="12">
        <f t="shared" si="38"/>
        <v>67</v>
      </c>
      <c r="L404" t="str">
        <f t="shared" si="42"/>
        <v>B</v>
      </c>
      <c r="M404" t="str">
        <f t="shared" si="43"/>
        <v>Passed</v>
      </c>
    </row>
    <row r="405" spans="1:15" x14ac:dyDescent="0.3">
      <c r="A405" s="12">
        <v>35</v>
      </c>
      <c r="B405" s="12" t="s">
        <v>184</v>
      </c>
      <c r="C405" s="12" t="s">
        <v>142</v>
      </c>
      <c r="D405" s="12" t="s">
        <v>1301</v>
      </c>
      <c r="E405" s="12">
        <v>10</v>
      </c>
      <c r="F405" s="12">
        <v>26</v>
      </c>
      <c r="G405" s="12">
        <f t="shared" si="37"/>
        <v>36</v>
      </c>
      <c r="H405" s="12"/>
      <c r="I405" s="12"/>
      <c r="J405" s="12">
        <v>21</v>
      </c>
      <c r="K405" s="12">
        <f t="shared" si="38"/>
        <v>57</v>
      </c>
      <c r="L405" t="str">
        <f t="shared" si="42"/>
        <v>C+</v>
      </c>
      <c r="M405" t="str">
        <f t="shared" si="43"/>
        <v>Passed</v>
      </c>
    </row>
    <row r="410" spans="1:15" x14ac:dyDescent="0.3">
      <c r="A410" s="385" t="s">
        <v>0</v>
      </c>
      <c r="B410" s="387"/>
      <c r="C410" s="387"/>
      <c r="D410" s="39"/>
      <c r="E410" s="39"/>
      <c r="F410" s="39"/>
      <c r="G410" s="39"/>
      <c r="H410" s="70"/>
      <c r="I410" s="70"/>
      <c r="J410" s="39"/>
      <c r="K410" s="39"/>
      <c r="L410" s="39"/>
    </row>
    <row r="411" spans="1:15" x14ac:dyDescent="0.3">
      <c r="A411" s="14" t="s">
        <v>66</v>
      </c>
      <c r="B411" s="14"/>
      <c r="C411" s="14"/>
      <c r="D411" s="14"/>
      <c r="E411" s="14"/>
      <c r="F411" s="14"/>
      <c r="G411" s="14"/>
      <c r="H411" s="14"/>
      <c r="I411" s="14"/>
    </row>
    <row r="412" spans="1:15" x14ac:dyDescent="0.3">
      <c r="A412" s="460" t="s">
        <v>362</v>
      </c>
      <c r="B412" s="461"/>
      <c r="C412" s="461"/>
      <c r="D412" s="2"/>
      <c r="E412" s="2"/>
      <c r="F412" s="2"/>
      <c r="G412" s="2"/>
      <c r="H412" s="2"/>
      <c r="I412" s="2"/>
      <c r="J412" s="2"/>
      <c r="K412" s="2"/>
      <c r="L412" s="1"/>
      <c r="M412" s="16"/>
      <c r="N412" s="16"/>
      <c r="O412" s="13"/>
    </row>
    <row r="413" spans="1:15" x14ac:dyDescent="0.3">
      <c r="A413" s="385" t="s">
        <v>1</v>
      </c>
      <c r="B413" s="462" t="s">
        <v>546</v>
      </c>
      <c r="C413" s="462"/>
      <c r="D413" s="38"/>
      <c r="E413" s="38"/>
      <c r="F413" s="38"/>
      <c r="G413" s="38"/>
      <c r="H413" s="68"/>
      <c r="I413" s="68"/>
      <c r="J413" s="39"/>
      <c r="K413" s="39"/>
      <c r="L413" s="39"/>
    </row>
    <row r="414" spans="1:15" x14ac:dyDescent="0.3">
      <c r="A414" s="385" t="s">
        <v>3</v>
      </c>
      <c r="B414" s="462" t="s">
        <v>77</v>
      </c>
      <c r="C414" s="462"/>
      <c r="D414" s="38"/>
      <c r="E414" s="38"/>
      <c r="F414" s="38"/>
      <c r="G414" s="38"/>
      <c r="H414" s="68"/>
      <c r="I414" s="68"/>
      <c r="J414" s="39"/>
      <c r="K414" s="39"/>
      <c r="L414" s="39"/>
    </row>
    <row r="415" spans="1:15" x14ac:dyDescent="0.3">
      <c r="A415" s="385" t="s">
        <v>4</v>
      </c>
      <c r="B415" s="462" t="s">
        <v>78</v>
      </c>
      <c r="C415" s="462"/>
      <c r="D415" s="38"/>
      <c r="E415" s="38"/>
      <c r="F415" s="38"/>
      <c r="G415" s="38"/>
      <c r="H415" s="68"/>
      <c r="I415" s="68"/>
      <c r="J415" s="39"/>
      <c r="K415" s="39"/>
      <c r="L415" s="39"/>
    </row>
    <row r="416" spans="1:15" x14ac:dyDescent="0.3">
      <c r="A416" s="385" t="s">
        <v>5</v>
      </c>
      <c r="B416" s="463">
        <v>2</v>
      </c>
      <c r="C416" s="463"/>
      <c r="D416" s="38"/>
      <c r="E416" s="38"/>
      <c r="F416" s="38"/>
      <c r="G416" s="38"/>
      <c r="H416" s="68"/>
      <c r="I416" s="68"/>
      <c r="J416" s="39"/>
      <c r="K416" s="39"/>
      <c r="L416" s="39"/>
    </row>
    <row r="417" spans="1:22" x14ac:dyDescent="0.3">
      <c r="A417" s="385" t="s">
        <v>6</v>
      </c>
      <c r="B417" s="462" t="s">
        <v>425</v>
      </c>
      <c r="C417" s="462"/>
      <c r="D417" s="38"/>
      <c r="E417" s="38"/>
      <c r="F417" s="38"/>
      <c r="G417" s="38"/>
      <c r="H417" s="68"/>
      <c r="I417" s="68"/>
      <c r="J417" s="39"/>
      <c r="K417" s="39"/>
      <c r="L417" s="39"/>
    </row>
    <row r="418" spans="1:22" x14ac:dyDescent="0.3">
      <c r="A418" s="385" t="s">
        <v>68</v>
      </c>
      <c r="B418" s="462" t="s">
        <v>547</v>
      </c>
      <c r="C418" s="462"/>
      <c r="D418" s="38"/>
      <c r="E418" s="38"/>
      <c r="F418" s="38"/>
      <c r="G418" s="38"/>
      <c r="H418" s="68"/>
      <c r="I418" s="68"/>
      <c r="J418" s="39"/>
      <c r="K418" s="39"/>
      <c r="L418" s="39"/>
    </row>
    <row r="419" spans="1:22" x14ac:dyDescent="0.3">
      <c r="A419" s="44"/>
      <c r="B419" s="14"/>
      <c r="C419" s="14"/>
      <c r="D419" s="14"/>
      <c r="E419" s="14"/>
      <c r="F419" s="14"/>
      <c r="G419" s="14"/>
      <c r="H419" s="14"/>
      <c r="I419" s="14"/>
    </row>
    <row r="420" spans="1:22" ht="60" x14ac:dyDescent="0.3">
      <c r="A420" s="386" t="s">
        <v>8</v>
      </c>
      <c r="B420" s="386" t="s">
        <v>9</v>
      </c>
      <c r="C420" s="386" t="s">
        <v>10</v>
      </c>
      <c r="D420" s="43" t="s">
        <v>11</v>
      </c>
      <c r="E420" s="43" t="s">
        <v>12</v>
      </c>
      <c r="F420" s="43" t="s">
        <v>13</v>
      </c>
      <c r="G420" s="43" t="s">
        <v>14</v>
      </c>
      <c r="H420" s="43" t="s">
        <v>208</v>
      </c>
      <c r="I420" s="43" t="s">
        <v>209</v>
      </c>
      <c r="J420" s="43" t="s">
        <v>15</v>
      </c>
      <c r="K420" s="43" t="s">
        <v>16</v>
      </c>
      <c r="L420" s="14" t="s">
        <v>17</v>
      </c>
      <c r="M420" s="14" t="s">
        <v>18</v>
      </c>
      <c r="N420" s="14" t="s">
        <v>19</v>
      </c>
    </row>
    <row r="421" spans="1:22" x14ac:dyDescent="0.3">
      <c r="A421" s="12"/>
      <c r="B421" s="386"/>
      <c r="C421" s="386"/>
      <c r="D421" s="42"/>
      <c r="E421" s="42"/>
      <c r="F421" s="42"/>
      <c r="G421" s="42"/>
      <c r="H421" s="42"/>
      <c r="I421" s="42"/>
      <c r="J421" s="12"/>
      <c r="K421" s="12"/>
      <c r="N421" t="s">
        <v>20</v>
      </c>
      <c r="O421">
        <f>COUNT(G422:G475)</f>
        <v>49</v>
      </c>
    </row>
    <row r="422" spans="1:22" x14ac:dyDescent="0.3">
      <c r="A422" s="12">
        <v>1</v>
      </c>
      <c r="B422" s="45" t="s">
        <v>203</v>
      </c>
      <c r="C422" s="45" t="s">
        <v>92</v>
      </c>
      <c r="D422" s="12" t="s">
        <v>1053</v>
      </c>
      <c r="E422" s="12">
        <v>10</v>
      </c>
      <c r="F422" s="346">
        <v>26.5</v>
      </c>
      <c r="G422" s="12">
        <f>SUM(E422:F422)</f>
        <v>36.5</v>
      </c>
      <c r="H422" s="12"/>
      <c r="I422" s="12"/>
      <c r="J422" s="12">
        <v>46</v>
      </c>
      <c r="K422" s="241">
        <f>SUM(G422:J422)</f>
        <v>82.5</v>
      </c>
      <c r="L422" t="str">
        <f t="shared" ref="L422:L449" si="44">IF(K422&gt;=80,"A",IF(K422&gt;=70,"B+",IF(K422&gt;=60,"B",IF(K422&gt;=55,"C+",IF(K422&gt;=50,"C",IF(K422&gt;=45,"D+",IF(K422&gt;=40,"D","F")))))))</f>
        <v>A</v>
      </c>
      <c r="M422" t="str">
        <f t="shared" ref="M422:M449" si="45">IF(K422&gt;=50,"Passed","Failed")</f>
        <v>Passed</v>
      </c>
      <c r="N422" t="s">
        <v>21</v>
      </c>
      <c r="O422">
        <f>COUNT(J422:J475)</f>
        <v>47</v>
      </c>
    </row>
    <row r="423" spans="1:22" x14ac:dyDescent="0.3">
      <c r="A423" s="12">
        <v>2</v>
      </c>
      <c r="B423" s="45" t="s">
        <v>145</v>
      </c>
      <c r="C423" s="45" t="s">
        <v>93</v>
      </c>
      <c r="D423" s="12" t="s">
        <v>1032</v>
      </c>
      <c r="E423" s="12">
        <v>10</v>
      </c>
      <c r="F423" s="12">
        <v>23</v>
      </c>
      <c r="G423" s="12">
        <f t="shared" ref="G423:G475" si="46">SUM(E423:F423)</f>
        <v>33</v>
      </c>
      <c r="H423" s="12"/>
      <c r="I423" s="12"/>
      <c r="J423" s="12">
        <v>36</v>
      </c>
      <c r="K423" s="241">
        <f t="shared" ref="K423:K475" si="47">SUM(G423:J423)</f>
        <v>69</v>
      </c>
      <c r="L423" t="str">
        <f t="shared" si="44"/>
        <v>B</v>
      </c>
      <c r="M423" t="str">
        <f t="shared" si="45"/>
        <v>Passed</v>
      </c>
      <c r="N423" t="s">
        <v>22</v>
      </c>
      <c r="O423">
        <f>O421-O422</f>
        <v>2</v>
      </c>
    </row>
    <row r="424" spans="1:22" x14ac:dyDescent="0.3">
      <c r="A424" s="12">
        <v>3</v>
      </c>
      <c r="B424" s="45" t="s">
        <v>149</v>
      </c>
      <c r="C424" s="45" t="s">
        <v>97</v>
      </c>
      <c r="D424" s="12" t="s">
        <v>1064</v>
      </c>
      <c r="E424" s="12">
        <v>10</v>
      </c>
      <c r="F424" s="346">
        <v>27.5</v>
      </c>
      <c r="G424" s="12">
        <f t="shared" si="46"/>
        <v>37.5</v>
      </c>
      <c r="H424" s="12"/>
      <c r="I424" s="12"/>
      <c r="J424" s="12">
        <v>55</v>
      </c>
      <c r="K424" s="241">
        <f t="shared" si="47"/>
        <v>92.5</v>
      </c>
      <c r="L424" t="str">
        <f t="shared" si="44"/>
        <v>A</v>
      </c>
      <c r="M424" t="str">
        <f t="shared" si="45"/>
        <v>Passed</v>
      </c>
      <c r="N424" t="s">
        <v>23</v>
      </c>
      <c r="O424">
        <f>COUNTIF(M422:M475,"Passed")</f>
        <v>46</v>
      </c>
    </row>
    <row r="425" spans="1:22" x14ac:dyDescent="0.3">
      <c r="A425" s="12">
        <v>4</v>
      </c>
      <c r="B425" s="45" t="s">
        <v>152</v>
      </c>
      <c r="C425" s="45" t="s">
        <v>100</v>
      </c>
      <c r="D425" s="12" t="s">
        <v>1030</v>
      </c>
      <c r="E425" s="12">
        <v>9</v>
      </c>
      <c r="F425" s="12">
        <v>21</v>
      </c>
      <c r="G425" s="12">
        <f t="shared" si="46"/>
        <v>30</v>
      </c>
      <c r="H425" s="12"/>
      <c r="I425" s="12"/>
      <c r="J425" s="12">
        <v>41</v>
      </c>
      <c r="K425" s="241">
        <f t="shared" si="47"/>
        <v>71</v>
      </c>
      <c r="L425" t="str">
        <f t="shared" si="44"/>
        <v>B+</v>
      </c>
      <c r="M425" t="str">
        <f t="shared" si="45"/>
        <v>Passed</v>
      </c>
      <c r="N425" t="s">
        <v>24</v>
      </c>
      <c r="O425" s="179">
        <f>O424/O422%</f>
        <v>97.872340425531917</v>
      </c>
    </row>
    <row r="426" spans="1:22" x14ac:dyDescent="0.3">
      <c r="A426" s="12">
        <v>5</v>
      </c>
      <c r="B426" s="45" t="s">
        <v>156</v>
      </c>
      <c r="C426" s="45" t="s">
        <v>104</v>
      </c>
      <c r="D426" s="12" t="s">
        <v>1034</v>
      </c>
      <c r="E426" s="12">
        <v>10</v>
      </c>
      <c r="F426" s="12">
        <v>23</v>
      </c>
      <c r="G426" s="12">
        <f t="shared" si="46"/>
        <v>33</v>
      </c>
      <c r="H426" s="12"/>
      <c r="I426" s="12"/>
      <c r="J426" s="12">
        <v>41</v>
      </c>
      <c r="K426" s="241">
        <f t="shared" si="47"/>
        <v>74</v>
      </c>
      <c r="L426" t="str">
        <f t="shared" si="44"/>
        <v>B+</v>
      </c>
      <c r="M426" t="str">
        <f t="shared" si="45"/>
        <v>Passed</v>
      </c>
      <c r="N426" t="s">
        <v>25</v>
      </c>
      <c r="O426">
        <f>COUNTIF(M422:M475,"failed")</f>
        <v>1</v>
      </c>
    </row>
    <row r="427" spans="1:22" x14ac:dyDescent="0.3">
      <c r="A427" s="12">
        <v>6</v>
      </c>
      <c r="B427" s="45" t="s">
        <v>160</v>
      </c>
      <c r="C427" s="45" t="s">
        <v>109</v>
      </c>
      <c r="D427" s="12" t="s">
        <v>1063</v>
      </c>
      <c r="E427" s="12">
        <v>10</v>
      </c>
      <c r="F427" s="12">
        <v>30</v>
      </c>
      <c r="G427" s="12">
        <f t="shared" si="46"/>
        <v>40</v>
      </c>
      <c r="H427" s="12"/>
      <c r="I427" s="12"/>
      <c r="J427" s="12">
        <v>50</v>
      </c>
      <c r="K427" s="241">
        <f t="shared" si="47"/>
        <v>90</v>
      </c>
      <c r="L427" t="str">
        <f t="shared" si="44"/>
        <v>A</v>
      </c>
      <c r="M427" t="str">
        <f t="shared" si="45"/>
        <v>Passed</v>
      </c>
      <c r="N427" t="s">
        <v>26</v>
      </c>
      <c r="O427" s="179">
        <f>O426/O422%</f>
        <v>2.1276595744680851</v>
      </c>
    </row>
    <row r="428" spans="1:22" x14ac:dyDescent="0.3">
      <c r="A428" s="12">
        <v>7</v>
      </c>
      <c r="B428" s="45" t="s">
        <v>207</v>
      </c>
      <c r="C428" s="45" t="s">
        <v>110</v>
      </c>
      <c r="D428" s="12" t="s">
        <v>1020</v>
      </c>
      <c r="E428" s="12"/>
      <c r="F428" s="12"/>
      <c r="G428" s="12"/>
      <c r="H428" s="12"/>
      <c r="I428" s="12"/>
      <c r="J428" s="12"/>
      <c r="K428" s="241"/>
      <c r="N428" t="s">
        <v>27</v>
      </c>
      <c r="O428" s="179">
        <f>AVERAGE(K422:K475)</f>
        <v>71.680851063829792</v>
      </c>
    </row>
    <row r="429" spans="1:22" x14ac:dyDescent="0.3">
      <c r="A429" s="50">
        <v>8</v>
      </c>
      <c r="B429" s="45" t="s">
        <v>163</v>
      </c>
      <c r="C429" s="45" t="s">
        <v>113</v>
      </c>
      <c r="D429" s="12" t="s">
        <v>1045</v>
      </c>
      <c r="E429" s="12">
        <v>10</v>
      </c>
      <c r="F429" s="12">
        <v>25</v>
      </c>
      <c r="G429" s="12">
        <f t="shared" si="46"/>
        <v>35</v>
      </c>
      <c r="H429" s="12"/>
      <c r="I429" s="12"/>
      <c r="J429" s="12">
        <v>34</v>
      </c>
      <c r="K429" s="241">
        <f t="shared" si="47"/>
        <v>69</v>
      </c>
      <c r="L429" t="str">
        <f t="shared" si="44"/>
        <v>B</v>
      </c>
      <c r="M429" t="str">
        <f t="shared" si="45"/>
        <v>Passed</v>
      </c>
    </row>
    <row r="430" spans="1:22" x14ac:dyDescent="0.3">
      <c r="A430" s="50">
        <v>9</v>
      </c>
      <c r="B430" s="45" t="s">
        <v>480</v>
      </c>
      <c r="C430" s="45" t="s">
        <v>115</v>
      </c>
      <c r="D430" s="12" t="s">
        <v>1041</v>
      </c>
      <c r="E430" s="12">
        <v>10</v>
      </c>
      <c r="F430" s="346">
        <v>27.5</v>
      </c>
      <c r="G430" s="12">
        <f t="shared" si="46"/>
        <v>37.5</v>
      </c>
      <c r="H430" s="12"/>
      <c r="I430" s="12"/>
      <c r="J430" s="12">
        <v>55</v>
      </c>
      <c r="K430" s="241">
        <f t="shared" si="47"/>
        <v>92.5</v>
      </c>
      <c r="L430" t="str">
        <f t="shared" si="44"/>
        <v>A</v>
      </c>
      <c r="M430" t="str">
        <f t="shared" si="45"/>
        <v>Passed</v>
      </c>
    </row>
    <row r="431" spans="1:22" x14ac:dyDescent="0.3">
      <c r="A431" s="50">
        <v>10</v>
      </c>
      <c r="B431" s="45" t="s">
        <v>200</v>
      </c>
      <c r="C431" s="45" t="s">
        <v>119</v>
      </c>
      <c r="D431" s="12" t="s">
        <v>1066</v>
      </c>
      <c r="E431" s="12">
        <v>8</v>
      </c>
      <c r="F431" s="12">
        <v>5</v>
      </c>
      <c r="G431" s="12">
        <f t="shared" si="46"/>
        <v>13</v>
      </c>
      <c r="H431" s="12"/>
      <c r="I431" s="12"/>
      <c r="J431" s="12">
        <v>16</v>
      </c>
      <c r="K431" s="241">
        <f t="shared" si="47"/>
        <v>29</v>
      </c>
      <c r="L431" t="str">
        <f t="shared" si="44"/>
        <v>F</v>
      </c>
      <c r="M431" t="str">
        <f t="shared" si="45"/>
        <v>Failed</v>
      </c>
    </row>
    <row r="432" spans="1:22" x14ac:dyDescent="0.3">
      <c r="A432" s="50">
        <v>11</v>
      </c>
      <c r="B432" s="45" t="s">
        <v>205</v>
      </c>
      <c r="C432" s="45" t="s">
        <v>120</v>
      </c>
      <c r="D432" s="12" t="s">
        <v>1020</v>
      </c>
      <c r="E432" s="12"/>
      <c r="F432" s="12"/>
      <c r="G432" s="12"/>
      <c r="H432" s="12"/>
      <c r="I432" s="12"/>
      <c r="J432" s="12"/>
      <c r="K432" s="241"/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 t="s">
        <v>33</v>
      </c>
      <c r="U432" t="s">
        <v>34</v>
      </c>
      <c r="V432" t="s">
        <v>35</v>
      </c>
    </row>
    <row r="433" spans="1:22" x14ac:dyDescent="0.3">
      <c r="A433" s="50">
        <v>12</v>
      </c>
      <c r="B433" s="45" t="s">
        <v>168</v>
      </c>
      <c r="C433" s="45" t="s">
        <v>121</v>
      </c>
      <c r="D433" s="12" t="s">
        <v>1023</v>
      </c>
      <c r="E433" s="12">
        <v>9</v>
      </c>
      <c r="F433" s="12">
        <v>19</v>
      </c>
      <c r="G433" s="12">
        <f t="shared" si="46"/>
        <v>28</v>
      </c>
      <c r="H433" s="12"/>
      <c r="I433" s="12"/>
      <c r="J433" s="12">
        <v>43</v>
      </c>
      <c r="K433" s="241">
        <f t="shared" si="47"/>
        <v>71</v>
      </c>
      <c r="L433" t="str">
        <f t="shared" si="44"/>
        <v>B+</v>
      </c>
      <c r="M433" t="str">
        <f t="shared" si="45"/>
        <v>Passed</v>
      </c>
      <c r="O433">
        <f>COUNTIF(L422:L475,"A")</f>
        <v>15</v>
      </c>
      <c r="P433">
        <f>COUNTIF(L422:L475,"B+")</f>
        <v>13</v>
      </c>
      <c r="Q433">
        <f>COUNTIF(L422:L475,"B")</f>
        <v>9</v>
      </c>
      <c r="R433">
        <f>COUNTIF(L422:L475,"C+")</f>
        <v>4</v>
      </c>
      <c r="S433">
        <f>COUNTIF(L422:L475,"C")</f>
        <v>5</v>
      </c>
      <c r="T433">
        <f>COUNTIF(L422:L475,"D+")</f>
        <v>0</v>
      </c>
      <c r="U433">
        <f>COUNTIF(L422:L475,"D")</f>
        <v>0</v>
      </c>
      <c r="V433">
        <f>COUNTIF(L422:L475,"F")</f>
        <v>1</v>
      </c>
    </row>
    <row r="434" spans="1:22" x14ac:dyDescent="0.3">
      <c r="A434" s="50">
        <v>13</v>
      </c>
      <c r="B434" s="45" t="s">
        <v>170</v>
      </c>
      <c r="C434" s="45" t="s">
        <v>124</v>
      </c>
      <c r="D434" s="12" t="s">
        <v>1051</v>
      </c>
      <c r="E434" s="12">
        <v>9</v>
      </c>
      <c r="F434" s="12">
        <v>23</v>
      </c>
      <c r="G434" s="12">
        <f t="shared" si="46"/>
        <v>32</v>
      </c>
      <c r="H434" s="12"/>
      <c r="I434" s="12"/>
      <c r="J434" s="12">
        <v>44</v>
      </c>
      <c r="K434" s="241">
        <f t="shared" si="47"/>
        <v>76</v>
      </c>
      <c r="L434" t="str">
        <f t="shared" si="44"/>
        <v>B+</v>
      </c>
      <c r="M434" t="str">
        <f t="shared" si="45"/>
        <v>Passed</v>
      </c>
    </row>
    <row r="435" spans="1:22" x14ac:dyDescent="0.3">
      <c r="A435" s="50">
        <v>14</v>
      </c>
      <c r="B435" s="45" t="s">
        <v>172</v>
      </c>
      <c r="C435" s="45" t="s">
        <v>126</v>
      </c>
      <c r="D435" s="12" t="s">
        <v>1022</v>
      </c>
      <c r="E435" s="12">
        <v>10</v>
      </c>
      <c r="F435" s="346">
        <v>17.5</v>
      </c>
      <c r="G435" s="12">
        <f t="shared" si="46"/>
        <v>27.5</v>
      </c>
      <c r="H435" s="12"/>
      <c r="I435" s="12"/>
      <c r="J435" s="12">
        <v>28</v>
      </c>
      <c r="K435" s="241">
        <f t="shared" si="47"/>
        <v>55.5</v>
      </c>
      <c r="L435" t="str">
        <f t="shared" si="44"/>
        <v>C+</v>
      </c>
      <c r="M435" t="str">
        <f t="shared" si="45"/>
        <v>Passed</v>
      </c>
    </row>
    <row r="436" spans="1:22" x14ac:dyDescent="0.3">
      <c r="A436" s="50">
        <v>15</v>
      </c>
      <c r="B436" s="45" t="s">
        <v>173</v>
      </c>
      <c r="C436" s="45" t="s">
        <v>127</v>
      </c>
      <c r="D436" s="12" t="s">
        <v>1024</v>
      </c>
      <c r="E436" s="12">
        <v>10</v>
      </c>
      <c r="F436" s="12">
        <v>19</v>
      </c>
      <c r="G436" s="12">
        <f t="shared" si="46"/>
        <v>29</v>
      </c>
      <c r="H436" s="12"/>
      <c r="I436" s="12"/>
      <c r="J436" s="12">
        <v>39</v>
      </c>
      <c r="K436" s="241">
        <f t="shared" si="47"/>
        <v>68</v>
      </c>
      <c r="L436" t="str">
        <f t="shared" si="44"/>
        <v>B</v>
      </c>
      <c r="M436" t="str">
        <f t="shared" si="45"/>
        <v>Passed</v>
      </c>
    </row>
    <row r="437" spans="1:22" x14ac:dyDescent="0.3">
      <c r="A437" s="50">
        <v>16</v>
      </c>
      <c r="B437" s="45" t="s">
        <v>175</v>
      </c>
      <c r="C437" s="45" t="s">
        <v>131</v>
      </c>
      <c r="D437" s="12" t="s">
        <v>1025</v>
      </c>
      <c r="E437" s="12">
        <v>9</v>
      </c>
      <c r="F437" s="12">
        <v>25</v>
      </c>
      <c r="G437" s="12">
        <f t="shared" si="46"/>
        <v>34</v>
      </c>
      <c r="H437" s="12"/>
      <c r="I437" s="12"/>
      <c r="J437" s="12">
        <v>49</v>
      </c>
      <c r="K437" s="241">
        <f t="shared" si="47"/>
        <v>83</v>
      </c>
      <c r="L437" t="str">
        <f t="shared" si="44"/>
        <v>A</v>
      </c>
      <c r="M437" t="str">
        <f t="shared" si="45"/>
        <v>Passed</v>
      </c>
    </row>
    <row r="438" spans="1:22" x14ac:dyDescent="0.3">
      <c r="A438" s="50">
        <v>17</v>
      </c>
      <c r="B438" s="277" t="s">
        <v>178</v>
      </c>
      <c r="C438" s="45" t="s">
        <v>133</v>
      </c>
      <c r="D438" s="12" t="s">
        <v>1046</v>
      </c>
      <c r="E438" s="12">
        <v>10</v>
      </c>
      <c r="F438" s="346">
        <v>22.5</v>
      </c>
      <c r="G438" s="12">
        <f t="shared" si="46"/>
        <v>32.5</v>
      </c>
      <c r="H438" s="12"/>
      <c r="I438" s="12"/>
      <c r="J438" s="12">
        <v>50</v>
      </c>
      <c r="K438" s="241">
        <f t="shared" si="47"/>
        <v>82.5</v>
      </c>
      <c r="L438" t="str">
        <f t="shared" si="44"/>
        <v>A</v>
      </c>
      <c r="M438" t="str">
        <f t="shared" si="45"/>
        <v>Passed</v>
      </c>
    </row>
    <row r="439" spans="1:22" x14ac:dyDescent="0.3">
      <c r="A439" s="50">
        <v>18</v>
      </c>
      <c r="B439" s="45" t="s">
        <v>534</v>
      </c>
      <c r="C439" s="303" t="s">
        <v>363</v>
      </c>
      <c r="D439" s="12" t="s">
        <v>1020</v>
      </c>
      <c r="E439" s="12"/>
      <c r="F439" s="12"/>
      <c r="G439" s="12"/>
      <c r="H439" s="12"/>
      <c r="I439" s="12"/>
      <c r="J439" s="12"/>
      <c r="K439" s="241"/>
    </row>
    <row r="440" spans="1:22" x14ac:dyDescent="0.3">
      <c r="A440" s="50">
        <v>19</v>
      </c>
      <c r="B440" s="389" t="s">
        <v>144</v>
      </c>
      <c r="C440" s="304" t="s">
        <v>137</v>
      </c>
      <c r="D440" s="12" t="s">
        <v>1027</v>
      </c>
      <c r="E440" s="12">
        <v>4</v>
      </c>
      <c r="F440" s="12">
        <v>5</v>
      </c>
      <c r="G440" s="12">
        <f t="shared" si="46"/>
        <v>9</v>
      </c>
      <c r="H440" s="12"/>
      <c r="I440" s="12"/>
      <c r="J440" s="12">
        <v>42</v>
      </c>
      <c r="K440" s="241">
        <f t="shared" si="47"/>
        <v>51</v>
      </c>
      <c r="L440" t="str">
        <f t="shared" si="44"/>
        <v>C</v>
      </c>
      <c r="M440" t="str">
        <f t="shared" si="45"/>
        <v>Passed</v>
      </c>
    </row>
    <row r="441" spans="1:22" x14ac:dyDescent="0.3">
      <c r="A441" s="50">
        <v>20</v>
      </c>
      <c r="B441" s="390" t="s">
        <v>204</v>
      </c>
      <c r="C441" s="390" t="s">
        <v>138</v>
      </c>
      <c r="D441" s="12" t="s">
        <v>1023</v>
      </c>
      <c r="E441" s="12">
        <v>10</v>
      </c>
      <c r="F441" s="346">
        <v>19.5</v>
      </c>
      <c r="G441" s="12">
        <f t="shared" si="46"/>
        <v>29.5</v>
      </c>
      <c r="H441" s="12"/>
      <c r="I441" s="12"/>
      <c r="J441" s="12">
        <v>43</v>
      </c>
      <c r="K441" s="241">
        <f t="shared" si="47"/>
        <v>72.5</v>
      </c>
      <c r="L441" t="str">
        <f t="shared" si="44"/>
        <v>B+</v>
      </c>
      <c r="M441" t="str">
        <f t="shared" si="45"/>
        <v>Passed</v>
      </c>
    </row>
    <row r="442" spans="1:22" x14ac:dyDescent="0.3">
      <c r="A442" s="50">
        <v>21</v>
      </c>
      <c r="B442" s="305" t="s">
        <v>181</v>
      </c>
      <c r="C442" s="45" t="s">
        <v>139</v>
      </c>
      <c r="D442" s="12" t="s">
        <v>1059</v>
      </c>
      <c r="E442" s="12">
        <v>10</v>
      </c>
      <c r="F442" s="12">
        <v>23</v>
      </c>
      <c r="G442" s="12">
        <f t="shared" si="46"/>
        <v>33</v>
      </c>
      <c r="H442" s="12"/>
      <c r="I442" s="12"/>
      <c r="J442" s="12">
        <v>36</v>
      </c>
      <c r="K442" s="241">
        <f t="shared" si="47"/>
        <v>69</v>
      </c>
      <c r="L442" t="str">
        <f t="shared" si="44"/>
        <v>B</v>
      </c>
      <c r="M442" t="str">
        <f t="shared" si="45"/>
        <v>Passed</v>
      </c>
    </row>
    <row r="443" spans="1:22" x14ac:dyDescent="0.3">
      <c r="A443" s="50">
        <v>22</v>
      </c>
      <c r="B443" s="391" t="s">
        <v>201</v>
      </c>
      <c r="C443" s="45" t="s">
        <v>141</v>
      </c>
      <c r="D443" s="12" t="s">
        <v>1042</v>
      </c>
      <c r="E443" s="12">
        <v>10</v>
      </c>
      <c r="F443" s="346">
        <v>26.5</v>
      </c>
      <c r="G443" s="12">
        <f t="shared" si="46"/>
        <v>36.5</v>
      </c>
      <c r="H443" s="12"/>
      <c r="I443" s="12"/>
      <c r="J443" s="12">
        <v>46</v>
      </c>
      <c r="K443" s="241">
        <f t="shared" si="47"/>
        <v>82.5</v>
      </c>
      <c r="L443" t="str">
        <f t="shared" si="44"/>
        <v>A</v>
      </c>
      <c r="M443" t="str">
        <f t="shared" si="45"/>
        <v>Passed</v>
      </c>
    </row>
    <row r="444" spans="1:22" x14ac:dyDescent="0.3">
      <c r="A444" s="50">
        <v>23</v>
      </c>
      <c r="B444" s="45" t="s">
        <v>176</v>
      </c>
      <c r="C444" s="45" t="s">
        <v>481</v>
      </c>
      <c r="D444" s="12" t="s">
        <v>1040</v>
      </c>
      <c r="E444" s="12">
        <v>9</v>
      </c>
      <c r="F444" s="12">
        <v>16</v>
      </c>
      <c r="G444" s="12">
        <f t="shared" si="46"/>
        <v>25</v>
      </c>
      <c r="H444" s="12"/>
      <c r="I444" s="12"/>
      <c r="J444" s="12">
        <v>32</v>
      </c>
      <c r="K444" s="241">
        <f t="shared" si="47"/>
        <v>57</v>
      </c>
      <c r="L444" t="str">
        <f t="shared" si="44"/>
        <v>C+</v>
      </c>
      <c r="M444" t="str">
        <f t="shared" si="45"/>
        <v>Passed</v>
      </c>
    </row>
    <row r="445" spans="1:22" x14ac:dyDescent="0.3">
      <c r="A445" s="50">
        <v>24</v>
      </c>
      <c r="B445" s="45" t="s">
        <v>148</v>
      </c>
      <c r="C445" s="45" t="s">
        <v>96</v>
      </c>
      <c r="D445" s="12" t="s">
        <v>1065</v>
      </c>
      <c r="E445" s="12">
        <v>9</v>
      </c>
      <c r="F445" s="12">
        <v>23</v>
      </c>
      <c r="G445" s="12">
        <f t="shared" si="46"/>
        <v>32</v>
      </c>
      <c r="H445" s="12"/>
      <c r="I445" s="12"/>
      <c r="J445" s="12">
        <v>29</v>
      </c>
      <c r="K445" s="241">
        <f t="shared" si="47"/>
        <v>61</v>
      </c>
      <c r="L445" t="str">
        <f t="shared" si="44"/>
        <v>B</v>
      </c>
      <c r="M445" t="str">
        <f t="shared" si="45"/>
        <v>Passed</v>
      </c>
    </row>
    <row r="446" spans="1:22" x14ac:dyDescent="0.3">
      <c r="A446" s="50">
        <v>25</v>
      </c>
      <c r="B446" s="45" t="s">
        <v>153</v>
      </c>
      <c r="C446" s="45" t="s">
        <v>101</v>
      </c>
      <c r="D446" s="12" t="s">
        <v>1050</v>
      </c>
      <c r="E446" s="12">
        <v>2</v>
      </c>
      <c r="F446" s="12">
        <v>19</v>
      </c>
      <c r="G446" s="12">
        <f t="shared" si="46"/>
        <v>21</v>
      </c>
      <c r="H446" s="12"/>
      <c r="I446" s="12"/>
      <c r="J446" s="12">
        <v>39</v>
      </c>
      <c r="K446" s="241">
        <f t="shared" si="47"/>
        <v>60</v>
      </c>
      <c r="L446" t="str">
        <f t="shared" si="44"/>
        <v>B</v>
      </c>
      <c r="M446" t="str">
        <f t="shared" si="45"/>
        <v>Passed</v>
      </c>
    </row>
    <row r="447" spans="1:22" x14ac:dyDescent="0.3">
      <c r="A447" s="50">
        <v>26</v>
      </c>
      <c r="B447" s="45" t="s">
        <v>154</v>
      </c>
      <c r="C447" s="45" t="s">
        <v>102</v>
      </c>
      <c r="D447" s="12" t="s">
        <v>1057</v>
      </c>
      <c r="E447" s="12">
        <v>9</v>
      </c>
      <c r="F447" s="346">
        <v>27.5</v>
      </c>
      <c r="G447" s="12">
        <f t="shared" si="46"/>
        <v>36.5</v>
      </c>
      <c r="H447" s="12"/>
      <c r="I447" s="12"/>
      <c r="J447" s="12">
        <v>38</v>
      </c>
      <c r="K447" s="241">
        <f t="shared" si="47"/>
        <v>74.5</v>
      </c>
      <c r="L447" t="str">
        <f t="shared" si="44"/>
        <v>B+</v>
      </c>
      <c r="M447" t="str">
        <f t="shared" si="45"/>
        <v>Passed</v>
      </c>
    </row>
    <row r="448" spans="1:22" x14ac:dyDescent="0.3">
      <c r="A448" s="50">
        <v>27</v>
      </c>
      <c r="B448" s="45" t="s">
        <v>162</v>
      </c>
      <c r="C448" s="45" t="s">
        <v>112</v>
      </c>
      <c r="D448" s="12" t="s">
        <v>1055</v>
      </c>
      <c r="E448" s="12">
        <v>9</v>
      </c>
      <c r="F448" s="12">
        <v>22</v>
      </c>
      <c r="G448" s="12">
        <f t="shared" si="46"/>
        <v>31</v>
      </c>
      <c r="H448" s="12"/>
      <c r="I448" s="12"/>
      <c r="J448" s="12">
        <v>20</v>
      </c>
      <c r="K448" s="241">
        <f t="shared" si="47"/>
        <v>51</v>
      </c>
      <c r="L448" t="str">
        <f t="shared" si="44"/>
        <v>C</v>
      </c>
      <c r="M448" t="str">
        <f t="shared" si="45"/>
        <v>Passed</v>
      </c>
    </row>
    <row r="449" spans="1:13" x14ac:dyDescent="0.3">
      <c r="A449" s="12">
        <v>28</v>
      </c>
      <c r="B449" s="45" t="s">
        <v>164</v>
      </c>
      <c r="C449" s="45" t="s">
        <v>114</v>
      </c>
      <c r="D449" s="12" t="s">
        <v>1028</v>
      </c>
      <c r="E449" s="12">
        <v>10</v>
      </c>
      <c r="F449" s="346">
        <v>24.5</v>
      </c>
      <c r="G449" s="12">
        <f t="shared" si="46"/>
        <v>34.5</v>
      </c>
      <c r="H449" s="12"/>
      <c r="I449" s="12"/>
      <c r="J449" s="12">
        <v>49</v>
      </c>
      <c r="K449" s="241">
        <f t="shared" si="47"/>
        <v>83.5</v>
      </c>
      <c r="L449" t="str">
        <f t="shared" si="44"/>
        <v>A</v>
      </c>
      <c r="M449" t="str">
        <f t="shared" si="45"/>
        <v>Passed</v>
      </c>
    </row>
    <row r="450" spans="1:13" x14ac:dyDescent="0.3">
      <c r="A450" s="12">
        <v>29</v>
      </c>
      <c r="B450" s="277" t="s">
        <v>165</v>
      </c>
      <c r="C450" s="45" t="s">
        <v>116</v>
      </c>
      <c r="D450" s="12" t="s">
        <v>1038</v>
      </c>
      <c r="E450" s="12">
        <v>10</v>
      </c>
      <c r="F450" s="12">
        <v>29</v>
      </c>
      <c r="G450" s="12">
        <f t="shared" si="46"/>
        <v>39</v>
      </c>
      <c r="H450" s="12"/>
      <c r="I450" s="12"/>
      <c r="J450" s="12">
        <v>54</v>
      </c>
      <c r="K450" s="241">
        <f t="shared" si="47"/>
        <v>93</v>
      </c>
      <c r="L450" t="str">
        <f t="shared" ref="L450:L475" si="48">IF(K450&gt;=80,"A",IF(K450&gt;=70,"B+",IF(K450&gt;=60,"B",IF(K450&gt;=55,"C+",IF(K450&gt;=50,"C",IF(K450&gt;=45,"D+",IF(K450&gt;=40,"D","F")))))))</f>
        <v>A</v>
      </c>
      <c r="M450" t="str">
        <f t="shared" ref="M450:M475" si="49">IF(K450&gt;=50,"Passed","Failed")</f>
        <v>Passed</v>
      </c>
    </row>
    <row r="451" spans="1:13" x14ac:dyDescent="0.3">
      <c r="A451" s="12">
        <v>30</v>
      </c>
      <c r="B451" s="45" t="s">
        <v>206</v>
      </c>
      <c r="C451" s="45" t="s">
        <v>123</v>
      </c>
      <c r="D451" s="12" t="s">
        <v>1036</v>
      </c>
      <c r="E451" s="12">
        <v>10</v>
      </c>
      <c r="F451" s="12">
        <v>19</v>
      </c>
      <c r="G451" s="12">
        <f t="shared" si="46"/>
        <v>29</v>
      </c>
      <c r="H451" s="12"/>
      <c r="I451" s="12"/>
      <c r="J451" s="12">
        <v>44</v>
      </c>
      <c r="K451" s="241">
        <f t="shared" si="47"/>
        <v>73</v>
      </c>
      <c r="L451" t="str">
        <f t="shared" si="48"/>
        <v>B+</v>
      </c>
      <c r="M451" t="str">
        <f t="shared" si="49"/>
        <v>Passed</v>
      </c>
    </row>
    <row r="452" spans="1:13" x14ac:dyDescent="0.3">
      <c r="A452" s="50">
        <v>31</v>
      </c>
      <c r="B452" s="429" t="s">
        <v>202</v>
      </c>
      <c r="C452" s="429" t="s">
        <v>135</v>
      </c>
      <c r="D452" s="429" t="s">
        <v>1020</v>
      </c>
      <c r="E452" s="429">
        <v>4</v>
      </c>
      <c r="F452" s="429">
        <v>5</v>
      </c>
      <c r="G452" s="429">
        <f t="shared" si="46"/>
        <v>9</v>
      </c>
      <c r="H452" s="429"/>
      <c r="I452" s="429"/>
      <c r="J452" s="429" t="s">
        <v>1938</v>
      </c>
      <c r="K452" s="241"/>
    </row>
    <row r="453" spans="1:13" x14ac:dyDescent="0.3">
      <c r="A453" s="50">
        <v>32</v>
      </c>
      <c r="B453" s="45" t="s">
        <v>1249</v>
      </c>
      <c r="C453" s="45" t="s">
        <v>422</v>
      </c>
      <c r="D453" s="12" t="s">
        <v>1029</v>
      </c>
      <c r="E453" s="12">
        <v>8</v>
      </c>
      <c r="F453" s="12">
        <v>24</v>
      </c>
      <c r="G453" s="12">
        <f t="shared" si="46"/>
        <v>32</v>
      </c>
      <c r="H453" s="12"/>
      <c r="I453" s="12"/>
      <c r="J453" s="12">
        <v>32</v>
      </c>
      <c r="K453" s="241">
        <f t="shared" si="47"/>
        <v>64</v>
      </c>
      <c r="L453" t="str">
        <f t="shared" si="48"/>
        <v>B</v>
      </c>
      <c r="M453" t="str">
        <f t="shared" si="49"/>
        <v>Passed</v>
      </c>
    </row>
    <row r="454" spans="1:13" x14ac:dyDescent="0.3">
      <c r="A454" s="50">
        <v>33</v>
      </c>
      <c r="B454" s="45" t="s">
        <v>150</v>
      </c>
      <c r="C454" s="45" t="s">
        <v>98</v>
      </c>
      <c r="D454" s="12" t="s">
        <v>1062</v>
      </c>
      <c r="E454" s="12">
        <v>10</v>
      </c>
      <c r="F454" s="459">
        <v>14</v>
      </c>
      <c r="G454" s="12">
        <f t="shared" si="46"/>
        <v>24</v>
      </c>
      <c r="H454" s="12"/>
      <c r="I454" s="12"/>
      <c r="J454" s="12">
        <v>26</v>
      </c>
      <c r="K454" s="241">
        <f t="shared" si="47"/>
        <v>50</v>
      </c>
      <c r="L454" t="str">
        <f t="shared" si="48"/>
        <v>C</v>
      </c>
      <c r="M454" t="str">
        <f t="shared" si="49"/>
        <v>Passed</v>
      </c>
    </row>
    <row r="455" spans="1:13" x14ac:dyDescent="0.3">
      <c r="A455" s="50">
        <v>34</v>
      </c>
      <c r="B455" s="45" t="s">
        <v>151</v>
      </c>
      <c r="C455" s="45" t="s">
        <v>99</v>
      </c>
      <c r="D455" s="12" t="s">
        <v>1061</v>
      </c>
      <c r="E455" s="12">
        <v>8</v>
      </c>
      <c r="F455" s="12">
        <v>30</v>
      </c>
      <c r="G455" s="12">
        <f t="shared" si="46"/>
        <v>38</v>
      </c>
      <c r="H455" s="12"/>
      <c r="I455" s="12"/>
      <c r="J455" s="12">
        <v>44</v>
      </c>
      <c r="K455" s="241">
        <f t="shared" si="47"/>
        <v>82</v>
      </c>
      <c r="L455" t="str">
        <f t="shared" si="48"/>
        <v>A</v>
      </c>
      <c r="M455" t="str">
        <f t="shared" si="49"/>
        <v>Passed</v>
      </c>
    </row>
    <row r="456" spans="1:13" x14ac:dyDescent="0.3">
      <c r="A456" s="50">
        <v>35</v>
      </c>
      <c r="B456" s="45" t="s">
        <v>157</v>
      </c>
      <c r="C456" s="45" t="s">
        <v>106</v>
      </c>
      <c r="D456" s="12" t="s">
        <v>1060</v>
      </c>
      <c r="E456" s="12">
        <v>10</v>
      </c>
      <c r="F456" s="12">
        <v>25</v>
      </c>
      <c r="G456" s="12">
        <f t="shared" si="46"/>
        <v>35</v>
      </c>
      <c r="H456" s="12"/>
      <c r="I456" s="12"/>
      <c r="J456" s="12">
        <v>23</v>
      </c>
      <c r="K456" s="241">
        <f t="shared" si="47"/>
        <v>58</v>
      </c>
      <c r="L456" t="str">
        <f t="shared" si="48"/>
        <v>C+</v>
      </c>
      <c r="M456" t="str">
        <f t="shared" si="49"/>
        <v>Passed</v>
      </c>
    </row>
    <row r="457" spans="1:13" x14ac:dyDescent="0.3">
      <c r="A457" s="50">
        <v>36</v>
      </c>
      <c r="B457" s="45" t="s">
        <v>158</v>
      </c>
      <c r="C457" s="45" t="s">
        <v>107</v>
      </c>
      <c r="D457" s="12" t="s">
        <v>1049</v>
      </c>
      <c r="E457" s="12">
        <v>10</v>
      </c>
      <c r="F457" s="346">
        <v>24.5</v>
      </c>
      <c r="G457" s="12">
        <f t="shared" si="46"/>
        <v>34.5</v>
      </c>
      <c r="H457" s="12"/>
      <c r="I457" s="12"/>
      <c r="J457" s="12">
        <v>40</v>
      </c>
      <c r="K457" s="241">
        <f t="shared" si="47"/>
        <v>74.5</v>
      </c>
      <c r="L457" t="str">
        <f t="shared" si="48"/>
        <v>B+</v>
      </c>
      <c r="M457" t="str">
        <f t="shared" si="49"/>
        <v>Passed</v>
      </c>
    </row>
    <row r="458" spans="1:13" x14ac:dyDescent="0.3">
      <c r="A458" s="50">
        <v>37</v>
      </c>
      <c r="B458" s="45" t="s">
        <v>159</v>
      </c>
      <c r="C458" s="45" t="s">
        <v>108</v>
      </c>
      <c r="D458" s="12" t="s">
        <v>1044</v>
      </c>
      <c r="E458" s="12">
        <v>10</v>
      </c>
      <c r="F458" s="346">
        <v>22.5</v>
      </c>
      <c r="G458" s="12">
        <f t="shared" si="46"/>
        <v>32.5</v>
      </c>
      <c r="H458" s="12"/>
      <c r="I458" s="12"/>
      <c r="J458" s="12">
        <v>44</v>
      </c>
      <c r="K458" s="241">
        <f t="shared" si="47"/>
        <v>76.5</v>
      </c>
      <c r="L458" t="str">
        <f t="shared" si="48"/>
        <v>B+</v>
      </c>
      <c r="M458" t="str">
        <f t="shared" si="49"/>
        <v>Passed</v>
      </c>
    </row>
    <row r="459" spans="1:13" x14ac:dyDescent="0.3">
      <c r="A459" s="50">
        <v>38</v>
      </c>
      <c r="B459" s="45" t="s">
        <v>167</v>
      </c>
      <c r="C459" s="45" t="s">
        <v>118</v>
      </c>
      <c r="D459" s="12" t="s">
        <v>1021</v>
      </c>
      <c r="E459" s="12">
        <v>9</v>
      </c>
      <c r="F459" s="12">
        <v>17</v>
      </c>
      <c r="G459" s="12">
        <f t="shared" si="46"/>
        <v>26</v>
      </c>
      <c r="H459" s="12"/>
      <c r="I459" s="12"/>
      <c r="J459" s="12">
        <v>25</v>
      </c>
      <c r="K459" s="241">
        <f t="shared" si="47"/>
        <v>51</v>
      </c>
      <c r="L459" t="str">
        <f t="shared" si="48"/>
        <v>C</v>
      </c>
      <c r="M459" t="str">
        <f t="shared" si="49"/>
        <v>Passed</v>
      </c>
    </row>
    <row r="460" spans="1:13" x14ac:dyDescent="0.3">
      <c r="A460" s="12">
        <v>39</v>
      </c>
      <c r="B460" s="45" t="s">
        <v>171</v>
      </c>
      <c r="C460" s="45" t="s">
        <v>125</v>
      </c>
      <c r="D460" s="12" t="s">
        <v>1043</v>
      </c>
      <c r="E460" s="12">
        <v>9</v>
      </c>
      <c r="F460" s="12">
        <v>17</v>
      </c>
      <c r="G460" s="12">
        <f t="shared" si="46"/>
        <v>26</v>
      </c>
      <c r="H460" s="12"/>
      <c r="I460" s="12"/>
      <c r="J460" s="12">
        <v>30</v>
      </c>
      <c r="K460" s="241">
        <f t="shared" si="47"/>
        <v>56</v>
      </c>
      <c r="L460" t="str">
        <f t="shared" si="48"/>
        <v>C+</v>
      </c>
      <c r="M460" t="str">
        <f t="shared" si="49"/>
        <v>Passed</v>
      </c>
    </row>
    <row r="461" spans="1:13" x14ac:dyDescent="0.3">
      <c r="A461" s="12">
        <v>40</v>
      </c>
      <c r="B461" s="45" t="s">
        <v>174</v>
      </c>
      <c r="C461" s="45" t="s">
        <v>128</v>
      </c>
      <c r="D461" s="12" t="s">
        <v>1047</v>
      </c>
      <c r="E461" s="12">
        <v>10</v>
      </c>
      <c r="F461" s="12">
        <v>19</v>
      </c>
      <c r="G461" s="12">
        <f t="shared" si="46"/>
        <v>29</v>
      </c>
      <c r="H461" s="12"/>
      <c r="I461" s="12"/>
      <c r="J461" s="12">
        <v>41</v>
      </c>
      <c r="K461" s="241">
        <f t="shared" si="47"/>
        <v>70</v>
      </c>
      <c r="L461" t="str">
        <f t="shared" si="48"/>
        <v>B+</v>
      </c>
      <c r="M461" t="str">
        <f t="shared" si="49"/>
        <v>Passed</v>
      </c>
    </row>
    <row r="462" spans="1:13" x14ac:dyDescent="0.3">
      <c r="A462" s="12">
        <v>41</v>
      </c>
      <c r="B462" s="45" t="s">
        <v>220</v>
      </c>
      <c r="C462" s="45" t="s">
        <v>130</v>
      </c>
      <c r="D462" s="12" t="s">
        <v>1048</v>
      </c>
      <c r="E462" s="12">
        <v>9</v>
      </c>
      <c r="F462" s="346">
        <v>24.5</v>
      </c>
      <c r="G462" s="12">
        <f t="shared" si="46"/>
        <v>33.5</v>
      </c>
      <c r="H462" s="12"/>
      <c r="I462" s="12"/>
      <c r="J462" s="12">
        <v>35</v>
      </c>
      <c r="K462" s="241">
        <f t="shared" si="47"/>
        <v>68.5</v>
      </c>
      <c r="L462" t="str">
        <f t="shared" si="48"/>
        <v>B</v>
      </c>
      <c r="M462" t="str">
        <f t="shared" si="49"/>
        <v>Passed</v>
      </c>
    </row>
    <row r="463" spans="1:13" x14ac:dyDescent="0.3">
      <c r="A463" s="50">
        <v>42</v>
      </c>
      <c r="B463" s="45" t="s">
        <v>659</v>
      </c>
      <c r="C463" s="45" t="s">
        <v>117</v>
      </c>
      <c r="D463" s="12" t="s">
        <v>1052</v>
      </c>
      <c r="E463" s="12">
        <v>10</v>
      </c>
      <c r="F463" s="346">
        <v>25.5</v>
      </c>
      <c r="G463" s="12">
        <f t="shared" si="46"/>
        <v>35.5</v>
      </c>
      <c r="H463" s="12"/>
      <c r="I463" s="12"/>
      <c r="J463" s="12">
        <v>57</v>
      </c>
      <c r="K463" s="241">
        <f t="shared" si="47"/>
        <v>92.5</v>
      </c>
      <c r="L463" t="str">
        <f t="shared" si="48"/>
        <v>A</v>
      </c>
      <c r="M463" t="str">
        <f t="shared" si="49"/>
        <v>Passed</v>
      </c>
    </row>
    <row r="464" spans="1:13" x14ac:dyDescent="0.3">
      <c r="A464" s="50">
        <v>43</v>
      </c>
      <c r="B464" s="45" t="s">
        <v>146</v>
      </c>
      <c r="C464" s="45" t="s">
        <v>94</v>
      </c>
      <c r="D464" s="12" t="s">
        <v>1056</v>
      </c>
      <c r="E464" s="12">
        <v>9</v>
      </c>
      <c r="F464" s="346">
        <v>22.5</v>
      </c>
      <c r="G464" s="12">
        <f t="shared" si="46"/>
        <v>31.5</v>
      </c>
      <c r="H464" s="12"/>
      <c r="I464" s="12"/>
      <c r="J464" s="12">
        <v>43</v>
      </c>
      <c r="K464" s="241">
        <f t="shared" si="47"/>
        <v>74.5</v>
      </c>
      <c r="L464" t="str">
        <f t="shared" si="48"/>
        <v>B+</v>
      </c>
      <c r="M464" t="str">
        <f t="shared" si="49"/>
        <v>Passed</v>
      </c>
    </row>
    <row r="465" spans="1:13" x14ac:dyDescent="0.3">
      <c r="A465" s="50">
        <v>44</v>
      </c>
      <c r="B465" s="277" t="s">
        <v>147</v>
      </c>
      <c r="C465" s="45" t="s">
        <v>95</v>
      </c>
      <c r="D465" s="12" t="s">
        <v>1031</v>
      </c>
      <c r="E465" s="12">
        <v>9</v>
      </c>
      <c r="F465" s="12">
        <v>24</v>
      </c>
      <c r="G465" s="12">
        <f t="shared" si="46"/>
        <v>33</v>
      </c>
      <c r="H465" s="12"/>
      <c r="I465" s="12"/>
      <c r="J465" s="12">
        <v>52</v>
      </c>
      <c r="K465" s="241">
        <f t="shared" si="47"/>
        <v>85</v>
      </c>
      <c r="L465" t="str">
        <f t="shared" si="48"/>
        <v>A</v>
      </c>
      <c r="M465" t="str">
        <f t="shared" si="49"/>
        <v>Passed</v>
      </c>
    </row>
    <row r="466" spans="1:13" x14ac:dyDescent="0.3">
      <c r="A466" s="50">
        <v>45</v>
      </c>
      <c r="B466" s="45" t="s">
        <v>155</v>
      </c>
      <c r="C466" s="45" t="s">
        <v>103</v>
      </c>
      <c r="D466" s="12" t="s">
        <v>1058</v>
      </c>
      <c r="E466" s="12">
        <v>8</v>
      </c>
      <c r="F466" s="346">
        <v>18.5</v>
      </c>
      <c r="G466" s="12">
        <f t="shared" si="46"/>
        <v>26.5</v>
      </c>
      <c r="H466" s="12"/>
      <c r="I466" s="12"/>
      <c r="J466" s="12">
        <v>26</v>
      </c>
      <c r="K466" s="241">
        <f t="shared" si="47"/>
        <v>52.5</v>
      </c>
      <c r="L466" t="str">
        <f t="shared" si="48"/>
        <v>C</v>
      </c>
      <c r="M466" t="str">
        <f t="shared" si="49"/>
        <v>Passed</v>
      </c>
    </row>
    <row r="467" spans="1:13" x14ac:dyDescent="0.3">
      <c r="A467" s="50">
        <v>46</v>
      </c>
      <c r="B467" s="429" t="s">
        <v>182</v>
      </c>
      <c r="C467" s="429" t="s">
        <v>105</v>
      </c>
      <c r="D467" s="429" t="s">
        <v>1020</v>
      </c>
      <c r="E467" s="429">
        <v>4</v>
      </c>
      <c r="F467" s="429"/>
      <c r="G467" s="429">
        <f t="shared" si="46"/>
        <v>4</v>
      </c>
      <c r="H467" s="429"/>
      <c r="I467" s="429"/>
      <c r="J467" s="429" t="s">
        <v>1938</v>
      </c>
      <c r="K467" s="241"/>
    </row>
    <row r="468" spans="1:13" x14ac:dyDescent="0.3">
      <c r="A468" s="50">
        <v>47</v>
      </c>
      <c r="B468" s="45" t="s">
        <v>161</v>
      </c>
      <c r="C468" s="45" t="s">
        <v>111</v>
      </c>
      <c r="D468" s="12" t="s">
        <v>1020</v>
      </c>
      <c r="E468" s="12"/>
      <c r="F468" s="12"/>
      <c r="G468" s="12"/>
      <c r="H468" s="12"/>
      <c r="I468" s="12"/>
      <c r="J468" s="12"/>
      <c r="K468" s="241"/>
    </row>
    <row r="469" spans="1:13" x14ac:dyDescent="0.3">
      <c r="A469" s="50">
        <v>48</v>
      </c>
      <c r="B469" s="45" t="s">
        <v>169</v>
      </c>
      <c r="C469" s="45" t="s">
        <v>122</v>
      </c>
      <c r="D469" s="12" t="s">
        <v>1020</v>
      </c>
      <c r="E469" s="12"/>
      <c r="F469" s="12"/>
      <c r="G469" s="12"/>
      <c r="H469" s="12"/>
      <c r="I469" s="12"/>
      <c r="J469" s="12"/>
      <c r="K469" s="241"/>
    </row>
    <row r="470" spans="1:13" x14ac:dyDescent="0.3">
      <c r="A470" s="50">
        <v>49</v>
      </c>
      <c r="B470" s="45" t="s">
        <v>648</v>
      </c>
      <c r="C470" s="45" t="s">
        <v>129</v>
      </c>
      <c r="D470" s="12" t="s">
        <v>1033</v>
      </c>
      <c r="E470" s="12">
        <v>9</v>
      </c>
      <c r="F470" s="12">
        <v>29</v>
      </c>
      <c r="G470" s="12">
        <f t="shared" si="46"/>
        <v>38</v>
      </c>
      <c r="H470" s="12"/>
      <c r="I470" s="12"/>
      <c r="J470" s="12">
        <v>49</v>
      </c>
      <c r="K470" s="241">
        <f t="shared" si="47"/>
        <v>87</v>
      </c>
      <c r="L470" t="str">
        <f t="shared" si="48"/>
        <v>A</v>
      </c>
      <c r="M470" t="str">
        <f t="shared" si="49"/>
        <v>Passed</v>
      </c>
    </row>
    <row r="471" spans="1:13" x14ac:dyDescent="0.3">
      <c r="A471" s="12">
        <v>50</v>
      </c>
      <c r="B471" s="45" t="s">
        <v>177</v>
      </c>
      <c r="C471" s="45" t="s">
        <v>132</v>
      </c>
      <c r="D471" s="12" t="s">
        <v>1039</v>
      </c>
      <c r="E471" s="12">
        <v>9</v>
      </c>
      <c r="F471" s="12">
        <v>30</v>
      </c>
      <c r="G471" s="12">
        <f t="shared" si="46"/>
        <v>39</v>
      </c>
      <c r="H471" s="12"/>
      <c r="I471" s="12"/>
      <c r="J471" s="12">
        <v>54</v>
      </c>
      <c r="K471" s="241">
        <f t="shared" si="47"/>
        <v>93</v>
      </c>
      <c r="L471" t="str">
        <f t="shared" si="48"/>
        <v>A</v>
      </c>
      <c r="M471" t="str">
        <f t="shared" si="49"/>
        <v>Passed</v>
      </c>
    </row>
    <row r="472" spans="1:13" x14ac:dyDescent="0.3">
      <c r="A472" s="12">
        <v>51</v>
      </c>
      <c r="B472" s="45" t="s">
        <v>179</v>
      </c>
      <c r="C472" s="45" t="s">
        <v>665</v>
      </c>
      <c r="D472" s="12" t="s">
        <v>1035</v>
      </c>
      <c r="E472" s="12">
        <v>10</v>
      </c>
      <c r="F472" s="12">
        <v>22</v>
      </c>
      <c r="G472" s="12">
        <f t="shared" si="46"/>
        <v>32</v>
      </c>
      <c r="H472" s="12"/>
      <c r="I472" s="12"/>
      <c r="J472" s="12">
        <v>38</v>
      </c>
      <c r="K472" s="241">
        <f t="shared" si="47"/>
        <v>70</v>
      </c>
      <c r="L472" t="str">
        <f t="shared" si="48"/>
        <v>B+</v>
      </c>
      <c r="M472" t="str">
        <f t="shared" si="49"/>
        <v>Passed</v>
      </c>
    </row>
    <row r="473" spans="1:13" x14ac:dyDescent="0.3">
      <c r="A473" s="12">
        <v>52</v>
      </c>
      <c r="B473" s="45" t="s">
        <v>180</v>
      </c>
      <c r="C473" s="45" t="s">
        <v>136</v>
      </c>
      <c r="D473" s="12" t="s">
        <v>1026</v>
      </c>
      <c r="E473" s="12">
        <v>9</v>
      </c>
      <c r="F473" s="12">
        <v>23</v>
      </c>
      <c r="G473" s="12">
        <f t="shared" si="46"/>
        <v>32</v>
      </c>
      <c r="H473" s="12"/>
      <c r="I473" s="12"/>
      <c r="J473" s="12">
        <v>45</v>
      </c>
      <c r="K473" s="241">
        <f t="shared" si="47"/>
        <v>77</v>
      </c>
      <c r="L473" t="str">
        <f t="shared" si="48"/>
        <v>B+</v>
      </c>
      <c r="M473" t="str">
        <f t="shared" si="49"/>
        <v>Passed</v>
      </c>
    </row>
    <row r="474" spans="1:13" x14ac:dyDescent="0.3">
      <c r="A474" s="50">
        <v>53</v>
      </c>
      <c r="B474" s="45" t="s">
        <v>183</v>
      </c>
      <c r="C474" s="45" t="s">
        <v>140</v>
      </c>
      <c r="D474" s="12" t="s">
        <v>1054</v>
      </c>
      <c r="E474" s="12">
        <v>10</v>
      </c>
      <c r="F474" s="346">
        <v>23.5</v>
      </c>
      <c r="G474" s="12">
        <f t="shared" si="46"/>
        <v>33.5</v>
      </c>
      <c r="H474" s="12"/>
      <c r="I474" s="12"/>
      <c r="J474" s="12">
        <v>51</v>
      </c>
      <c r="K474" s="241">
        <f t="shared" si="47"/>
        <v>84.5</v>
      </c>
      <c r="L474" t="str">
        <f t="shared" si="48"/>
        <v>A</v>
      </c>
      <c r="M474" t="str">
        <f t="shared" si="49"/>
        <v>Passed</v>
      </c>
    </row>
    <row r="475" spans="1:13" x14ac:dyDescent="0.3">
      <c r="A475" s="50">
        <v>54</v>
      </c>
      <c r="B475" s="45" t="s">
        <v>184</v>
      </c>
      <c r="C475" s="45" t="s">
        <v>142</v>
      </c>
      <c r="D475" s="12" t="s">
        <v>1037</v>
      </c>
      <c r="E475" s="12">
        <v>8</v>
      </c>
      <c r="F475" s="12">
        <v>19</v>
      </c>
      <c r="G475" s="12">
        <f t="shared" si="46"/>
        <v>27</v>
      </c>
      <c r="H475" s="12"/>
      <c r="I475" s="12"/>
      <c r="J475" s="12">
        <v>42</v>
      </c>
      <c r="K475" s="241">
        <f t="shared" si="47"/>
        <v>69</v>
      </c>
      <c r="L475" t="str">
        <f t="shared" si="48"/>
        <v>B</v>
      </c>
      <c r="M475" t="str">
        <f t="shared" si="49"/>
        <v>Passed</v>
      </c>
    </row>
    <row r="476" spans="1:13" x14ac:dyDescent="0.3">
      <c r="A476" s="312"/>
      <c r="B476" s="56"/>
      <c r="C476" s="56"/>
      <c r="D476" s="56"/>
      <c r="E476" s="56"/>
      <c r="F476" s="56"/>
      <c r="G476" s="56"/>
      <c r="H476" s="56"/>
      <c r="I476" s="56"/>
      <c r="J476" s="56"/>
      <c r="K476" s="56"/>
    </row>
    <row r="477" spans="1:13" x14ac:dyDescent="0.3">
      <c r="A477" s="312"/>
      <c r="B477" s="56"/>
      <c r="C477" s="56"/>
      <c r="D477" s="56"/>
      <c r="E477" s="56"/>
      <c r="F477" s="56"/>
      <c r="G477" s="56"/>
      <c r="H477" s="56"/>
      <c r="I477" s="56"/>
      <c r="J477" s="56"/>
      <c r="K477" s="56"/>
    </row>
    <row r="478" spans="1:13" x14ac:dyDescent="0.3">
      <c r="A478" s="312"/>
      <c r="B478" s="56"/>
      <c r="C478" s="56"/>
      <c r="D478" s="56"/>
      <c r="E478" s="56"/>
      <c r="F478" s="56"/>
      <c r="G478" s="56"/>
      <c r="H478" s="56"/>
      <c r="I478" s="56"/>
      <c r="J478" s="56"/>
      <c r="K478" s="56"/>
    </row>
    <row r="479" spans="1:13" x14ac:dyDescent="0.3">
      <c r="A479" s="312"/>
      <c r="B479" s="56"/>
      <c r="C479" s="56"/>
      <c r="D479" s="56"/>
      <c r="E479" s="56"/>
      <c r="F479" s="56"/>
      <c r="G479" s="56"/>
      <c r="H479" s="56"/>
      <c r="I479" s="56"/>
      <c r="J479" s="56"/>
      <c r="K479" s="56"/>
    </row>
    <row r="480" spans="1:13" x14ac:dyDescent="0.3">
      <c r="A480" s="312"/>
      <c r="B480" s="56"/>
      <c r="C480" s="56"/>
      <c r="D480" s="56"/>
      <c r="E480" s="56"/>
      <c r="F480" s="56"/>
      <c r="G480" s="56"/>
      <c r="H480" s="56"/>
      <c r="I480" s="56"/>
      <c r="J480" s="56"/>
      <c r="K480" s="56"/>
    </row>
    <row r="481" spans="1:15" x14ac:dyDescent="0.3">
      <c r="A481" s="312"/>
      <c r="B481" s="56"/>
      <c r="C481" s="56"/>
      <c r="D481" s="56"/>
      <c r="E481" s="56"/>
      <c r="F481" s="56"/>
      <c r="G481" s="56"/>
      <c r="H481" s="56"/>
      <c r="I481" s="56"/>
      <c r="J481" s="56"/>
      <c r="K481" s="56"/>
    </row>
    <row r="485" spans="1:15" x14ac:dyDescent="0.3">
      <c r="A485" s="38" t="s">
        <v>0</v>
      </c>
      <c r="B485" s="39"/>
      <c r="C485" s="39"/>
      <c r="D485" s="39"/>
      <c r="E485" s="39"/>
      <c r="F485" s="39"/>
      <c r="G485" s="39"/>
      <c r="H485" s="70"/>
      <c r="I485" s="70"/>
      <c r="J485" s="39"/>
      <c r="K485" s="39"/>
      <c r="L485" s="39"/>
    </row>
    <row r="486" spans="1:15" x14ac:dyDescent="0.3">
      <c r="A486" s="14" t="s">
        <v>66</v>
      </c>
      <c r="B486" s="14"/>
      <c r="C486" s="14"/>
      <c r="D486" s="14"/>
    </row>
    <row r="487" spans="1:15" x14ac:dyDescent="0.3">
      <c r="A487" s="460" t="s">
        <v>362</v>
      </c>
      <c r="B487" s="461"/>
      <c r="C487" s="461"/>
      <c r="D487" s="2"/>
      <c r="E487" s="2"/>
      <c r="F487" s="2"/>
      <c r="G487" s="2"/>
      <c r="H487" s="2"/>
      <c r="I487" s="2"/>
      <c r="J487" s="2"/>
      <c r="K487" s="2"/>
      <c r="L487" s="1"/>
      <c r="M487" s="16"/>
      <c r="N487" s="16"/>
      <c r="O487" s="13"/>
    </row>
    <row r="488" spans="1:15" x14ac:dyDescent="0.3">
      <c r="A488" s="38" t="s">
        <v>1</v>
      </c>
      <c r="B488" s="462" t="s">
        <v>676</v>
      </c>
      <c r="C488" s="462"/>
      <c r="D488" s="38"/>
      <c r="E488" s="39"/>
      <c r="F488" s="39"/>
      <c r="G488" s="39"/>
      <c r="H488" s="70"/>
      <c r="I488" s="70"/>
      <c r="J488" s="39"/>
      <c r="K488" s="39"/>
      <c r="L488" s="39"/>
    </row>
    <row r="489" spans="1:15" x14ac:dyDescent="0.3">
      <c r="A489" s="38" t="s">
        <v>3</v>
      </c>
      <c r="B489" s="462" t="s">
        <v>79</v>
      </c>
      <c r="C489" s="462"/>
      <c r="D489" s="38"/>
      <c r="E489" s="39"/>
      <c r="F489" s="39"/>
      <c r="G489" s="39"/>
      <c r="H489" s="70"/>
      <c r="I489" s="70"/>
      <c r="J489" s="39"/>
      <c r="K489" s="39"/>
      <c r="L489" s="39"/>
    </row>
    <row r="490" spans="1:15" x14ac:dyDescent="0.3">
      <c r="A490" s="38" t="s">
        <v>4</v>
      </c>
      <c r="B490" s="462" t="s">
        <v>80</v>
      </c>
      <c r="C490" s="462"/>
      <c r="D490" s="38"/>
      <c r="E490" s="39"/>
      <c r="F490" s="39"/>
      <c r="G490" s="39"/>
      <c r="H490" s="70"/>
      <c r="I490" s="70"/>
      <c r="J490" s="39"/>
      <c r="K490" s="39"/>
      <c r="L490" s="39"/>
    </row>
    <row r="491" spans="1:15" x14ac:dyDescent="0.3">
      <c r="A491" s="38" t="s">
        <v>5</v>
      </c>
      <c r="B491" s="463">
        <v>3</v>
      </c>
      <c r="C491" s="463"/>
      <c r="D491" s="38"/>
      <c r="E491" s="39"/>
      <c r="F491" s="39"/>
      <c r="G491" s="39"/>
      <c r="H491" s="70"/>
      <c r="I491" s="70"/>
      <c r="J491" s="39"/>
      <c r="K491" s="39"/>
      <c r="L491" s="39"/>
    </row>
    <row r="492" spans="1:15" x14ac:dyDescent="0.3">
      <c r="A492" s="38" t="s">
        <v>6</v>
      </c>
      <c r="B492" s="462" t="s">
        <v>40</v>
      </c>
      <c r="C492" s="462"/>
      <c r="D492" s="38"/>
      <c r="E492" s="39"/>
      <c r="F492" s="39"/>
      <c r="G492" s="39"/>
      <c r="H492" s="70"/>
      <c r="I492" s="70"/>
      <c r="J492" s="39"/>
      <c r="K492" s="39"/>
      <c r="L492" s="39"/>
    </row>
    <row r="493" spans="1:15" x14ac:dyDescent="0.3">
      <c r="A493" s="38" t="s">
        <v>68</v>
      </c>
      <c r="B493" s="462" t="s">
        <v>540</v>
      </c>
      <c r="C493" s="462"/>
      <c r="D493" s="38"/>
      <c r="E493" s="39"/>
      <c r="F493" s="39"/>
      <c r="G493" s="39"/>
      <c r="H493" s="70"/>
      <c r="I493" s="70"/>
      <c r="J493" s="39"/>
      <c r="K493" s="39"/>
      <c r="L493" s="39"/>
    </row>
    <row r="494" spans="1:15" x14ac:dyDescent="0.3">
      <c r="A494" s="44"/>
      <c r="B494" s="14"/>
      <c r="C494" s="14"/>
      <c r="D494" s="14"/>
    </row>
    <row r="495" spans="1:15" ht="60" x14ac:dyDescent="0.3">
      <c r="A495" s="42" t="s">
        <v>8</v>
      </c>
      <c r="B495" s="42" t="s">
        <v>9</v>
      </c>
      <c r="C495" s="42" t="s">
        <v>10</v>
      </c>
      <c r="D495" s="43" t="s">
        <v>11</v>
      </c>
      <c r="E495" s="43" t="s">
        <v>12</v>
      </c>
      <c r="F495" s="43" t="s">
        <v>13</v>
      </c>
      <c r="G495" s="43" t="s">
        <v>14</v>
      </c>
      <c r="H495" s="43" t="s">
        <v>208</v>
      </c>
      <c r="I495" s="43" t="s">
        <v>209</v>
      </c>
      <c r="J495" s="43" t="s">
        <v>15</v>
      </c>
      <c r="K495" s="43" t="s">
        <v>16</v>
      </c>
      <c r="L495" s="14" t="s">
        <v>17</v>
      </c>
      <c r="M495" s="14" t="s">
        <v>18</v>
      </c>
      <c r="N495" s="14" t="s">
        <v>19</v>
      </c>
    </row>
    <row r="496" spans="1:15" x14ac:dyDescent="0.3">
      <c r="A496" s="12"/>
      <c r="B496" s="42"/>
      <c r="C496" s="42"/>
      <c r="D496" s="42"/>
      <c r="E496" s="12"/>
      <c r="F496" s="12"/>
      <c r="G496" s="12"/>
      <c r="H496" s="12"/>
      <c r="I496" s="12"/>
      <c r="J496" s="12"/>
      <c r="K496" s="12"/>
      <c r="N496" t="s">
        <v>20</v>
      </c>
      <c r="O496">
        <f>COUNT(G497:G550)</f>
        <v>49</v>
      </c>
    </row>
    <row r="497" spans="1:22" x14ac:dyDescent="0.3">
      <c r="A497" s="12">
        <v>1</v>
      </c>
      <c r="B497" s="45" t="s">
        <v>203</v>
      </c>
      <c r="C497" s="45" t="s">
        <v>92</v>
      </c>
      <c r="D497" s="392" t="s">
        <v>832</v>
      </c>
      <c r="E497" s="12">
        <v>10</v>
      </c>
      <c r="F497" s="12">
        <v>23</v>
      </c>
      <c r="G497" s="12">
        <f>SUM(E497:F497)</f>
        <v>33</v>
      </c>
      <c r="H497" s="12"/>
      <c r="I497" s="12"/>
      <c r="J497" s="12">
        <v>49</v>
      </c>
      <c r="K497" s="12">
        <f>SUM(G497:J497)</f>
        <v>82</v>
      </c>
      <c r="L497" t="str">
        <f t="shared" ref="L497:L524" si="50">IF(K497&gt;=80,"A",IF(K497&gt;=70,"B+",IF(K497&gt;=60,"B",IF(K497&gt;=55,"C+",IF(K497&gt;=50,"C",IF(K497&gt;=45,"D+",IF(K497&gt;=40,"D","F")))))))</f>
        <v>A</v>
      </c>
      <c r="M497" t="str">
        <f t="shared" ref="M497:M524" si="51">IF(K497&gt;=50,"Passed","Failed")</f>
        <v>Passed</v>
      </c>
      <c r="N497" t="s">
        <v>21</v>
      </c>
      <c r="O497">
        <f>COUNT(J497:J550)</f>
        <v>48</v>
      </c>
    </row>
    <row r="498" spans="1:22" x14ac:dyDescent="0.3">
      <c r="A498" s="12">
        <v>2</v>
      </c>
      <c r="B498" s="45" t="s">
        <v>145</v>
      </c>
      <c r="C498" s="45" t="s">
        <v>93</v>
      </c>
      <c r="D498" s="392" t="s">
        <v>800</v>
      </c>
      <c r="E498" s="12">
        <v>9</v>
      </c>
      <c r="F498" s="12">
        <v>19</v>
      </c>
      <c r="G498" s="12">
        <f t="shared" ref="G498:G550" si="52">SUM(E498:F498)</f>
        <v>28</v>
      </c>
      <c r="H498" s="12"/>
      <c r="I498" s="12"/>
      <c r="J498" s="12">
        <v>30</v>
      </c>
      <c r="K498" s="12">
        <f t="shared" ref="K498:K550" si="53">SUM(G498:J498)</f>
        <v>58</v>
      </c>
      <c r="L498" t="str">
        <f t="shared" si="50"/>
        <v>C+</v>
      </c>
      <c r="M498" t="str">
        <f t="shared" si="51"/>
        <v>Passed</v>
      </c>
      <c r="N498" t="s">
        <v>22</v>
      </c>
      <c r="O498">
        <f>O496-O497</f>
        <v>1</v>
      </c>
    </row>
    <row r="499" spans="1:22" x14ac:dyDescent="0.3">
      <c r="A499" s="12">
        <v>3</v>
      </c>
      <c r="B499" s="45" t="s">
        <v>149</v>
      </c>
      <c r="C499" s="45" t="s">
        <v>97</v>
      </c>
      <c r="D499" s="392" t="s">
        <v>831</v>
      </c>
      <c r="E499" s="12">
        <v>10</v>
      </c>
      <c r="F499" s="12">
        <v>25</v>
      </c>
      <c r="G499" s="12">
        <f t="shared" si="52"/>
        <v>35</v>
      </c>
      <c r="H499" s="12"/>
      <c r="I499" s="12"/>
      <c r="J499" s="12">
        <v>58</v>
      </c>
      <c r="K499" s="12">
        <f t="shared" si="53"/>
        <v>93</v>
      </c>
      <c r="L499" t="str">
        <f t="shared" si="50"/>
        <v>A</v>
      </c>
      <c r="M499" t="str">
        <f t="shared" si="51"/>
        <v>Passed</v>
      </c>
      <c r="N499" t="s">
        <v>23</v>
      </c>
      <c r="O499">
        <f>COUNTIF(M497:M550,"Passed")</f>
        <v>38</v>
      </c>
    </row>
    <row r="500" spans="1:22" x14ac:dyDescent="0.3">
      <c r="A500" s="12">
        <v>4</v>
      </c>
      <c r="B500" s="45" t="s">
        <v>152</v>
      </c>
      <c r="C500" s="45" t="s">
        <v>100</v>
      </c>
      <c r="D500" s="392" t="s">
        <v>785</v>
      </c>
      <c r="E500" s="12">
        <v>10</v>
      </c>
      <c r="F500" s="12">
        <v>22</v>
      </c>
      <c r="G500" s="12">
        <f t="shared" si="52"/>
        <v>32</v>
      </c>
      <c r="H500" s="12"/>
      <c r="I500" s="12"/>
      <c r="J500" s="12">
        <v>8</v>
      </c>
      <c r="K500" s="12">
        <f t="shared" si="53"/>
        <v>40</v>
      </c>
      <c r="L500" t="str">
        <f t="shared" si="50"/>
        <v>D</v>
      </c>
      <c r="M500" t="str">
        <f t="shared" si="51"/>
        <v>Failed</v>
      </c>
      <c r="N500" t="s">
        <v>24</v>
      </c>
      <c r="O500" s="179">
        <f>O499/O497%</f>
        <v>79.166666666666671</v>
      </c>
    </row>
    <row r="501" spans="1:22" x14ac:dyDescent="0.3">
      <c r="A501" s="12">
        <v>5</v>
      </c>
      <c r="B501" s="45" t="s">
        <v>156</v>
      </c>
      <c r="C501" s="45" t="s">
        <v>104</v>
      </c>
      <c r="D501" s="392" t="s">
        <v>797</v>
      </c>
      <c r="E501" s="12">
        <v>10</v>
      </c>
      <c r="F501" s="12">
        <v>27</v>
      </c>
      <c r="G501" s="12">
        <f t="shared" si="52"/>
        <v>37</v>
      </c>
      <c r="H501" s="12"/>
      <c r="I501" s="12"/>
      <c r="J501" s="12">
        <v>52</v>
      </c>
      <c r="K501" s="12">
        <f t="shared" si="53"/>
        <v>89</v>
      </c>
      <c r="L501" t="str">
        <f t="shared" si="50"/>
        <v>A</v>
      </c>
      <c r="M501" t="str">
        <f t="shared" si="51"/>
        <v>Passed</v>
      </c>
      <c r="N501" t="s">
        <v>25</v>
      </c>
      <c r="O501">
        <f>COUNTIF(M497:M550,"failed")</f>
        <v>10</v>
      </c>
    </row>
    <row r="502" spans="1:22" x14ac:dyDescent="0.3">
      <c r="A502" s="12">
        <v>6</v>
      </c>
      <c r="B502" s="45" t="s">
        <v>160</v>
      </c>
      <c r="C502" s="45" t="s">
        <v>109</v>
      </c>
      <c r="D502" s="392" t="s">
        <v>828</v>
      </c>
      <c r="E502" s="12">
        <v>10</v>
      </c>
      <c r="F502" s="12">
        <v>25</v>
      </c>
      <c r="G502" s="12">
        <f t="shared" si="52"/>
        <v>35</v>
      </c>
      <c r="H502" s="12"/>
      <c r="I502" s="12"/>
      <c r="J502" s="12">
        <v>48</v>
      </c>
      <c r="K502" s="12">
        <f t="shared" si="53"/>
        <v>83</v>
      </c>
      <c r="L502" t="str">
        <f t="shared" si="50"/>
        <v>A</v>
      </c>
      <c r="M502" t="str">
        <f t="shared" si="51"/>
        <v>Passed</v>
      </c>
      <c r="N502" t="s">
        <v>26</v>
      </c>
      <c r="O502" s="179">
        <f>O501/O497%</f>
        <v>20.833333333333336</v>
      </c>
    </row>
    <row r="503" spans="1:22" x14ac:dyDescent="0.3">
      <c r="A503" s="12">
        <v>7</v>
      </c>
      <c r="B503" s="45" t="s">
        <v>207</v>
      </c>
      <c r="C503" s="45" t="s">
        <v>110</v>
      </c>
      <c r="D503" s="392" t="s">
        <v>784</v>
      </c>
      <c r="E503" s="12"/>
      <c r="F503" s="12"/>
      <c r="G503" s="12"/>
      <c r="H503" s="12"/>
      <c r="I503" s="12"/>
      <c r="J503" s="12"/>
      <c r="K503" s="12"/>
      <c r="N503" t="s">
        <v>27</v>
      </c>
      <c r="O503" s="179">
        <f>AVERAGE(K497:K550)</f>
        <v>64.802083333333329</v>
      </c>
    </row>
    <row r="504" spans="1:22" x14ac:dyDescent="0.3">
      <c r="A504" s="12">
        <v>8</v>
      </c>
      <c r="B504" s="45" t="s">
        <v>163</v>
      </c>
      <c r="C504" s="45" t="s">
        <v>113</v>
      </c>
      <c r="D504" s="392" t="s">
        <v>819</v>
      </c>
      <c r="E504" s="12">
        <v>10</v>
      </c>
      <c r="F504" s="12">
        <v>25</v>
      </c>
      <c r="G504" s="12">
        <f t="shared" si="52"/>
        <v>35</v>
      </c>
      <c r="H504" s="12"/>
      <c r="I504" s="12"/>
      <c r="J504" s="12">
        <v>43</v>
      </c>
      <c r="K504" s="12">
        <f t="shared" si="53"/>
        <v>78</v>
      </c>
      <c r="L504" t="str">
        <f t="shared" si="50"/>
        <v>B+</v>
      </c>
      <c r="M504" t="str">
        <f t="shared" si="51"/>
        <v>Passed</v>
      </c>
    </row>
    <row r="505" spans="1:22" x14ac:dyDescent="0.3">
      <c r="A505" s="12">
        <v>9</v>
      </c>
      <c r="B505" s="45" t="s">
        <v>480</v>
      </c>
      <c r="C505" s="45" t="s">
        <v>115</v>
      </c>
      <c r="D505" s="392" t="s">
        <v>798</v>
      </c>
      <c r="E505" s="12">
        <v>10</v>
      </c>
      <c r="F505" s="12">
        <v>25</v>
      </c>
      <c r="G505" s="12">
        <f t="shared" si="52"/>
        <v>35</v>
      </c>
      <c r="H505" s="12"/>
      <c r="I505" s="12"/>
      <c r="J505" s="12">
        <v>54</v>
      </c>
      <c r="K505" s="12">
        <f t="shared" si="53"/>
        <v>89</v>
      </c>
      <c r="L505" t="str">
        <f t="shared" si="50"/>
        <v>A</v>
      </c>
      <c r="M505" t="str">
        <f t="shared" si="51"/>
        <v>Passed</v>
      </c>
    </row>
    <row r="506" spans="1:22" x14ac:dyDescent="0.3">
      <c r="A506" s="12">
        <v>10</v>
      </c>
      <c r="B506" s="45" t="s">
        <v>200</v>
      </c>
      <c r="C506" s="45" t="s">
        <v>119</v>
      </c>
      <c r="D506" s="392" t="s">
        <v>824</v>
      </c>
      <c r="E506" s="12">
        <v>10</v>
      </c>
      <c r="F506" s="12">
        <v>15</v>
      </c>
      <c r="G506" s="12">
        <f t="shared" si="52"/>
        <v>25</v>
      </c>
      <c r="H506" s="12"/>
      <c r="I506" s="12"/>
      <c r="J506" s="12">
        <v>15</v>
      </c>
      <c r="K506" s="12">
        <f t="shared" si="53"/>
        <v>40</v>
      </c>
      <c r="L506" t="str">
        <f t="shared" si="50"/>
        <v>D</v>
      </c>
      <c r="M506" t="str">
        <f t="shared" si="51"/>
        <v>Failed</v>
      </c>
    </row>
    <row r="507" spans="1:22" x14ac:dyDescent="0.3">
      <c r="A507" s="12">
        <v>11</v>
      </c>
      <c r="B507" s="45" t="s">
        <v>205</v>
      </c>
      <c r="C507" s="45" t="s">
        <v>120</v>
      </c>
      <c r="D507" s="392" t="s">
        <v>784</v>
      </c>
      <c r="E507" s="12"/>
      <c r="F507" s="12"/>
      <c r="G507" s="12"/>
      <c r="H507" s="12"/>
      <c r="I507" s="12"/>
      <c r="J507" s="12"/>
      <c r="K507" s="12"/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 t="s">
        <v>33</v>
      </c>
      <c r="U507" t="s">
        <v>34</v>
      </c>
      <c r="V507" t="s">
        <v>35</v>
      </c>
    </row>
    <row r="508" spans="1:22" x14ac:dyDescent="0.3">
      <c r="A508" s="12">
        <v>12</v>
      </c>
      <c r="B508" s="45" t="s">
        <v>168</v>
      </c>
      <c r="C508" s="45" t="s">
        <v>121</v>
      </c>
      <c r="D508" s="392" t="s">
        <v>826</v>
      </c>
      <c r="E508" s="12">
        <v>9</v>
      </c>
      <c r="F508" s="12">
        <v>20</v>
      </c>
      <c r="G508" s="12">
        <f t="shared" si="52"/>
        <v>29</v>
      </c>
      <c r="H508" s="12"/>
      <c r="I508" s="12"/>
      <c r="J508" s="12">
        <v>24</v>
      </c>
      <c r="K508" s="12">
        <f t="shared" si="53"/>
        <v>53</v>
      </c>
      <c r="L508" t="str">
        <f t="shared" si="50"/>
        <v>C</v>
      </c>
      <c r="M508" t="str">
        <f t="shared" si="51"/>
        <v>Passed</v>
      </c>
      <c r="O508">
        <f>COUNTIF(L497:L550,"A")</f>
        <v>11</v>
      </c>
      <c r="P508">
        <f>COUNTIF(L497:L550,"B+")</f>
        <v>9</v>
      </c>
      <c r="Q508">
        <f>COUNTIF(L497:L550,"B")</f>
        <v>10</v>
      </c>
      <c r="R508">
        <f>COUNTIF(L497:L550,"C+")</f>
        <v>5</v>
      </c>
      <c r="S508">
        <f>COUNTIF(L497:L550,"C")</f>
        <v>3</v>
      </c>
      <c r="T508">
        <f>COUNTIF(L497:L550,"D+")</f>
        <v>4</v>
      </c>
      <c r="U508">
        <f>COUNTIF(L497:L550,"D")</f>
        <v>5</v>
      </c>
      <c r="V508">
        <f>COUNTIF(L497:L550,"F")</f>
        <v>1</v>
      </c>
    </row>
    <row r="509" spans="1:22" x14ac:dyDescent="0.3">
      <c r="A509" s="12">
        <v>13</v>
      </c>
      <c r="B509" s="45" t="s">
        <v>170</v>
      </c>
      <c r="C509" s="45" t="s">
        <v>124</v>
      </c>
      <c r="D509" s="392" t="s">
        <v>827</v>
      </c>
      <c r="E509" s="12">
        <v>10</v>
      </c>
      <c r="F509" s="12">
        <v>20</v>
      </c>
      <c r="G509" s="12">
        <f t="shared" si="52"/>
        <v>30</v>
      </c>
      <c r="H509" s="12"/>
      <c r="I509" s="12"/>
      <c r="J509" s="12">
        <v>45</v>
      </c>
      <c r="K509" s="12">
        <f t="shared" si="53"/>
        <v>75</v>
      </c>
      <c r="L509" t="str">
        <f t="shared" si="50"/>
        <v>B+</v>
      </c>
      <c r="M509" t="str">
        <f t="shared" si="51"/>
        <v>Passed</v>
      </c>
    </row>
    <row r="510" spans="1:22" x14ac:dyDescent="0.3">
      <c r="A510" s="12">
        <v>14</v>
      </c>
      <c r="B510" s="45" t="s">
        <v>172</v>
      </c>
      <c r="C510" s="45" t="s">
        <v>126</v>
      </c>
      <c r="D510" s="392" t="s">
        <v>794</v>
      </c>
      <c r="E510" s="12">
        <v>10</v>
      </c>
      <c r="F510" s="12">
        <v>16</v>
      </c>
      <c r="G510" s="12">
        <f t="shared" si="52"/>
        <v>26</v>
      </c>
      <c r="H510" s="12"/>
      <c r="I510" s="12"/>
      <c r="J510" s="12">
        <v>19</v>
      </c>
      <c r="K510" s="12">
        <f t="shared" si="53"/>
        <v>45</v>
      </c>
      <c r="L510" t="str">
        <f t="shared" si="50"/>
        <v>D+</v>
      </c>
      <c r="M510" t="str">
        <f t="shared" si="51"/>
        <v>Failed</v>
      </c>
    </row>
    <row r="511" spans="1:22" x14ac:dyDescent="0.3">
      <c r="A511" s="12">
        <v>15</v>
      </c>
      <c r="B511" s="45" t="s">
        <v>173</v>
      </c>
      <c r="C511" s="45" t="s">
        <v>127</v>
      </c>
      <c r="D511" s="392" t="s">
        <v>818</v>
      </c>
      <c r="E511" s="12">
        <v>10</v>
      </c>
      <c r="F511" s="12">
        <v>22</v>
      </c>
      <c r="G511" s="12">
        <f t="shared" si="52"/>
        <v>32</v>
      </c>
      <c r="H511" s="12"/>
      <c r="I511" s="12"/>
      <c r="J511" s="12">
        <v>22</v>
      </c>
      <c r="K511" s="12">
        <f t="shared" si="53"/>
        <v>54</v>
      </c>
      <c r="L511" t="str">
        <f t="shared" si="50"/>
        <v>C</v>
      </c>
      <c r="M511" t="str">
        <f t="shared" si="51"/>
        <v>Passed</v>
      </c>
    </row>
    <row r="512" spans="1:22" x14ac:dyDescent="0.3">
      <c r="A512" s="12">
        <v>16</v>
      </c>
      <c r="B512" s="45" t="s">
        <v>175</v>
      </c>
      <c r="C512" s="45" t="s">
        <v>131</v>
      </c>
      <c r="D512" s="392" t="s">
        <v>820</v>
      </c>
      <c r="E512" s="12">
        <v>10</v>
      </c>
      <c r="F512" s="12">
        <v>20</v>
      </c>
      <c r="G512" s="12">
        <f t="shared" si="52"/>
        <v>30</v>
      </c>
      <c r="H512" s="12"/>
      <c r="I512" s="12"/>
      <c r="J512" s="12">
        <v>55</v>
      </c>
      <c r="K512" s="12">
        <f t="shared" si="53"/>
        <v>85</v>
      </c>
      <c r="L512" t="str">
        <f t="shared" si="50"/>
        <v>A</v>
      </c>
      <c r="M512" t="str">
        <f t="shared" si="51"/>
        <v>Passed</v>
      </c>
    </row>
    <row r="513" spans="1:13" x14ac:dyDescent="0.3">
      <c r="A513" s="12">
        <v>17</v>
      </c>
      <c r="B513" s="277" t="s">
        <v>178</v>
      </c>
      <c r="C513" s="45" t="s">
        <v>133</v>
      </c>
      <c r="D513" s="392" t="s">
        <v>829</v>
      </c>
      <c r="E513" s="12">
        <v>10</v>
      </c>
      <c r="F513" s="12">
        <v>21</v>
      </c>
      <c r="G513" s="12">
        <f t="shared" si="52"/>
        <v>31</v>
      </c>
      <c r="H513" s="12"/>
      <c r="I513" s="12"/>
      <c r="J513" s="12">
        <v>51</v>
      </c>
      <c r="K513" s="12">
        <f t="shared" si="53"/>
        <v>82</v>
      </c>
      <c r="L513" t="str">
        <f t="shared" si="50"/>
        <v>A</v>
      </c>
      <c r="M513" t="str">
        <f t="shared" si="51"/>
        <v>Passed</v>
      </c>
    </row>
    <row r="514" spans="1:13" x14ac:dyDescent="0.3">
      <c r="A514" s="12">
        <v>18</v>
      </c>
      <c r="B514" s="45" t="s">
        <v>534</v>
      </c>
      <c r="C514" s="303" t="s">
        <v>363</v>
      </c>
      <c r="D514" s="392" t="s">
        <v>815</v>
      </c>
      <c r="E514" s="12">
        <v>7.5</v>
      </c>
      <c r="F514" s="12">
        <v>10</v>
      </c>
      <c r="G514" s="12">
        <f t="shared" si="52"/>
        <v>17.5</v>
      </c>
      <c r="H514" s="12"/>
      <c r="I514" s="12"/>
      <c r="J514" s="12">
        <v>2</v>
      </c>
      <c r="K514" s="241">
        <f t="shared" si="53"/>
        <v>19.5</v>
      </c>
      <c r="L514" t="str">
        <f t="shared" si="50"/>
        <v>F</v>
      </c>
      <c r="M514" t="str">
        <f t="shared" si="51"/>
        <v>Failed</v>
      </c>
    </row>
    <row r="515" spans="1:13" x14ac:dyDescent="0.3">
      <c r="A515" s="12">
        <v>19</v>
      </c>
      <c r="B515" s="389" t="s">
        <v>144</v>
      </c>
      <c r="C515" s="304" t="s">
        <v>137</v>
      </c>
      <c r="D515" s="392" t="s">
        <v>803</v>
      </c>
      <c r="E515" s="12">
        <v>9</v>
      </c>
      <c r="F515" s="12">
        <v>17</v>
      </c>
      <c r="G515" s="12">
        <f t="shared" si="52"/>
        <v>26</v>
      </c>
      <c r="H515" s="12"/>
      <c r="I515" s="12"/>
      <c r="J515" s="12">
        <v>20</v>
      </c>
      <c r="K515" s="12">
        <f t="shared" si="53"/>
        <v>46</v>
      </c>
      <c r="L515" t="str">
        <f t="shared" si="50"/>
        <v>D+</v>
      </c>
      <c r="M515" t="str">
        <f t="shared" si="51"/>
        <v>Failed</v>
      </c>
    </row>
    <row r="516" spans="1:13" x14ac:dyDescent="0.3">
      <c r="A516" s="12">
        <v>20</v>
      </c>
      <c r="B516" s="390" t="s">
        <v>204</v>
      </c>
      <c r="C516" s="390" t="s">
        <v>138</v>
      </c>
      <c r="D516" s="392" t="s">
        <v>817</v>
      </c>
      <c r="E516" s="12">
        <v>10</v>
      </c>
      <c r="F516" s="12">
        <v>20</v>
      </c>
      <c r="G516" s="12">
        <f t="shared" si="52"/>
        <v>30</v>
      </c>
      <c r="H516" s="12"/>
      <c r="I516" s="12"/>
      <c r="J516" s="12">
        <v>37</v>
      </c>
      <c r="K516" s="12">
        <f t="shared" si="53"/>
        <v>67</v>
      </c>
      <c r="L516" t="str">
        <f t="shared" si="50"/>
        <v>B</v>
      </c>
      <c r="M516" t="str">
        <f t="shared" si="51"/>
        <v>Passed</v>
      </c>
    </row>
    <row r="517" spans="1:13" x14ac:dyDescent="0.3">
      <c r="A517" s="12">
        <v>21</v>
      </c>
      <c r="B517" s="305" t="s">
        <v>181</v>
      </c>
      <c r="C517" s="45" t="s">
        <v>139</v>
      </c>
      <c r="D517" s="392" t="s">
        <v>823</v>
      </c>
      <c r="E517" s="12">
        <v>10</v>
      </c>
      <c r="F517" s="12">
        <v>25</v>
      </c>
      <c r="G517" s="12">
        <f t="shared" si="52"/>
        <v>35</v>
      </c>
      <c r="H517" s="12"/>
      <c r="I517" s="12"/>
      <c r="J517" s="12">
        <v>44</v>
      </c>
      <c r="K517" s="12">
        <f t="shared" si="53"/>
        <v>79</v>
      </c>
      <c r="L517" t="str">
        <f t="shared" si="50"/>
        <v>B+</v>
      </c>
      <c r="M517" t="str">
        <f t="shared" si="51"/>
        <v>Passed</v>
      </c>
    </row>
    <row r="518" spans="1:13" x14ac:dyDescent="0.3">
      <c r="A518" s="12">
        <v>22</v>
      </c>
      <c r="B518" s="391" t="s">
        <v>201</v>
      </c>
      <c r="C518" s="45" t="s">
        <v>141</v>
      </c>
      <c r="D518" s="392" t="s">
        <v>801</v>
      </c>
      <c r="E518" s="12">
        <v>10</v>
      </c>
      <c r="F518" s="12">
        <v>16</v>
      </c>
      <c r="G518" s="12">
        <f t="shared" si="52"/>
        <v>26</v>
      </c>
      <c r="H518" s="12"/>
      <c r="I518" s="12"/>
      <c r="J518" s="12">
        <v>26</v>
      </c>
      <c r="K518" s="12">
        <f t="shared" si="53"/>
        <v>52</v>
      </c>
      <c r="L518" t="str">
        <f t="shared" si="50"/>
        <v>C</v>
      </c>
      <c r="M518" t="str">
        <f t="shared" si="51"/>
        <v>Passed</v>
      </c>
    </row>
    <row r="519" spans="1:13" x14ac:dyDescent="0.3">
      <c r="A519" s="12">
        <v>23</v>
      </c>
      <c r="B519" s="45" t="s">
        <v>176</v>
      </c>
      <c r="C519" s="45" t="s">
        <v>481</v>
      </c>
      <c r="D519" s="392" t="s">
        <v>816</v>
      </c>
      <c r="E519" s="12">
        <v>9</v>
      </c>
      <c r="F519" s="12">
        <v>17</v>
      </c>
      <c r="G519" s="12">
        <f t="shared" si="52"/>
        <v>26</v>
      </c>
      <c r="H519" s="12"/>
      <c r="I519" s="12"/>
      <c r="J519" s="12">
        <v>31</v>
      </c>
      <c r="K519" s="12">
        <f t="shared" si="53"/>
        <v>57</v>
      </c>
      <c r="L519" t="str">
        <f t="shared" si="50"/>
        <v>C+</v>
      </c>
      <c r="M519" t="str">
        <f t="shared" si="51"/>
        <v>Passed</v>
      </c>
    </row>
    <row r="520" spans="1:13" x14ac:dyDescent="0.3">
      <c r="A520" s="12">
        <v>24</v>
      </c>
      <c r="B520" s="45" t="s">
        <v>148</v>
      </c>
      <c r="C520" s="45" t="s">
        <v>96</v>
      </c>
      <c r="D520" s="392" t="s">
        <v>825</v>
      </c>
      <c r="E520" s="12">
        <v>10</v>
      </c>
      <c r="F520" s="12">
        <v>17</v>
      </c>
      <c r="G520" s="12">
        <f t="shared" si="52"/>
        <v>27</v>
      </c>
      <c r="H520" s="12"/>
      <c r="I520" s="12"/>
      <c r="J520" s="12">
        <v>15</v>
      </c>
      <c r="K520" s="12">
        <f t="shared" si="53"/>
        <v>42</v>
      </c>
      <c r="L520" t="str">
        <f t="shared" si="50"/>
        <v>D</v>
      </c>
      <c r="M520" t="str">
        <f t="shared" si="51"/>
        <v>Failed</v>
      </c>
    </row>
    <row r="521" spans="1:13" x14ac:dyDescent="0.3">
      <c r="A521" s="12">
        <v>25</v>
      </c>
      <c r="B521" s="45" t="s">
        <v>153</v>
      </c>
      <c r="C521" s="45" t="s">
        <v>101</v>
      </c>
      <c r="D521" s="392" t="s">
        <v>813</v>
      </c>
      <c r="E521" s="12">
        <v>9</v>
      </c>
      <c r="F521" s="12">
        <v>17</v>
      </c>
      <c r="G521" s="12">
        <f t="shared" si="52"/>
        <v>26</v>
      </c>
      <c r="H521" s="12"/>
      <c r="I521" s="12"/>
      <c r="J521" s="12">
        <v>19</v>
      </c>
      <c r="K521" s="12">
        <f t="shared" si="53"/>
        <v>45</v>
      </c>
      <c r="L521" t="str">
        <f t="shared" si="50"/>
        <v>D+</v>
      </c>
      <c r="M521" t="str">
        <f t="shared" si="51"/>
        <v>Failed</v>
      </c>
    </row>
    <row r="522" spans="1:13" x14ac:dyDescent="0.3">
      <c r="A522" s="12">
        <v>26</v>
      </c>
      <c r="B522" s="45" t="s">
        <v>154</v>
      </c>
      <c r="C522" s="45" t="s">
        <v>102</v>
      </c>
      <c r="D522" s="392" t="s">
        <v>830</v>
      </c>
      <c r="E522" s="12">
        <v>10</v>
      </c>
      <c r="F522" s="12">
        <v>20</v>
      </c>
      <c r="G522" s="12">
        <f t="shared" si="52"/>
        <v>30</v>
      </c>
      <c r="H522" s="12"/>
      <c r="I522" s="12"/>
      <c r="J522" s="12">
        <v>31</v>
      </c>
      <c r="K522" s="12">
        <f t="shared" si="53"/>
        <v>61</v>
      </c>
      <c r="L522" t="str">
        <f t="shared" si="50"/>
        <v>B</v>
      </c>
      <c r="M522" t="str">
        <f t="shared" si="51"/>
        <v>Passed</v>
      </c>
    </row>
    <row r="523" spans="1:13" x14ac:dyDescent="0.3">
      <c r="A523" s="12">
        <v>27</v>
      </c>
      <c r="B523" s="45" t="s">
        <v>162</v>
      </c>
      <c r="C523" s="45" t="s">
        <v>112</v>
      </c>
      <c r="D523" s="392" t="s">
        <v>808</v>
      </c>
      <c r="E523" s="12">
        <v>9</v>
      </c>
      <c r="F523" s="12">
        <v>21</v>
      </c>
      <c r="G523" s="12">
        <f t="shared" si="52"/>
        <v>30</v>
      </c>
      <c r="H523" s="12"/>
      <c r="I523" s="12"/>
      <c r="J523" s="12">
        <v>13</v>
      </c>
      <c r="K523" s="12">
        <f t="shared" si="53"/>
        <v>43</v>
      </c>
      <c r="L523" t="str">
        <f t="shared" si="50"/>
        <v>D</v>
      </c>
      <c r="M523" t="str">
        <f t="shared" si="51"/>
        <v>Failed</v>
      </c>
    </row>
    <row r="524" spans="1:13" x14ac:dyDescent="0.3">
      <c r="A524" s="12">
        <v>28</v>
      </c>
      <c r="B524" s="45" t="s">
        <v>164</v>
      </c>
      <c r="C524" s="45" t="s">
        <v>114</v>
      </c>
      <c r="D524" s="392" t="s">
        <v>822</v>
      </c>
      <c r="E524" s="12">
        <v>10</v>
      </c>
      <c r="F524" s="12">
        <v>17</v>
      </c>
      <c r="G524" s="12">
        <f t="shared" si="52"/>
        <v>27</v>
      </c>
      <c r="H524" s="12"/>
      <c r="I524" s="12"/>
      <c r="J524" s="12">
        <v>37</v>
      </c>
      <c r="K524" s="12">
        <f t="shared" si="53"/>
        <v>64</v>
      </c>
      <c r="L524" t="str">
        <f t="shared" si="50"/>
        <v>B</v>
      </c>
      <c r="M524" t="str">
        <f t="shared" si="51"/>
        <v>Passed</v>
      </c>
    </row>
    <row r="525" spans="1:13" x14ac:dyDescent="0.3">
      <c r="A525" s="12">
        <v>29</v>
      </c>
      <c r="B525" s="277" t="s">
        <v>165</v>
      </c>
      <c r="C525" s="45" t="s">
        <v>116</v>
      </c>
      <c r="D525" s="392" t="s">
        <v>788</v>
      </c>
      <c r="E525" s="12">
        <v>10</v>
      </c>
      <c r="F525" s="12">
        <v>23</v>
      </c>
      <c r="G525" s="12">
        <f t="shared" si="52"/>
        <v>33</v>
      </c>
      <c r="H525" s="12"/>
      <c r="I525" s="12"/>
      <c r="J525" s="12">
        <v>50</v>
      </c>
      <c r="K525" s="12">
        <f t="shared" si="53"/>
        <v>83</v>
      </c>
      <c r="L525" t="str">
        <f t="shared" ref="L525:L550" si="54">IF(K525&gt;=80,"A",IF(K525&gt;=70,"B+",IF(K525&gt;=60,"B",IF(K525&gt;=55,"C+",IF(K525&gt;=50,"C",IF(K525&gt;=45,"D+",IF(K525&gt;=40,"D","F")))))))</f>
        <v>A</v>
      </c>
      <c r="M525" t="str">
        <f t="shared" ref="M525:M550" si="55">IF(K525&gt;=50,"Passed","Failed")</f>
        <v>Passed</v>
      </c>
    </row>
    <row r="526" spans="1:13" x14ac:dyDescent="0.3">
      <c r="A526" s="12">
        <v>30</v>
      </c>
      <c r="B526" s="45" t="s">
        <v>206</v>
      </c>
      <c r="C526" s="45" t="s">
        <v>123</v>
      </c>
      <c r="D526" s="392" t="s">
        <v>791</v>
      </c>
      <c r="E526" s="12">
        <v>10</v>
      </c>
      <c r="F526" s="12">
        <v>17</v>
      </c>
      <c r="G526" s="12">
        <f t="shared" si="52"/>
        <v>27</v>
      </c>
      <c r="H526" s="12"/>
      <c r="I526" s="12"/>
      <c r="J526" s="12">
        <v>39</v>
      </c>
      <c r="K526" s="12">
        <f t="shared" si="53"/>
        <v>66</v>
      </c>
      <c r="L526" t="str">
        <f t="shared" si="54"/>
        <v>B</v>
      </c>
      <c r="M526" t="str">
        <f t="shared" si="55"/>
        <v>Passed</v>
      </c>
    </row>
    <row r="527" spans="1:13" x14ac:dyDescent="0.3">
      <c r="A527" s="12">
        <v>31</v>
      </c>
      <c r="B527" s="429" t="s">
        <v>202</v>
      </c>
      <c r="C527" s="429" t="s">
        <v>135</v>
      </c>
      <c r="D527" s="442" t="s">
        <v>784</v>
      </c>
      <c r="E527" s="429">
        <v>9</v>
      </c>
      <c r="F527" s="429">
        <v>16</v>
      </c>
      <c r="G527" s="429">
        <f t="shared" si="52"/>
        <v>25</v>
      </c>
      <c r="H527" s="429"/>
      <c r="I527" s="429"/>
      <c r="J527" s="429" t="s">
        <v>1938</v>
      </c>
      <c r="K527" s="12"/>
    </row>
    <row r="528" spans="1:13" x14ac:dyDescent="0.3">
      <c r="A528" s="12">
        <v>32</v>
      </c>
      <c r="B528" s="45" t="s">
        <v>1249</v>
      </c>
      <c r="C528" s="45" t="s">
        <v>422</v>
      </c>
      <c r="D528" s="392" t="s">
        <v>821</v>
      </c>
      <c r="E528" s="12">
        <v>10</v>
      </c>
      <c r="F528" s="12">
        <v>26</v>
      </c>
      <c r="G528" s="12">
        <f t="shared" si="52"/>
        <v>36</v>
      </c>
      <c r="H528" s="12"/>
      <c r="I528" s="12"/>
      <c r="J528" s="12">
        <v>24</v>
      </c>
      <c r="K528" s="12">
        <f t="shared" si="53"/>
        <v>60</v>
      </c>
      <c r="L528" t="str">
        <f t="shared" si="54"/>
        <v>B</v>
      </c>
      <c r="M528" t="str">
        <f t="shared" si="55"/>
        <v>Passed</v>
      </c>
    </row>
    <row r="529" spans="1:13" x14ac:dyDescent="0.3">
      <c r="A529" s="12">
        <v>33</v>
      </c>
      <c r="B529" s="45" t="s">
        <v>150</v>
      </c>
      <c r="C529" s="45" t="s">
        <v>98</v>
      </c>
      <c r="D529" s="392" t="s">
        <v>786</v>
      </c>
      <c r="E529" s="12">
        <v>10</v>
      </c>
      <c r="F529" s="12">
        <v>25</v>
      </c>
      <c r="G529" s="12">
        <f t="shared" si="52"/>
        <v>35</v>
      </c>
      <c r="H529" s="12"/>
      <c r="I529" s="12"/>
      <c r="J529" s="12">
        <v>30</v>
      </c>
      <c r="K529" s="12">
        <f t="shared" si="53"/>
        <v>65</v>
      </c>
      <c r="L529" t="str">
        <f t="shared" si="54"/>
        <v>B</v>
      </c>
      <c r="M529" t="str">
        <f t="shared" si="55"/>
        <v>Passed</v>
      </c>
    </row>
    <row r="530" spans="1:13" x14ac:dyDescent="0.3">
      <c r="A530" s="12">
        <v>34</v>
      </c>
      <c r="B530" s="45" t="s">
        <v>151</v>
      </c>
      <c r="C530" s="45" t="s">
        <v>99</v>
      </c>
      <c r="D530" s="392" t="s">
        <v>811</v>
      </c>
      <c r="E530" s="12">
        <v>8</v>
      </c>
      <c r="F530" s="12">
        <v>25</v>
      </c>
      <c r="G530" s="12">
        <f t="shared" si="52"/>
        <v>33</v>
      </c>
      <c r="H530" s="12"/>
      <c r="I530" s="12"/>
      <c r="J530" s="12">
        <v>37</v>
      </c>
      <c r="K530" s="12">
        <f t="shared" si="53"/>
        <v>70</v>
      </c>
      <c r="L530" t="str">
        <f t="shared" si="54"/>
        <v>B+</v>
      </c>
      <c r="M530" t="str">
        <f t="shared" si="55"/>
        <v>Passed</v>
      </c>
    </row>
    <row r="531" spans="1:13" x14ac:dyDescent="0.3">
      <c r="A531" s="12">
        <v>35</v>
      </c>
      <c r="B531" s="45" t="s">
        <v>157</v>
      </c>
      <c r="C531" s="45" t="s">
        <v>106</v>
      </c>
      <c r="D531" s="392" t="s">
        <v>812</v>
      </c>
      <c r="E531" s="12">
        <v>10</v>
      </c>
      <c r="F531" s="12">
        <v>25</v>
      </c>
      <c r="G531" s="12">
        <f t="shared" si="52"/>
        <v>35</v>
      </c>
      <c r="H531" s="12"/>
      <c r="I531" s="12"/>
      <c r="J531" s="12">
        <v>35</v>
      </c>
      <c r="K531" s="12">
        <f t="shared" si="53"/>
        <v>70</v>
      </c>
      <c r="L531" t="str">
        <f t="shared" si="54"/>
        <v>B+</v>
      </c>
      <c r="M531" t="str">
        <f t="shared" si="55"/>
        <v>Passed</v>
      </c>
    </row>
    <row r="532" spans="1:13" x14ac:dyDescent="0.3">
      <c r="A532" s="12">
        <v>36</v>
      </c>
      <c r="B532" s="45" t="s">
        <v>158</v>
      </c>
      <c r="C532" s="45" t="s">
        <v>107</v>
      </c>
      <c r="D532" s="392" t="s">
        <v>790</v>
      </c>
      <c r="E532" s="12">
        <v>10</v>
      </c>
      <c r="F532" s="12">
        <v>25</v>
      </c>
      <c r="G532" s="12">
        <f t="shared" si="52"/>
        <v>35</v>
      </c>
      <c r="H532" s="12"/>
      <c r="I532" s="12"/>
      <c r="J532" s="12">
        <v>38</v>
      </c>
      <c r="K532" s="12">
        <f t="shared" si="53"/>
        <v>73</v>
      </c>
      <c r="L532" t="str">
        <f t="shared" si="54"/>
        <v>B+</v>
      </c>
      <c r="M532" t="str">
        <f t="shared" si="55"/>
        <v>Passed</v>
      </c>
    </row>
    <row r="533" spans="1:13" x14ac:dyDescent="0.3">
      <c r="A533" s="12">
        <v>37</v>
      </c>
      <c r="B533" s="45" t="s">
        <v>159</v>
      </c>
      <c r="C533" s="45" t="s">
        <v>108</v>
      </c>
      <c r="D533" s="392" t="s">
        <v>809</v>
      </c>
      <c r="E533" s="12">
        <v>10</v>
      </c>
      <c r="F533" s="12">
        <v>20</v>
      </c>
      <c r="G533" s="12">
        <f t="shared" si="52"/>
        <v>30</v>
      </c>
      <c r="H533" s="12"/>
      <c r="I533" s="12"/>
      <c r="J533" s="12">
        <v>57</v>
      </c>
      <c r="K533" s="12">
        <f t="shared" si="53"/>
        <v>87</v>
      </c>
      <c r="L533" t="str">
        <f t="shared" si="54"/>
        <v>A</v>
      </c>
      <c r="M533" t="str">
        <f t="shared" si="55"/>
        <v>Passed</v>
      </c>
    </row>
    <row r="534" spans="1:13" x14ac:dyDescent="0.3">
      <c r="A534" s="12">
        <v>38</v>
      </c>
      <c r="B534" s="45" t="s">
        <v>167</v>
      </c>
      <c r="C534" s="45" t="s">
        <v>118</v>
      </c>
      <c r="D534" s="392" t="s">
        <v>796</v>
      </c>
      <c r="E534" s="12">
        <v>10</v>
      </c>
      <c r="F534" s="12">
        <v>20</v>
      </c>
      <c r="G534" s="12">
        <f t="shared" si="52"/>
        <v>30</v>
      </c>
      <c r="H534" s="12"/>
      <c r="I534" s="12"/>
      <c r="J534" s="12">
        <v>25</v>
      </c>
      <c r="K534" s="12">
        <f t="shared" si="53"/>
        <v>55</v>
      </c>
      <c r="L534" t="str">
        <f t="shared" si="54"/>
        <v>C+</v>
      </c>
      <c r="M534" t="str">
        <f t="shared" si="55"/>
        <v>Passed</v>
      </c>
    </row>
    <row r="535" spans="1:13" x14ac:dyDescent="0.3">
      <c r="A535" s="12">
        <v>39</v>
      </c>
      <c r="B535" s="45" t="s">
        <v>171</v>
      </c>
      <c r="C535" s="45" t="s">
        <v>125</v>
      </c>
      <c r="D535" s="392" t="s">
        <v>793</v>
      </c>
      <c r="E535" s="12">
        <v>10</v>
      </c>
      <c r="F535" s="12">
        <v>22</v>
      </c>
      <c r="G535" s="12">
        <f t="shared" si="52"/>
        <v>32</v>
      </c>
      <c r="H535" s="12"/>
      <c r="I535" s="12"/>
      <c r="J535" s="12">
        <v>8</v>
      </c>
      <c r="K535" s="12">
        <f t="shared" si="53"/>
        <v>40</v>
      </c>
      <c r="L535" t="str">
        <f t="shared" si="54"/>
        <v>D</v>
      </c>
      <c r="M535" t="str">
        <f t="shared" si="55"/>
        <v>Failed</v>
      </c>
    </row>
    <row r="536" spans="1:13" x14ac:dyDescent="0.3">
      <c r="A536" s="12">
        <v>40</v>
      </c>
      <c r="B536" s="45" t="s">
        <v>174</v>
      </c>
      <c r="C536" s="45" t="s">
        <v>128</v>
      </c>
      <c r="D536" s="392" t="s">
        <v>799</v>
      </c>
      <c r="E536" s="12">
        <v>10</v>
      </c>
      <c r="F536" s="12">
        <v>17</v>
      </c>
      <c r="G536" s="12">
        <f t="shared" si="52"/>
        <v>27</v>
      </c>
      <c r="H536" s="12"/>
      <c r="I536" s="12"/>
      <c r="J536" s="12">
        <v>38</v>
      </c>
      <c r="K536" s="12">
        <f t="shared" si="53"/>
        <v>65</v>
      </c>
      <c r="L536" t="str">
        <f t="shared" si="54"/>
        <v>B</v>
      </c>
      <c r="M536" t="str">
        <f t="shared" si="55"/>
        <v>Passed</v>
      </c>
    </row>
    <row r="537" spans="1:13" x14ac:dyDescent="0.3">
      <c r="A537" s="12">
        <v>41</v>
      </c>
      <c r="B537" s="45" t="s">
        <v>220</v>
      </c>
      <c r="C537" s="45" t="s">
        <v>130</v>
      </c>
      <c r="D537" s="392" t="s">
        <v>802</v>
      </c>
      <c r="E537" s="12">
        <v>9</v>
      </c>
      <c r="F537" s="12">
        <v>16</v>
      </c>
      <c r="G537" s="12">
        <f t="shared" si="52"/>
        <v>25</v>
      </c>
      <c r="H537" s="12"/>
      <c r="I537" s="12"/>
      <c r="J537" s="12">
        <v>34</v>
      </c>
      <c r="K537" s="12">
        <f t="shared" si="53"/>
        <v>59</v>
      </c>
      <c r="L537" t="str">
        <f t="shared" si="54"/>
        <v>C+</v>
      </c>
      <c r="M537" t="str">
        <f t="shared" si="55"/>
        <v>Passed</v>
      </c>
    </row>
    <row r="538" spans="1:13" x14ac:dyDescent="0.3">
      <c r="A538" s="12">
        <v>42</v>
      </c>
      <c r="B538" s="45" t="s">
        <v>659</v>
      </c>
      <c r="C538" s="45" t="s">
        <v>117</v>
      </c>
      <c r="D538" s="392" t="s">
        <v>792</v>
      </c>
      <c r="E538" s="12">
        <v>10</v>
      </c>
      <c r="F538" s="12">
        <v>24</v>
      </c>
      <c r="G538" s="12">
        <f t="shared" si="52"/>
        <v>34</v>
      </c>
      <c r="H538" s="12"/>
      <c r="I538" s="12"/>
      <c r="J538" s="12">
        <v>45</v>
      </c>
      <c r="K538" s="12">
        <f t="shared" si="53"/>
        <v>79</v>
      </c>
      <c r="L538" t="str">
        <f t="shared" si="54"/>
        <v>B+</v>
      </c>
      <c r="M538" t="str">
        <f t="shared" si="55"/>
        <v>Passed</v>
      </c>
    </row>
    <row r="539" spans="1:13" x14ac:dyDescent="0.3">
      <c r="A539" s="12">
        <v>43</v>
      </c>
      <c r="B539" s="45" t="s">
        <v>146</v>
      </c>
      <c r="C539" s="45" t="s">
        <v>94</v>
      </c>
      <c r="D539" s="392" t="s">
        <v>804</v>
      </c>
      <c r="E539" s="12">
        <v>10</v>
      </c>
      <c r="F539" s="12">
        <v>16</v>
      </c>
      <c r="G539" s="12">
        <f t="shared" si="52"/>
        <v>26</v>
      </c>
      <c r="H539" s="12"/>
      <c r="I539" s="12"/>
      <c r="J539" s="12">
        <v>34</v>
      </c>
      <c r="K539" s="12">
        <f t="shared" si="53"/>
        <v>60</v>
      </c>
      <c r="L539" t="str">
        <f t="shared" si="54"/>
        <v>B</v>
      </c>
      <c r="M539" t="str">
        <f t="shared" si="55"/>
        <v>Passed</v>
      </c>
    </row>
    <row r="540" spans="1:13" x14ac:dyDescent="0.3">
      <c r="A540" s="12">
        <v>44</v>
      </c>
      <c r="B540" s="277" t="s">
        <v>147</v>
      </c>
      <c r="C540" s="45" t="s">
        <v>95</v>
      </c>
      <c r="D540" s="392" t="s">
        <v>789</v>
      </c>
      <c r="E540" s="12">
        <v>10</v>
      </c>
      <c r="F540" s="12">
        <v>20</v>
      </c>
      <c r="G540" s="12">
        <f t="shared" si="52"/>
        <v>30</v>
      </c>
      <c r="H540" s="12"/>
      <c r="I540" s="12"/>
      <c r="J540" s="12">
        <v>49</v>
      </c>
      <c r="K540" s="12">
        <f t="shared" si="53"/>
        <v>79</v>
      </c>
      <c r="L540" t="str">
        <f t="shared" si="54"/>
        <v>B+</v>
      </c>
      <c r="M540" t="str">
        <f t="shared" si="55"/>
        <v>Passed</v>
      </c>
    </row>
    <row r="541" spans="1:13" x14ac:dyDescent="0.3">
      <c r="A541" s="12">
        <v>45</v>
      </c>
      <c r="B541" s="45" t="s">
        <v>155</v>
      </c>
      <c r="C541" s="45" t="s">
        <v>103</v>
      </c>
      <c r="D541" s="392" t="s">
        <v>795</v>
      </c>
      <c r="E541" s="12">
        <v>10</v>
      </c>
      <c r="F541" s="12">
        <v>20</v>
      </c>
      <c r="G541" s="12">
        <f t="shared" si="52"/>
        <v>30</v>
      </c>
      <c r="H541" s="12"/>
      <c r="I541" s="12"/>
      <c r="J541" s="12">
        <v>37</v>
      </c>
      <c r="K541" s="12">
        <f t="shared" si="53"/>
        <v>67</v>
      </c>
      <c r="L541" t="str">
        <f t="shared" si="54"/>
        <v>B</v>
      </c>
      <c r="M541" t="str">
        <f t="shared" si="55"/>
        <v>Passed</v>
      </c>
    </row>
    <row r="542" spans="1:13" x14ac:dyDescent="0.3">
      <c r="A542" s="12">
        <v>46</v>
      </c>
      <c r="B542" s="45" t="s">
        <v>182</v>
      </c>
      <c r="C542" s="45" t="s">
        <v>105</v>
      </c>
      <c r="D542" s="392" t="s">
        <v>784</v>
      </c>
      <c r="E542" s="12"/>
      <c r="F542" s="12"/>
      <c r="G542" s="12"/>
      <c r="H542" s="12"/>
      <c r="I542" s="12"/>
      <c r="J542" s="12"/>
      <c r="K542" s="12"/>
    </row>
    <row r="543" spans="1:13" x14ac:dyDescent="0.3">
      <c r="A543" s="12">
        <v>47</v>
      </c>
      <c r="B543" s="45" t="s">
        <v>161</v>
      </c>
      <c r="C543" s="45" t="s">
        <v>111</v>
      </c>
      <c r="D543" s="392" t="s">
        <v>784</v>
      </c>
      <c r="E543" s="12"/>
      <c r="F543" s="12"/>
      <c r="G543" s="12"/>
      <c r="H543" s="12"/>
      <c r="I543" s="12"/>
      <c r="J543" s="12"/>
      <c r="K543" s="12"/>
    </row>
    <row r="544" spans="1:13" x14ac:dyDescent="0.3">
      <c r="A544" s="12">
        <v>48</v>
      </c>
      <c r="B544" s="45" t="s">
        <v>169</v>
      </c>
      <c r="C544" s="45" t="s">
        <v>122</v>
      </c>
      <c r="D544" s="392" t="s">
        <v>784</v>
      </c>
      <c r="E544" s="12"/>
      <c r="F544" s="12"/>
      <c r="G544" s="12"/>
      <c r="H544" s="12"/>
      <c r="I544" s="12"/>
      <c r="J544" s="12"/>
      <c r="K544" s="12"/>
    </row>
    <row r="545" spans="1:13" x14ac:dyDescent="0.3">
      <c r="A545" s="12">
        <v>49</v>
      </c>
      <c r="B545" s="45" t="s">
        <v>648</v>
      </c>
      <c r="C545" s="45" t="s">
        <v>129</v>
      </c>
      <c r="D545" s="392" t="s">
        <v>787</v>
      </c>
      <c r="E545" s="12">
        <v>10</v>
      </c>
      <c r="F545" s="12">
        <v>22</v>
      </c>
      <c r="G545" s="12">
        <f t="shared" si="52"/>
        <v>32</v>
      </c>
      <c r="H545" s="12"/>
      <c r="I545" s="12"/>
      <c r="J545" s="12">
        <v>27</v>
      </c>
      <c r="K545" s="12">
        <f t="shared" si="53"/>
        <v>59</v>
      </c>
      <c r="L545" t="str">
        <f t="shared" si="54"/>
        <v>C+</v>
      </c>
      <c r="M545" t="str">
        <f t="shared" si="55"/>
        <v>Passed</v>
      </c>
    </row>
    <row r="546" spans="1:13" x14ac:dyDescent="0.3">
      <c r="A546" s="12">
        <v>50</v>
      </c>
      <c r="B546" s="45" t="s">
        <v>177</v>
      </c>
      <c r="C546" s="45" t="s">
        <v>132</v>
      </c>
      <c r="D546" s="392" t="s">
        <v>807</v>
      </c>
      <c r="E546" s="12">
        <v>10</v>
      </c>
      <c r="F546" s="12">
        <v>22</v>
      </c>
      <c r="G546" s="12">
        <f t="shared" si="52"/>
        <v>32</v>
      </c>
      <c r="H546" s="12"/>
      <c r="I546" s="12"/>
      <c r="J546" s="12">
        <v>53</v>
      </c>
      <c r="K546" s="12">
        <f t="shared" si="53"/>
        <v>85</v>
      </c>
      <c r="L546" t="str">
        <f t="shared" si="54"/>
        <v>A</v>
      </c>
      <c r="M546" t="str">
        <f t="shared" si="55"/>
        <v>Passed</v>
      </c>
    </row>
    <row r="547" spans="1:13" x14ac:dyDescent="0.3">
      <c r="A547" s="12">
        <v>51</v>
      </c>
      <c r="B547" s="45" t="s">
        <v>179</v>
      </c>
      <c r="C547" s="45" t="s">
        <v>665</v>
      </c>
      <c r="D547" s="392" t="s">
        <v>805</v>
      </c>
      <c r="E547" s="12">
        <v>10</v>
      </c>
      <c r="F547" s="12">
        <v>25</v>
      </c>
      <c r="G547" s="12">
        <f t="shared" si="52"/>
        <v>35</v>
      </c>
      <c r="H547" s="12"/>
      <c r="I547" s="12"/>
      <c r="J547" s="12">
        <v>50</v>
      </c>
      <c r="K547" s="12">
        <f t="shared" si="53"/>
        <v>85</v>
      </c>
      <c r="L547" t="str">
        <f t="shared" si="54"/>
        <v>A</v>
      </c>
      <c r="M547" t="str">
        <f t="shared" si="55"/>
        <v>Passed</v>
      </c>
    </row>
    <row r="548" spans="1:13" x14ac:dyDescent="0.3">
      <c r="A548" s="12">
        <v>52</v>
      </c>
      <c r="B548" s="45" t="s">
        <v>180</v>
      </c>
      <c r="C548" s="45" t="s">
        <v>136</v>
      </c>
      <c r="D548" s="392" t="s">
        <v>806</v>
      </c>
      <c r="E548" s="12">
        <v>10</v>
      </c>
      <c r="F548" s="12">
        <v>24</v>
      </c>
      <c r="G548" s="12">
        <f t="shared" si="52"/>
        <v>34</v>
      </c>
      <c r="H548" s="12"/>
      <c r="I548" s="12"/>
      <c r="J548" s="12">
        <v>11</v>
      </c>
      <c r="K548" s="12">
        <f t="shared" si="53"/>
        <v>45</v>
      </c>
      <c r="L548" t="str">
        <f t="shared" si="54"/>
        <v>D+</v>
      </c>
      <c r="M548" t="str">
        <f t="shared" si="55"/>
        <v>Failed</v>
      </c>
    </row>
    <row r="549" spans="1:13" x14ac:dyDescent="0.3">
      <c r="A549" s="12">
        <v>53</v>
      </c>
      <c r="B549" s="45" t="s">
        <v>183</v>
      </c>
      <c r="C549" s="45" t="s">
        <v>140</v>
      </c>
      <c r="D549" s="392" t="s">
        <v>814</v>
      </c>
      <c r="E549" s="12">
        <v>10</v>
      </c>
      <c r="F549" s="12">
        <v>23</v>
      </c>
      <c r="G549" s="12">
        <f t="shared" si="52"/>
        <v>33</v>
      </c>
      <c r="H549" s="12"/>
      <c r="I549" s="12"/>
      <c r="J549" s="12">
        <v>37</v>
      </c>
      <c r="K549" s="12">
        <f t="shared" si="53"/>
        <v>70</v>
      </c>
      <c r="L549" t="str">
        <f t="shared" si="54"/>
        <v>B+</v>
      </c>
      <c r="M549" t="str">
        <f t="shared" si="55"/>
        <v>Passed</v>
      </c>
    </row>
    <row r="550" spans="1:13" x14ac:dyDescent="0.3">
      <c r="A550" s="12">
        <v>54</v>
      </c>
      <c r="B550" s="45" t="s">
        <v>184</v>
      </c>
      <c r="C550" s="45" t="s">
        <v>142</v>
      </c>
      <c r="D550" s="392" t="s">
        <v>810</v>
      </c>
      <c r="E550" s="12">
        <v>10</v>
      </c>
      <c r="F550" s="12">
        <v>17</v>
      </c>
      <c r="G550" s="12">
        <f t="shared" si="52"/>
        <v>27</v>
      </c>
      <c r="H550" s="12"/>
      <c r="I550" s="12"/>
      <c r="J550" s="12">
        <v>40</v>
      </c>
      <c r="K550" s="12">
        <f t="shared" si="53"/>
        <v>67</v>
      </c>
      <c r="L550" t="str">
        <f t="shared" si="54"/>
        <v>B</v>
      </c>
      <c r="M550" t="str">
        <f t="shared" si="55"/>
        <v>Passed</v>
      </c>
    </row>
    <row r="551" spans="1:13" x14ac:dyDescent="0.3">
      <c r="A551" s="56"/>
      <c r="B551" s="56"/>
      <c r="C551" s="56"/>
      <c r="D551" s="56"/>
      <c r="E551" s="56"/>
      <c r="F551" s="56"/>
      <c r="G551" s="56"/>
      <c r="H551" s="56"/>
      <c r="I551" s="56"/>
      <c r="J551" s="56"/>
      <c r="K551" s="56"/>
    </row>
    <row r="552" spans="1:13" x14ac:dyDescent="0.3">
      <c r="A552" s="56"/>
      <c r="B552" s="56"/>
      <c r="C552" s="56"/>
      <c r="D552" s="56"/>
      <c r="E552" s="56"/>
      <c r="F552" s="56"/>
      <c r="G552" s="56"/>
      <c r="H552" s="56"/>
      <c r="I552" s="56"/>
      <c r="J552" s="56"/>
      <c r="K552" s="56"/>
    </row>
    <row r="553" spans="1:13" x14ac:dyDescent="0.3">
      <c r="A553" s="56"/>
      <c r="B553" s="56"/>
      <c r="C553" s="56"/>
      <c r="D553" s="56"/>
      <c r="E553" s="56"/>
      <c r="F553" s="56"/>
      <c r="G553" s="56"/>
      <c r="H553" s="56"/>
      <c r="I553" s="56"/>
      <c r="J553" s="56"/>
      <c r="K553" s="56"/>
    </row>
    <row r="554" spans="1:13" x14ac:dyDescent="0.3">
      <c r="A554" s="56"/>
      <c r="B554" s="56"/>
      <c r="C554" s="56"/>
      <c r="D554" s="56"/>
      <c r="E554" s="56"/>
      <c r="F554" s="56"/>
      <c r="G554" s="56"/>
      <c r="H554" s="56"/>
      <c r="I554" s="56"/>
      <c r="J554" s="56"/>
      <c r="K554" s="56"/>
    </row>
    <row r="555" spans="1:13" x14ac:dyDescent="0.3">
      <c r="A555" s="56"/>
      <c r="B555" s="56"/>
      <c r="C555" s="56"/>
      <c r="D555" s="56"/>
      <c r="E555" s="56"/>
      <c r="F555" s="56"/>
      <c r="G555" s="56"/>
      <c r="H555" s="56"/>
      <c r="I555" s="56"/>
      <c r="J555" s="56"/>
      <c r="K555" s="56"/>
    </row>
    <row r="556" spans="1:13" x14ac:dyDescent="0.3">
      <c r="A556" s="56"/>
      <c r="B556" s="56"/>
      <c r="C556" s="56"/>
      <c r="D556" s="56"/>
      <c r="E556" s="56"/>
      <c r="F556" s="56"/>
      <c r="G556" s="56"/>
      <c r="H556" s="56"/>
      <c r="I556" s="56"/>
      <c r="J556" s="56"/>
      <c r="K556" s="56"/>
    </row>
    <row r="557" spans="1:13" x14ac:dyDescent="0.3">
      <c r="A557" s="56"/>
      <c r="B557" s="56"/>
      <c r="C557" s="56"/>
      <c r="D557" s="56"/>
      <c r="E557" s="56"/>
      <c r="F557" s="56"/>
      <c r="G557" s="56"/>
      <c r="H557" s="56"/>
      <c r="I557" s="56"/>
      <c r="J557" s="56"/>
      <c r="K557" s="56"/>
    </row>
    <row r="558" spans="1:13" x14ac:dyDescent="0.3">
      <c r="A558" s="56"/>
      <c r="B558" s="56"/>
      <c r="C558" s="56"/>
      <c r="D558" s="56"/>
      <c r="E558" s="56"/>
      <c r="F558" s="56"/>
      <c r="G558" s="56"/>
      <c r="H558" s="56"/>
      <c r="I558" s="56"/>
      <c r="J558" s="56"/>
      <c r="K558" s="56"/>
    </row>
    <row r="559" spans="1:13" x14ac:dyDescent="0.3">
      <c r="A559" s="56"/>
      <c r="B559" s="56"/>
      <c r="C559" s="56"/>
    </row>
    <row r="560" spans="1:13" x14ac:dyDescent="0.3">
      <c r="A560" s="56"/>
      <c r="B560" s="56"/>
      <c r="C560" s="56"/>
    </row>
    <row r="561" spans="1:15" x14ac:dyDescent="0.3">
      <c r="A561" s="56"/>
      <c r="B561" s="56"/>
      <c r="C561" s="56"/>
    </row>
    <row r="562" spans="1:15" x14ac:dyDescent="0.3">
      <c r="A562" s="56"/>
      <c r="B562" s="56"/>
      <c r="C562" s="56"/>
    </row>
    <row r="563" spans="1:15" x14ac:dyDescent="0.3">
      <c r="A563" s="42" t="s">
        <v>0</v>
      </c>
      <c r="B563" s="12"/>
      <c r="C563" s="12"/>
      <c r="D563" s="39"/>
      <c r="E563" s="39"/>
      <c r="F563" s="39"/>
      <c r="G563" s="39"/>
      <c r="H563" s="70"/>
      <c r="I563" s="70"/>
      <c r="J563" s="39"/>
      <c r="K563" s="39"/>
      <c r="L563" s="39"/>
    </row>
    <row r="564" spans="1:15" x14ac:dyDescent="0.3">
      <c r="A564" s="42" t="s">
        <v>66</v>
      </c>
      <c r="B564" s="42"/>
      <c r="C564" s="42"/>
      <c r="D564" s="14"/>
    </row>
    <row r="565" spans="1:15" x14ac:dyDescent="0.3">
      <c r="A565" s="467" t="s">
        <v>362</v>
      </c>
      <c r="B565" s="467"/>
      <c r="C565" s="467"/>
      <c r="D565" s="2"/>
      <c r="E565" s="2"/>
      <c r="F565" s="2"/>
      <c r="G565" s="2"/>
      <c r="H565" s="2"/>
      <c r="I565" s="2"/>
      <c r="J565" s="2"/>
      <c r="K565" s="2"/>
      <c r="L565" s="1"/>
      <c r="M565" s="16"/>
      <c r="N565" s="16"/>
      <c r="O565" s="13"/>
    </row>
    <row r="566" spans="1:15" x14ac:dyDescent="0.3">
      <c r="A566" s="42" t="s">
        <v>1</v>
      </c>
      <c r="B566" s="468" t="s">
        <v>69</v>
      </c>
      <c r="C566" s="468"/>
      <c r="D566" s="38"/>
      <c r="E566" s="39"/>
      <c r="F566" s="39"/>
      <c r="G566" s="39"/>
      <c r="H566" s="70"/>
      <c r="I566" s="70"/>
      <c r="J566" s="39"/>
      <c r="K566" s="39"/>
      <c r="L566" s="39"/>
    </row>
    <row r="567" spans="1:15" x14ac:dyDescent="0.3">
      <c r="A567" s="42" t="s">
        <v>3</v>
      </c>
      <c r="B567" s="468" t="s">
        <v>1610</v>
      </c>
      <c r="C567" s="468"/>
      <c r="D567" s="38"/>
      <c r="E567" s="39"/>
      <c r="F567" s="39"/>
      <c r="G567" s="39"/>
      <c r="H567" s="70"/>
      <c r="I567" s="70"/>
      <c r="J567" s="39"/>
      <c r="K567" s="39"/>
      <c r="L567" s="39"/>
    </row>
    <row r="568" spans="1:15" x14ac:dyDescent="0.3">
      <c r="A568" s="42" t="s">
        <v>4</v>
      </c>
      <c r="B568" s="468" t="s">
        <v>196</v>
      </c>
      <c r="C568" s="468"/>
      <c r="D568" s="38"/>
      <c r="E568" s="39"/>
      <c r="F568" s="39"/>
      <c r="G568" s="39"/>
      <c r="H568" s="70"/>
      <c r="I568" s="70"/>
      <c r="J568" s="39"/>
      <c r="K568" s="39"/>
      <c r="L568" s="39"/>
    </row>
    <row r="569" spans="1:15" x14ac:dyDescent="0.3">
      <c r="A569" s="42" t="s">
        <v>5</v>
      </c>
      <c r="B569" s="469">
        <v>3</v>
      </c>
      <c r="C569" s="469"/>
      <c r="D569" s="38"/>
      <c r="E569" s="39"/>
      <c r="F569" s="39"/>
      <c r="G569" s="39"/>
      <c r="H569" s="70"/>
      <c r="I569" s="70"/>
      <c r="J569" s="39"/>
      <c r="K569" s="39"/>
      <c r="L569" s="39"/>
    </row>
    <row r="570" spans="1:15" x14ac:dyDescent="0.3">
      <c r="A570" s="42" t="s">
        <v>6</v>
      </c>
      <c r="B570" s="468" t="s">
        <v>426</v>
      </c>
      <c r="C570" s="468"/>
      <c r="D570" s="38"/>
      <c r="E570" s="39"/>
      <c r="F570" s="39"/>
      <c r="G570" s="39"/>
      <c r="H570" s="70"/>
      <c r="I570" s="70"/>
      <c r="J570" s="39"/>
      <c r="K570" s="39"/>
      <c r="L570" s="39"/>
    </row>
    <row r="571" spans="1:15" x14ac:dyDescent="0.3">
      <c r="A571" s="42" t="s">
        <v>68</v>
      </c>
      <c r="B571" s="468"/>
      <c r="C571" s="468"/>
      <c r="D571" s="38"/>
      <c r="E571" s="39"/>
      <c r="F571" s="39"/>
      <c r="G571" s="39"/>
      <c r="H571" s="70"/>
      <c r="I571" s="70"/>
      <c r="J571" s="39"/>
      <c r="K571" s="39"/>
      <c r="L571" s="39"/>
    </row>
    <row r="572" spans="1:15" x14ac:dyDescent="0.3">
      <c r="A572" s="42"/>
      <c r="B572" s="42"/>
      <c r="C572" s="42"/>
      <c r="D572" s="14"/>
    </row>
    <row r="573" spans="1:15" ht="60" x14ac:dyDescent="0.3">
      <c r="A573" s="42" t="s">
        <v>8</v>
      </c>
      <c r="B573" s="42" t="s">
        <v>9</v>
      </c>
      <c r="C573" s="42" t="s">
        <v>10</v>
      </c>
      <c r="D573" s="43" t="s">
        <v>11</v>
      </c>
      <c r="E573" s="43" t="s">
        <v>12</v>
      </c>
      <c r="F573" s="43" t="s">
        <v>13</v>
      </c>
      <c r="G573" s="43" t="s">
        <v>14</v>
      </c>
      <c r="H573" s="43" t="s">
        <v>208</v>
      </c>
      <c r="I573" s="43" t="s">
        <v>209</v>
      </c>
      <c r="J573" s="43" t="s">
        <v>15</v>
      </c>
      <c r="K573" s="43" t="s">
        <v>16</v>
      </c>
      <c r="L573" s="14" t="s">
        <v>17</v>
      </c>
      <c r="M573" s="14" t="s">
        <v>18</v>
      </c>
      <c r="N573" s="14" t="s">
        <v>19</v>
      </c>
    </row>
    <row r="574" spans="1:15" x14ac:dyDescent="0.3">
      <c r="A574" s="12"/>
      <c r="B574" s="42"/>
      <c r="C574" s="42"/>
      <c r="D574" s="42"/>
      <c r="E574" s="12"/>
      <c r="F574" s="12"/>
      <c r="G574" s="12"/>
      <c r="H574" s="12"/>
      <c r="I574" s="12"/>
      <c r="J574" s="12"/>
      <c r="K574" s="12"/>
      <c r="N574" t="s">
        <v>20</v>
      </c>
      <c r="O574">
        <f>COUNT(G575:G628)</f>
        <v>49</v>
      </c>
    </row>
    <row r="575" spans="1:15" x14ac:dyDescent="0.3">
      <c r="A575" s="12">
        <v>1</v>
      </c>
      <c r="B575" s="45" t="s">
        <v>203</v>
      </c>
      <c r="C575" s="45" t="s">
        <v>92</v>
      </c>
      <c r="D575" s="12" t="s">
        <v>1618</v>
      </c>
      <c r="E575" s="12">
        <v>10</v>
      </c>
      <c r="F575" s="346">
        <v>23.5</v>
      </c>
      <c r="G575" s="241">
        <f>SUM(E575:F575)</f>
        <v>33.5</v>
      </c>
      <c r="H575" s="12"/>
      <c r="I575" s="12"/>
      <c r="J575" s="12">
        <v>49</v>
      </c>
      <c r="K575" s="241">
        <f>SUM(G575:J575)</f>
        <v>82.5</v>
      </c>
      <c r="L575" t="str">
        <f t="shared" ref="L575:L601" si="56">IF(K575&gt;=80,"A",IF(K575&gt;=70,"B+",IF(K575&gt;=60,"B",IF(K575&gt;=55,"C+",IF(K575&gt;=50,"C",IF(K575&gt;=45,"D+",IF(K575&gt;=40,"D","F")))))))</f>
        <v>A</v>
      </c>
      <c r="M575" t="str">
        <f t="shared" ref="M575:M601" si="57">IF(K575&gt;=50,"Passed","Failed")</f>
        <v>Passed</v>
      </c>
      <c r="N575" t="s">
        <v>21</v>
      </c>
      <c r="O575">
        <f>COUNT(J575:J628)</f>
        <v>49</v>
      </c>
    </row>
    <row r="576" spans="1:15" x14ac:dyDescent="0.3">
      <c r="A576" s="12">
        <v>2</v>
      </c>
      <c r="B576" s="45" t="s">
        <v>145</v>
      </c>
      <c r="C576" s="45" t="s">
        <v>93</v>
      </c>
      <c r="D576" s="12" t="s">
        <v>1644</v>
      </c>
      <c r="E576" s="12">
        <v>8</v>
      </c>
      <c r="F576" s="346">
        <v>22.5</v>
      </c>
      <c r="G576" s="241">
        <f t="shared" ref="G576:G628" si="58">SUM(E576:F576)</f>
        <v>30.5</v>
      </c>
      <c r="H576" s="12"/>
      <c r="I576" s="12"/>
      <c r="J576" s="12">
        <v>51</v>
      </c>
      <c r="K576" s="241">
        <f t="shared" ref="K576:K628" si="59">SUM(G576:J576)</f>
        <v>81.5</v>
      </c>
      <c r="L576" t="str">
        <f t="shared" si="56"/>
        <v>A</v>
      </c>
      <c r="M576" t="str">
        <f t="shared" si="57"/>
        <v>Passed</v>
      </c>
      <c r="N576" t="s">
        <v>22</v>
      </c>
      <c r="O576">
        <f>O574-O575</f>
        <v>0</v>
      </c>
    </row>
    <row r="577" spans="1:22" x14ac:dyDescent="0.3">
      <c r="A577" s="12">
        <v>3</v>
      </c>
      <c r="B577" s="45" t="s">
        <v>149</v>
      </c>
      <c r="C577" s="45" t="s">
        <v>97</v>
      </c>
      <c r="D577" s="12" t="s">
        <v>1617</v>
      </c>
      <c r="E577" s="12">
        <v>10</v>
      </c>
      <c r="F577" s="346">
        <v>25.5</v>
      </c>
      <c r="G577" s="241">
        <f t="shared" si="58"/>
        <v>35.5</v>
      </c>
      <c r="H577" s="12"/>
      <c r="I577" s="12"/>
      <c r="J577" s="12">
        <v>48</v>
      </c>
      <c r="K577" s="241">
        <f t="shared" si="59"/>
        <v>83.5</v>
      </c>
      <c r="L577" t="str">
        <f t="shared" si="56"/>
        <v>A</v>
      </c>
      <c r="M577" t="str">
        <f t="shared" si="57"/>
        <v>Passed</v>
      </c>
      <c r="N577" t="s">
        <v>23</v>
      </c>
      <c r="O577">
        <f>COUNTIF(M575:M628,"Passed")</f>
        <v>45</v>
      </c>
    </row>
    <row r="578" spans="1:22" x14ac:dyDescent="0.3">
      <c r="A578" s="12">
        <v>4</v>
      </c>
      <c r="B578" s="45" t="s">
        <v>152</v>
      </c>
      <c r="C578" s="45" t="s">
        <v>100</v>
      </c>
      <c r="D578" s="12" t="s">
        <v>1638</v>
      </c>
      <c r="E578" s="12">
        <v>8</v>
      </c>
      <c r="F578" s="346">
        <v>22.5</v>
      </c>
      <c r="G578" s="241">
        <f t="shared" si="58"/>
        <v>30.5</v>
      </c>
      <c r="H578" s="12"/>
      <c r="I578" s="12"/>
      <c r="J578" s="12">
        <v>40</v>
      </c>
      <c r="K578" s="241">
        <f t="shared" si="59"/>
        <v>70.5</v>
      </c>
      <c r="L578" t="str">
        <f t="shared" si="56"/>
        <v>B+</v>
      </c>
      <c r="M578" t="str">
        <f t="shared" si="57"/>
        <v>Passed</v>
      </c>
      <c r="N578" t="s">
        <v>24</v>
      </c>
      <c r="O578">
        <f>O577/O575%</f>
        <v>91.83673469387756</v>
      </c>
    </row>
    <row r="579" spans="1:22" x14ac:dyDescent="0.3">
      <c r="A579" s="12">
        <v>5</v>
      </c>
      <c r="B579" s="45" t="s">
        <v>156</v>
      </c>
      <c r="C579" s="45" t="s">
        <v>104</v>
      </c>
      <c r="D579" s="12" t="s">
        <v>1634</v>
      </c>
      <c r="E579" s="12">
        <v>10</v>
      </c>
      <c r="F579" s="346">
        <v>21.75</v>
      </c>
      <c r="G579" s="241">
        <f t="shared" si="58"/>
        <v>31.75</v>
      </c>
      <c r="H579" s="12"/>
      <c r="I579" s="12"/>
      <c r="J579" s="12">
        <v>57</v>
      </c>
      <c r="K579" s="241">
        <f t="shared" si="59"/>
        <v>88.75</v>
      </c>
      <c r="L579" t="str">
        <f t="shared" si="56"/>
        <v>A</v>
      </c>
      <c r="M579" t="str">
        <f t="shared" si="57"/>
        <v>Passed</v>
      </c>
      <c r="N579" t="s">
        <v>25</v>
      </c>
      <c r="O579">
        <f>COUNTIF(M575:M628,"failed")</f>
        <v>4</v>
      </c>
    </row>
    <row r="580" spans="1:22" x14ac:dyDescent="0.3">
      <c r="A580" s="12">
        <v>6</v>
      </c>
      <c r="B580" s="45" t="s">
        <v>160</v>
      </c>
      <c r="C580" s="45" t="s">
        <v>109</v>
      </c>
      <c r="D580" s="12" t="s">
        <v>1615</v>
      </c>
      <c r="E580" s="12">
        <v>10</v>
      </c>
      <c r="F580" s="346">
        <v>23.25</v>
      </c>
      <c r="G580" s="241">
        <f t="shared" si="58"/>
        <v>33.25</v>
      </c>
      <c r="H580" s="12"/>
      <c r="I580" s="12"/>
      <c r="J580" s="12">
        <v>55</v>
      </c>
      <c r="K580" s="241">
        <f t="shared" si="59"/>
        <v>88.25</v>
      </c>
      <c r="L580" t="str">
        <f t="shared" si="56"/>
        <v>A</v>
      </c>
      <c r="M580" t="str">
        <f t="shared" si="57"/>
        <v>Passed</v>
      </c>
      <c r="N580" t="s">
        <v>26</v>
      </c>
      <c r="O580">
        <f>O579/O575%</f>
        <v>8.1632653061224492</v>
      </c>
    </row>
    <row r="581" spans="1:22" x14ac:dyDescent="0.3">
      <c r="A581" s="12">
        <v>7</v>
      </c>
      <c r="B581" s="45" t="s">
        <v>207</v>
      </c>
      <c r="C581" s="45" t="s">
        <v>110</v>
      </c>
      <c r="D581" s="12" t="s">
        <v>1611</v>
      </c>
      <c r="E581" s="12"/>
      <c r="F581" s="12"/>
      <c r="G581" s="241"/>
      <c r="H581" s="12"/>
      <c r="I581" s="12"/>
      <c r="J581" s="12"/>
      <c r="K581" s="241"/>
      <c r="N581" t="s">
        <v>27</v>
      </c>
      <c r="O581" s="179">
        <f>AVERAGE(K575:K628)</f>
        <v>72.974387755102043</v>
      </c>
    </row>
    <row r="582" spans="1:22" x14ac:dyDescent="0.3">
      <c r="A582" s="50">
        <v>8</v>
      </c>
      <c r="B582" s="45" t="s">
        <v>163</v>
      </c>
      <c r="C582" s="45" t="s">
        <v>113</v>
      </c>
      <c r="D582" s="12" t="s">
        <v>1630</v>
      </c>
      <c r="E582" s="12">
        <v>10</v>
      </c>
      <c r="F582" s="12">
        <v>21</v>
      </c>
      <c r="G582" s="241">
        <f t="shared" si="58"/>
        <v>31</v>
      </c>
      <c r="H582" s="12"/>
      <c r="I582" s="12"/>
      <c r="J582" s="12">
        <v>48</v>
      </c>
      <c r="K582" s="241">
        <f t="shared" si="59"/>
        <v>79</v>
      </c>
      <c r="L582" t="str">
        <f t="shared" si="56"/>
        <v>B+</v>
      </c>
      <c r="M582" t="str">
        <f t="shared" si="57"/>
        <v>Passed</v>
      </c>
    </row>
    <row r="583" spans="1:22" x14ac:dyDescent="0.3">
      <c r="A583" s="50">
        <v>9</v>
      </c>
      <c r="B583" s="45" t="s">
        <v>480</v>
      </c>
      <c r="C583" s="45" t="s">
        <v>115</v>
      </c>
      <c r="D583" s="12" t="s">
        <v>1635</v>
      </c>
      <c r="E583" s="12">
        <v>9</v>
      </c>
      <c r="F583" s="12">
        <v>24</v>
      </c>
      <c r="G583" s="241">
        <f t="shared" si="58"/>
        <v>33</v>
      </c>
      <c r="H583" s="12"/>
      <c r="I583" s="12"/>
      <c r="J583" s="12">
        <v>49</v>
      </c>
      <c r="K583" s="241">
        <f t="shared" si="59"/>
        <v>82</v>
      </c>
      <c r="L583" t="str">
        <f t="shared" si="56"/>
        <v>A</v>
      </c>
      <c r="M583" t="str">
        <f t="shared" si="57"/>
        <v>Passed</v>
      </c>
    </row>
    <row r="584" spans="1:22" x14ac:dyDescent="0.3">
      <c r="A584" s="50">
        <v>10</v>
      </c>
      <c r="B584" s="45" t="s">
        <v>200</v>
      </c>
      <c r="C584" s="45" t="s">
        <v>119</v>
      </c>
      <c r="D584" s="12" t="s">
        <v>1651</v>
      </c>
      <c r="E584" s="12">
        <v>8</v>
      </c>
      <c r="F584" s="12">
        <v>6</v>
      </c>
      <c r="G584" s="241">
        <f t="shared" si="58"/>
        <v>14</v>
      </c>
      <c r="H584" s="12"/>
      <c r="I584" s="12"/>
      <c r="J584" s="12">
        <v>20</v>
      </c>
      <c r="K584" s="241">
        <f t="shared" si="59"/>
        <v>34</v>
      </c>
      <c r="L584" t="str">
        <f t="shared" si="56"/>
        <v>F</v>
      </c>
      <c r="M584" t="str">
        <f t="shared" si="57"/>
        <v>Failed</v>
      </c>
    </row>
    <row r="585" spans="1:22" x14ac:dyDescent="0.3">
      <c r="A585" s="50">
        <v>11</v>
      </c>
      <c r="B585" s="45" t="s">
        <v>205</v>
      </c>
      <c r="C585" s="45" t="s">
        <v>120</v>
      </c>
      <c r="D585" s="12" t="s">
        <v>1611</v>
      </c>
      <c r="E585" s="12"/>
      <c r="F585" s="12"/>
      <c r="G585" s="241"/>
      <c r="H585" s="12"/>
      <c r="I585" s="12"/>
      <c r="J585" s="12"/>
      <c r="K585" s="241"/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 t="s">
        <v>33</v>
      </c>
      <c r="U585" t="s">
        <v>34</v>
      </c>
      <c r="V585" t="s">
        <v>35</v>
      </c>
    </row>
    <row r="586" spans="1:22" x14ac:dyDescent="0.3">
      <c r="A586" s="50">
        <v>12</v>
      </c>
      <c r="B586" s="45" t="s">
        <v>168</v>
      </c>
      <c r="C586" s="45" t="s">
        <v>121</v>
      </c>
      <c r="D586" s="12" t="s">
        <v>1631</v>
      </c>
      <c r="E586" s="12">
        <v>8</v>
      </c>
      <c r="F586" s="346">
        <v>15.75</v>
      </c>
      <c r="G586" s="241">
        <f t="shared" si="58"/>
        <v>23.75</v>
      </c>
      <c r="H586" s="12"/>
      <c r="I586" s="12"/>
      <c r="J586" s="12">
        <v>53</v>
      </c>
      <c r="K586" s="241">
        <f t="shared" si="59"/>
        <v>76.75</v>
      </c>
      <c r="L586" t="str">
        <f t="shared" si="56"/>
        <v>B+</v>
      </c>
      <c r="M586" t="str">
        <f t="shared" si="57"/>
        <v>Passed</v>
      </c>
      <c r="O586">
        <f>COUNTIF(L575:L628,"A")</f>
        <v>20</v>
      </c>
      <c r="P586">
        <f>COUNTIF(L575:L628,"B+")</f>
        <v>14</v>
      </c>
      <c r="Q586">
        <f>COUNTIF(L575:L628,"B")</f>
        <v>8</v>
      </c>
      <c r="R586">
        <f>COUNTIF(L575:L628,"C+")</f>
        <v>3</v>
      </c>
      <c r="S586">
        <f>COUNTIF(L575:L628,"C")</f>
        <v>0</v>
      </c>
      <c r="T586">
        <f>COUNTIF(L575:L628,"D+")</f>
        <v>0</v>
      </c>
      <c r="U586">
        <f>COUNTIF(L575:L628,"D")</f>
        <v>2</v>
      </c>
      <c r="V586">
        <f>COUNTIF(L575:L628,"F")</f>
        <v>2</v>
      </c>
    </row>
    <row r="587" spans="1:22" x14ac:dyDescent="0.3">
      <c r="A587" s="50">
        <v>13</v>
      </c>
      <c r="B587" s="45" t="s">
        <v>170</v>
      </c>
      <c r="C587" s="45" t="s">
        <v>124</v>
      </c>
      <c r="D587" s="12" t="s">
        <v>1614</v>
      </c>
      <c r="E587" s="12">
        <v>10</v>
      </c>
      <c r="F587" s="346">
        <v>22.12</v>
      </c>
      <c r="G587" s="241">
        <f t="shared" si="58"/>
        <v>32.120000000000005</v>
      </c>
      <c r="H587" s="12"/>
      <c r="I587" s="12"/>
      <c r="J587" s="12">
        <v>47</v>
      </c>
      <c r="K587" s="241">
        <f t="shared" si="59"/>
        <v>79.12</v>
      </c>
      <c r="L587" t="str">
        <f t="shared" si="56"/>
        <v>B+</v>
      </c>
      <c r="M587" t="str">
        <f t="shared" si="57"/>
        <v>Passed</v>
      </c>
    </row>
    <row r="588" spans="1:22" x14ac:dyDescent="0.3">
      <c r="A588" s="50">
        <v>14</v>
      </c>
      <c r="B588" s="45" t="s">
        <v>172</v>
      </c>
      <c r="C588" s="45" t="s">
        <v>126</v>
      </c>
      <c r="D588" s="12" t="s">
        <v>1643</v>
      </c>
      <c r="E588" s="12">
        <v>10</v>
      </c>
      <c r="F588" s="346">
        <v>19.125</v>
      </c>
      <c r="G588" s="241">
        <f t="shared" si="58"/>
        <v>29.125</v>
      </c>
      <c r="H588" s="12"/>
      <c r="I588" s="12"/>
      <c r="J588" s="12">
        <v>27</v>
      </c>
      <c r="K588" s="241">
        <f t="shared" si="59"/>
        <v>56.125</v>
      </c>
      <c r="L588" t="str">
        <f t="shared" si="56"/>
        <v>C+</v>
      </c>
      <c r="M588" t="str">
        <f t="shared" si="57"/>
        <v>Passed</v>
      </c>
    </row>
    <row r="589" spans="1:22" x14ac:dyDescent="0.3">
      <c r="A589" s="50">
        <v>15</v>
      </c>
      <c r="B589" s="45" t="s">
        <v>173</v>
      </c>
      <c r="C589" s="45" t="s">
        <v>127</v>
      </c>
      <c r="D589" s="12" t="s">
        <v>1639</v>
      </c>
      <c r="E589" s="12">
        <v>10</v>
      </c>
      <c r="F589" s="12">
        <v>23</v>
      </c>
      <c r="G589" s="241">
        <f t="shared" si="58"/>
        <v>33</v>
      </c>
      <c r="H589" s="12"/>
      <c r="I589" s="12"/>
      <c r="J589" s="12">
        <v>47</v>
      </c>
      <c r="K589" s="241">
        <f t="shared" si="59"/>
        <v>80</v>
      </c>
      <c r="L589" t="str">
        <f t="shared" si="56"/>
        <v>A</v>
      </c>
      <c r="M589" t="str">
        <f t="shared" si="57"/>
        <v>Passed</v>
      </c>
    </row>
    <row r="590" spans="1:22" x14ac:dyDescent="0.3">
      <c r="A590" s="50">
        <v>16</v>
      </c>
      <c r="B590" s="45" t="s">
        <v>175</v>
      </c>
      <c r="C590" s="45" t="s">
        <v>131</v>
      </c>
      <c r="D590" s="12" t="s">
        <v>1622</v>
      </c>
      <c r="E590" s="12">
        <v>10</v>
      </c>
      <c r="F590" s="12">
        <v>24</v>
      </c>
      <c r="G590" s="241">
        <f t="shared" si="58"/>
        <v>34</v>
      </c>
      <c r="H590" s="12"/>
      <c r="I590" s="12"/>
      <c r="J590" s="12">
        <v>52</v>
      </c>
      <c r="K590" s="241">
        <f t="shared" si="59"/>
        <v>86</v>
      </c>
      <c r="L590" t="str">
        <f t="shared" si="56"/>
        <v>A</v>
      </c>
      <c r="M590" t="str">
        <f t="shared" si="57"/>
        <v>Passed</v>
      </c>
    </row>
    <row r="591" spans="1:22" x14ac:dyDescent="0.3">
      <c r="A591" s="50">
        <v>17</v>
      </c>
      <c r="B591" s="277" t="s">
        <v>178</v>
      </c>
      <c r="C591" s="45" t="s">
        <v>133</v>
      </c>
      <c r="D591" s="12" t="s">
        <v>1620</v>
      </c>
      <c r="E591" s="12">
        <v>10</v>
      </c>
      <c r="F591" s="12">
        <v>23</v>
      </c>
      <c r="G591" s="241">
        <f t="shared" si="58"/>
        <v>33</v>
      </c>
      <c r="H591" s="12"/>
      <c r="I591" s="12"/>
      <c r="J591" s="12">
        <v>54</v>
      </c>
      <c r="K591" s="241">
        <f t="shared" si="59"/>
        <v>87</v>
      </c>
      <c r="L591" t="str">
        <f t="shared" si="56"/>
        <v>A</v>
      </c>
      <c r="M591" t="str">
        <f t="shared" si="57"/>
        <v>Passed</v>
      </c>
    </row>
    <row r="592" spans="1:22" x14ac:dyDescent="0.3">
      <c r="A592" s="50">
        <v>18</v>
      </c>
      <c r="B592" s="45" t="s">
        <v>534</v>
      </c>
      <c r="C592" s="303" t="s">
        <v>363</v>
      </c>
      <c r="D592" s="12" t="s">
        <v>1659</v>
      </c>
      <c r="E592" s="12">
        <v>4</v>
      </c>
      <c r="F592" s="12">
        <v>6</v>
      </c>
      <c r="G592" s="241">
        <f t="shared" si="58"/>
        <v>10</v>
      </c>
      <c r="H592" s="12"/>
      <c r="I592" s="12"/>
      <c r="J592" s="12">
        <v>30</v>
      </c>
      <c r="K592" s="241">
        <f t="shared" si="59"/>
        <v>40</v>
      </c>
      <c r="L592" t="str">
        <f t="shared" si="56"/>
        <v>D</v>
      </c>
      <c r="M592" t="str">
        <f t="shared" si="57"/>
        <v>Failed</v>
      </c>
    </row>
    <row r="593" spans="1:13" x14ac:dyDescent="0.3">
      <c r="A593" s="50">
        <v>19</v>
      </c>
      <c r="B593" s="389" t="s">
        <v>144</v>
      </c>
      <c r="C593" s="304" t="s">
        <v>137</v>
      </c>
      <c r="D593" s="12" t="s">
        <v>1640</v>
      </c>
      <c r="E593" s="12">
        <v>7.5</v>
      </c>
      <c r="F593" s="12">
        <v>23</v>
      </c>
      <c r="G593" s="241">
        <f t="shared" si="58"/>
        <v>30.5</v>
      </c>
      <c r="H593" s="12"/>
      <c r="I593" s="12"/>
      <c r="J593" s="12">
        <v>50</v>
      </c>
      <c r="K593" s="241">
        <f t="shared" si="59"/>
        <v>80.5</v>
      </c>
      <c r="L593" t="str">
        <f t="shared" si="56"/>
        <v>A</v>
      </c>
      <c r="M593" t="str">
        <f t="shared" si="57"/>
        <v>Passed</v>
      </c>
    </row>
    <row r="594" spans="1:13" x14ac:dyDescent="0.3">
      <c r="A594" s="50">
        <v>20</v>
      </c>
      <c r="B594" s="390" t="s">
        <v>204</v>
      </c>
      <c r="C594" s="390" t="s">
        <v>138</v>
      </c>
      <c r="D594" s="12" t="s">
        <v>1623</v>
      </c>
      <c r="E594" s="12">
        <v>10</v>
      </c>
      <c r="F594" s="12">
        <v>24</v>
      </c>
      <c r="G594" s="241">
        <f t="shared" si="58"/>
        <v>34</v>
      </c>
      <c r="H594" s="12"/>
      <c r="I594" s="12"/>
      <c r="J594" s="12">
        <v>58</v>
      </c>
      <c r="K594" s="241">
        <f t="shared" si="59"/>
        <v>92</v>
      </c>
      <c r="L594" t="str">
        <f t="shared" si="56"/>
        <v>A</v>
      </c>
      <c r="M594" t="str">
        <f t="shared" si="57"/>
        <v>Passed</v>
      </c>
    </row>
    <row r="595" spans="1:13" x14ac:dyDescent="0.3">
      <c r="A595" s="50">
        <v>21</v>
      </c>
      <c r="B595" s="305" t="s">
        <v>181</v>
      </c>
      <c r="C595" s="45" t="s">
        <v>139</v>
      </c>
      <c r="D595" s="12" t="s">
        <v>1613</v>
      </c>
      <c r="E595" s="12">
        <v>10</v>
      </c>
      <c r="F595" s="12">
        <v>23</v>
      </c>
      <c r="G595" s="241">
        <f t="shared" si="58"/>
        <v>33</v>
      </c>
      <c r="H595" s="12"/>
      <c r="I595" s="12"/>
      <c r="J595" s="12">
        <v>41</v>
      </c>
      <c r="K595" s="241">
        <f t="shared" si="59"/>
        <v>74</v>
      </c>
      <c r="L595" t="str">
        <f t="shared" si="56"/>
        <v>B+</v>
      </c>
      <c r="M595" t="str">
        <f t="shared" si="57"/>
        <v>Passed</v>
      </c>
    </row>
    <row r="596" spans="1:13" x14ac:dyDescent="0.3">
      <c r="A596" s="50">
        <v>22</v>
      </c>
      <c r="B596" s="391" t="s">
        <v>201</v>
      </c>
      <c r="C596" s="45" t="s">
        <v>141</v>
      </c>
      <c r="D596" s="12" t="s">
        <v>1641</v>
      </c>
      <c r="E596" s="12">
        <v>10</v>
      </c>
      <c r="F596" s="12">
        <v>25</v>
      </c>
      <c r="G596" s="241">
        <f t="shared" si="58"/>
        <v>35</v>
      </c>
      <c r="H596" s="12"/>
      <c r="I596" s="12"/>
      <c r="J596" s="12">
        <v>44</v>
      </c>
      <c r="K596" s="241">
        <f t="shared" si="59"/>
        <v>79</v>
      </c>
      <c r="L596" t="str">
        <f t="shared" si="56"/>
        <v>B+</v>
      </c>
      <c r="M596" t="str">
        <f t="shared" si="57"/>
        <v>Passed</v>
      </c>
    </row>
    <row r="597" spans="1:13" x14ac:dyDescent="0.3">
      <c r="A597" s="50">
        <v>23</v>
      </c>
      <c r="B597" s="45" t="s">
        <v>176</v>
      </c>
      <c r="C597" s="45" t="s">
        <v>481</v>
      </c>
      <c r="D597" s="12" t="s">
        <v>1626</v>
      </c>
      <c r="E597" s="12">
        <v>8</v>
      </c>
      <c r="F597" s="12">
        <v>20</v>
      </c>
      <c r="G597" s="241">
        <f t="shared" si="58"/>
        <v>28</v>
      </c>
      <c r="H597" s="12"/>
      <c r="I597" s="12"/>
      <c r="J597" s="12">
        <v>43</v>
      </c>
      <c r="K597" s="241">
        <f t="shared" si="59"/>
        <v>71</v>
      </c>
      <c r="L597" t="str">
        <f t="shared" si="56"/>
        <v>B+</v>
      </c>
      <c r="M597" t="str">
        <f t="shared" si="57"/>
        <v>Passed</v>
      </c>
    </row>
    <row r="598" spans="1:13" x14ac:dyDescent="0.3">
      <c r="A598" s="50">
        <v>24</v>
      </c>
      <c r="B598" s="45" t="s">
        <v>148</v>
      </c>
      <c r="C598" s="45" t="s">
        <v>96</v>
      </c>
      <c r="D598" s="12" t="s">
        <v>1657</v>
      </c>
      <c r="E598" s="12">
        <v>10</v>
      </c>
      <c r="F598" s="12">
        <v>21</v>
      </c>
      <c r="G598" s="241">
        <f t="shared" si="58"/>
        <v>31</v>
      </c>
      <c r="H598" s="12"/>
      <c r="I598" s="12"/>
      <c r="J598" s="12">
        <v>29</v>
      </c>
      <c r="K598" s="241">
        <f t="shared" si="59"/>
        <v>60</v>
      </c>
      <c r="L598" t="str">
        <f t="shared" si="56"/>
        <v>B</v>
      </c>
      <c r="M598" t="str">
        <f t="shared" si="57"/>
        <v>Passed</v>
      </c>
    </row>
    <row r="599" spans="1:13" x14ac:dyDescent="0.3">
      <c r="A599" s="50">
        <v>25</v>
      </c>
      <c r="B599" s="45" t="s">
        <v>153</v>
      </c>
      <c r="C599" s="45" t="s">
        <v>101</v>
      </c>
      <c r="D599" s="12" t="s">
        <v>1650</v>
      </c>
      <c r="E599" s="12">
        <v>8</v>
      </c>
      <c r="F599" s="12">
        <v>12</v>
      </c>
      <c r="G599" s="241">
        <f t="shared" si="58"/>
        <v>20</v>
      </c>
      <c r="H599" s="12"/>
      <c r="I599" s="12"/>
      <c r="J599" s="12">
        <v>36</v>
      </c>
      <c r="K599" s="241">
        <f t="shared" si="59"/>
        <v>56</v>
      </c>
      <c r="L599" t="str">
        <f t="shared" si="56"/>
        <v>C+</v>
      </c>
      <c r="M599" t="str">
        <f t="shared" si="57"/>
        <v>Passed</v>
      </c>
    </row>
    <row r="600" spans="1:13" x14ac:dyDescent="0.3">
      <c r="A600" s="50">
        <v>26</v>
      </c>
      <c r="B600" s="45" t="s">
        <v>154</v>
      </c>
      <c r="C600" s="45" t="s">
        <v>102</v>
      </c>
      <c r="D600" s="12" t="s">
        <v>1642</v>
      </c>
      <c r="E600" s="12">
        <v>8</v>
      </c>
      <c r="F600" s="12">
        <v>5.25</v>
      </c>
      <c r="G600" s="241">
        <f t="shared" si="58"/>
        <v>13.25</v>
      </c>
      <c r="H600" s="12"/>
      <c r="I600" s="12"/>
      <c r="J600" s="12">
        <v>20</v>
      </c>
      <c r="K600" s="241">
        <f t="shared" si="59"/>
        <v>33.25</v>
      </c>
      <c r="L600" t="str">
        <f t="shared" si="56"/>
        <v>F</v>
      </c>
      <c r="M600" t="str">
        <f t="shared" si="57"/>
        <v>Failed</v>
      </c>
    </row>
    <row r="601" spans="1:13" x14ac:dyDescent="0.3">
      <c r="A601" s="50">
        <v>27</v>
      </c>
      <c r="B601" s="45" t="s">
        <v>162</v>
      </c>
      <c r="C601" s="45" t="s">
        <v>112</v>
      </c>
      <c r="D601" s="12" t="s">
        <v>1624</v>
      </c>
      <c r="E601" s="12">
        <v>8</v>
      </c>
      <c r="F601" s="346">
        <v>16.5</v>
      </c>
      <c r="G601" s="241">
        <f t="shared" si="58"/>
        <v>24.5</v>
      </c>
      <c r="H601" s="12"/>
      <c r="I601" s="12"/>
      <c r="J601" s="12">
        <v>45</v>
      </c>
      <c r="K601" s="241">
        <f t="shared" si="59"/>
        <v>69.5</v>
      </c>
      <c r="L601" t="str">
        <f t="shared" si="56"/>
        <v>B</v>
      </c>
      <c r="M601" t="str">
        <f t="shared" si="57"/>
        <v>Passed</v>
      </c>
    </row>
    <row r="602" spans="1:13" x14ac:dyDescent="0.3">
      <c r="A602" s="50">
        <v>28</v>
      </c>
      <c r="B602" s="45" t="s">
        <v>164</v>
      </c>
      <c r="C602" s="45" t="s">
        <v>114</v>
      </c>
      <c r="D602" s="12" t="s">
        <v>1627</v>
      </c>
      <c r="E602" s="12">
        <v>10</v>
      </c>
      <c r="F602" s="12">
        <v>23</v>
      </c>
      <c r="G602" s="241">
        <f t="shared" si="58"/>
        <v>33</v>
      </c>
      <c r="H602" s="12"/>
      <c r="I602" s="12"/>
      <c r="J602" s="12">
        <v>33</v>
      </c>
      <c r="K602" s="241">
        <f t="shared" si="59"/>
        <v>66</v>
      </c>
      <c r="L602" t="str">
        <f t="shared" ref="L602:L628" si="60">IF(K602&gt;=80,"A",IF(K602&gt;=70,"B+",IF(K602&gt;=60,"B",IF(K602&gt;=55,"C+",IF(K602&gt;=50,"C",IF(K602&gt;=45,"D+",IF(K602&gt;=40,"D","F")))))))</f>
        <v>B</v>
      </c>
      <c r="M602" t="str">
        <f t="shared" ref="M602:M628" si="61">IF(K602&gt;=50,"Passed","Failed")</f>
        <v>Passed</v>
      </c>
    </row>
    <row r="603" spans="1:13" x14ac:dyDescent="0.3">
      <c r="A603" s="50">
        <v>29</v>
      </c>
      <c r="B603" s="277" t="s">
        <v>165</v>
      </c>
      <c r="C603" s="45" t="s">
        <v>116</v>
      </c>
      <c r="D603" s="12" t="s">
        <v>1619</v>
      </c>
      <c r="E603" s="12">
        <v>10</v>
      </c>
      <c r="F603" s="12">
        <v>26</v>
      </c>
      <c r="G603" s="241">
        <f t="shared" si="58"/>
        <v>36</v>
      </c>
      <c r="H603" s="12"/>
      <c r="I603" s="12"/>
      <c r="J603" s="12">
        <v>56</v>
      </c>
      <c r="K603" s="241">
        <f t="shared" si="59"/>
        <v>92</v>
      </c>
      <c r="L603" t="str">
        <f t="shared" si="60"/>
        <v>A</v>
      </c>
      <c r="M603" t="str">
        <f t="shared" si="61"/>
        <v>Passed</v>
      </c>
    </row>
    <row r="604" spans="1:13" x14ac:dyDescent="0.3">
      <c r="A604" s="50">
        <v>30</v>
      </c>
      <c r="B604" s="45" t="s">
        <v>206</v>
      </c>
      <c r="C604" s="45" t="s">
        <v>123</v>
      </c>
      <c r="D604" s="12" t="s">
        <v>1658</v>
      </c>
      <c r="E604" s="12">
        <v>10</v>
      </c>
      <c r="F604" s="12">
        <v>23</v>
      </c>
      <c r="G604" s="241">
        <f t="shared" si="58"/>
        <v>33</v>
      </c>
      <c r="H604" s="12"/>
      <c r="I604" s="12"/>
      <c r="J604" s="12">
        <v>33</v>
      </c>
      <c r="K604" s="241">
        <f t="shared" si="59"/>
        <v>66</v>
      </c>
      <c r="L604" t="str">
        <f t="shared" si="60"/>
        <v>B</v>
      </c>
      <c r="M604" t="str">
        <f t="shared" si="61"/>
        <v>Passed</v>
      </c>
    </row>
    <row r="605" spans="1:13" x14ac:dyDescent="0.3">
      <c r="A605" s="50">
        <v>31</v>
      </c>
      <c r="B605" s="45" t="s">
        <v>202</v>
      </c>
      <c r="C605" s="45" t="s">
        <v>135</v>
      </c>
      <c r="D605" s="12" t="s">
        <v>1656</v>
      </c>
      <c r="E605" s="12">
        <v>8</v>
      </c>
      <c r="F605" s="346">
        <v>16.25</v>
      </c>
      <c r="G605" s="241">
        <f t="shared" si="58"/>
        <v>24.25</v>
      </c>
      <c r="H605" s="12"/>
      <c r="I605" s="12"/>
      <c r="J605" s="12">
        <v>16</v>
      </c>
      <c r="K605" s="241">
        <f t="shared" si="59"/>
        <v>40.25</v>
      </c>
      <c r="L605" t="str">
        <f t="shared" si="60"/>
        <v>D</v>
      </c>
      <c r="M605" t="str">
        <f t="shared" si="61"/>
        <v>Failed</v>
      </c>
    </row>
    <row r="606" spans="1:13" x14ac:dyDescent="0.3">
      <c r="A606" s="50">
        <v>32</v>
      </c>
      <c r="B606" s="45" t="s">
        <v>1249</v>
      </c>
      <c r="C606" s="45" t="s">
        <v>422</v>
      </c>
      <c r="D606" s="12" t="s">
        <v>1649</v>
      </c>
      <c r="E606" s="12">
        <v>7.5</v>
      </c>
      <c r="F606" s="346">
        <v>11.25</v>
      </c>
      <c r="G606" s="241">
        <f t="shared" si="58"/>
        <v>18.75</v>
      </c>
      <c r="H606" s="12"/>
      <c r="I606" s="12"/>
      <c r="J606" s="12">
        <v>44</v>
      </c>
      <c r="K606" s="241">
        <f t="shared" si="59"/>
        <v>62.75</v>
      </c>
      <c r="L606" t="str">
        <f t="shared" si="60"/>
        <v>B</v>
      </c>
      <c r="M606" t="str">
        <f t="shared" si="61"/>
        <v>Passed</v>
      </c>
    </row>
    <row r="607" spans="1:13" x14ac:dyDescent="0.3">
      <c r="A607" s="50">
        <v>33</v>
      </c>
      <c r="B607" s="45" t="s">
        <v>150</v>
      </c>
      <c r="C607" s="45" t="s">
        <v>98</v>
      </c>
      <c r="D607" s="12" t="s">
        <v>1645</v>
      </c>
      <c r="E607" s="12">
        <v>9</v>
      </c>
      <c r="F607" s="12">
        <v>23</v>
      </c>
      <c r="G607" s="241">
        <f t="shared" si="58"/>
        <v>32</v>
      </c>
      <c r="H607" s="12"/>
      <c r="I607" s="12"/>
      <c r="J607" s="12">
        <v>44</v>
      </c>
      <c r="K607" s="241">
        <f t="shared" si="59"/>
        <v>76</v>
      </c>
      <c r="L607" t="str">
        <f t="shared" si="60"/>
        <v>B+</v>
      </c>
      <c r="M607" t="str">
        <f t="shared" si="61"/>
        <v>Passed</v>
      </c>
    </row>
    <row r="608" spans="1:13" x14ac:dyDescent="0.3">
      <c r="A608" s="50">
        <v>34</v>
      </c>
      <c r="B608" s="45" t="s">
        <v>151</v>
      </c>
      <c r="C608" s="45" t="s">
        <v>99</v>
      </c>
      <c r="D608" s="12" t="s">
        <v>1652</v>
      </c>
      <c r="E608" s="12">
        <v>8</v>
      </c>
      <c r="F608" s="12">
        <v>23</v>
      </c>
      <c r="G608" s="241">
        <f t="shared" si="58"/>
        <v>31</v>
      </c>
      <c r="H608" s="12"/>
      <c r="I608" s="12"/>
      <c r="J608" s="12">
        <v>39</v>
      </c>
      <c r="K608" s="241">
        <f t="shared" si="59"/>
        <v>70</v>
      </c>
      <c r="L608" t="str">
        <f t="shared" si="60"/>
        <v>B+</v>
      </c>
      <c r="M608" t="str">
        <f t="shared" si="61"/>
        <v>Passed</v>
      </c>
    </row>
    <row r="609" spans="1:13" x14ac:dyDescent="0.3">
      <c r="A609" s="50">
        <v>35</v>
      </c>
      <c r="B609" s="45" t="s">
        <v>157</v>
      </c>
      <c r="C609" s="45" t="s">
        <v>106</v>
      </c>
      <c r="D609" s="12" t="s">
        <v>1616</v>
      </c>
      <c r="E609" s="12">
        <v>10</v>
      </c>
      <c r="F609" s="12">
        <v>23</v>
      </c>
      <c r="G609" s="241">
        <f t="shared" si="58"/>
        <v>33</v>
      </c>
      <c r="H609" s="12"/>
      <c r="I609" s="12"/>
      <c r="J609" s="12">
        <v>40.5</v>
      </c>
      <c r="K609" s="241">
        <f t="shared" si="59"/>
        <v>73.5</v>
      </c>
      <c r="L609" t="str">
        <f t="shared" si="60"/>
        <v>B+</v>
      </c>
      <c r="M609" t="str">
        <f t="shared" si="61"/>
        <v>Passed</v>
      </c>
    </row>
    <row r="610" spans="1:13" x14ac:dyDescent="0.3">
      <c r="A610" s="50">
        <v>36</v>
      </c>
      <c r="B610" s="45" t="s">
        <v>158</v>
      </c>
      <c r="C610" s="45" t="s">
        <v>107</v>
      </c>
      <c r="D610" s="12" t="s">
        <v>1653</v>
      </c>
      <c r="E610" s="12">
        <v>8</v>
      </c>
      <c r="F610" s="12">
        <v>22</v>
      </c>
      <c r="G610" s="241">
        <f t="shared" si="58"/>
        <v>30</v>
      </c>
      <c r="H610" s="12"/>
      <c r="I610" s="12"/>
      <c r="J610" s="12">
        <v>53</v>
      </c>
      <c r="K610" s="241">
        <f t="shared" si="59"/>
        <v>83</v>
      </c>
      <c r="L610" t="str">
        <f t="shared" si="60"/>
        <v>A</v>
      </c>
      <c r="M610" t="str">
        <f t="shared" si="61"/>
        <v>Passed</v>
      </c>
    </row>
    <row r="611" spans="1:13" x14ac:dyDescent="0.3">
      <c r="A611" s="50">
        <v>37</v>
      </c>
      <c r="B611" s="45" t="s">
        <v>159</v>
      </c>
      <c r="C611" s="45" t="s">
        <v>108</v>
      </c>
      <c r="D611" s="12" t="s">
        <v>1632</v>
      </c>
      <c r="E611" s="12">
        <v>9</v>
      </c>
      <c r="F611" s="12">
        <v>17</v>
      </c>
      <c r="G611" s="241">
        <f t="shared" si="58"/>
        <v>26</v>
      </c>
      <c r="H611" s="12"/>
      <c r="I611" s="12"/>
      <c r="J611" s="12">
        <v>55</v>
      </c>
      <c r="K611" s="241">
        <f t="shared" si="59"/>
        <v>81</v>
      </c>
      <c r="L611" t="str">
        <f t="shared" si="60"/>
        <v>A</v>
      </c>
      <c r="M611" t="str">
        <f t="shared" si="61"/>
        <v>Passed</v>
      </c>
    </row>
    <row r="612" spans="1:13" x14ac:dyDescent="0.3">
      <c r="A612" s="50">
        <v>38</v>
      </c>
      <c r="B612" s="45" t="s">
        <v>167</v>
      </c>
      <c r="C612" s="45" t="s">
        <v>118</v>
      </c>
      <c r="D612" s="12" t="s">
        <v>1629</v>
      </c>
      <c r="E612" s="12">
        <v>9</v>
      </c>
      <c r="F612" s="12">
        <v>13</v>
      </c>
      <c r="G612" s="241">
        <f t="shared" si="58"/>
        <v>22</v>
      </c>
      <c r="H612" s="12"/>
      <c r="I612" s="12"/>
      <c r="J612" s="12">
        <v>55</v>
      </c>
      <c r="K612" s="241">
        <f t="shared" si="59"/>
        <v>77</v>
      </c>
      <c r="L612" t="str">
        <f t="shared" si="60"/>
        <v>B+</v>
      </c>
      <c r="M612" t="str">
        <f t="shared" si="61"/>
        <v>Passed</v>
      </c>
    </row>
    <row r="613" spans="1:13" x14ac:dyDescent="0.3">
      <c r="A613" s="50">
        <v>39</v>
      </c>
      <c r="B613" s="45" t="s">
        <v>171</v>
      </c>
      <c r="C613" s="45" t="s">
        <v>125</v>
      </c>
      <c r="D613" s="12" t="s">
        <v>1625</v>
      </c>
      <c r="E613" s="12">
        <v>8</v>
      </c>
      <c r="F613" s="12">
        <v>23</v>
      </c>
      <c r="G613" s="241">
        <f t="shared" si="58"/>
        <v>31</v>
      </c>
      <c r="H613" s="12"/>
      <c r="I613" s="12"/>
      <c r="J613" s="12">
        <v>34</v>
      </c>
      <c r="K613" s="241">
        <f t="shared" si="59"/>
        <v>65</v>
      </c>
      <c r="L613" t="str">
        <f t="shared" si="60"/>
        <v>B</v>
      </c>
      <c r="M613" t="str">
        <f t="shared" si="61"/>
        <v>Passed</v>
      </c>
    </row>
    <row r="614" spans="1:13" x14ac:dyDescent="0.3">
      <c r="A614" s="50">
        <v>40</v>
      </c>
      <c r="B614" s="45" t="s">
        <v>174</v>
      </c>
      <c r="C614" s="45" t="s">
        <v>128</v>
      </c>
      <c r="D614" s="12" t="s">
        <v>1647</v>
      </c>
      <c r="E614" s="12">
        <v>9</v>
      </c>
      <c r="F614" s="12">
        <v>23</v>
      </c>
      <c r="G614" s="241">
        <f t="shared" si="58"/>
        <v>32</v>
      </c>
      <c r="H614" s="12"/>
      <c r="I614" s="12"/>
      <c r="J614" s="12">
        <v>33</v>
      </c>
      <c r="K614" s="241">
        <f t="shared" si="59"/>
        <v>65</v>
      </c>
      <c r="L614" t="str">
        <f t="shared" si="60"/>
        <v>B</v>
      </c>
      <c r="M614" t="str">
        <f t="shared" si="61"/>
        <v>Passed</v>
      </c>
    </row>
    <row r="615" spans="1:13" x14ac:dyDescent="0.3">
      <c r="A615" s="50">
        <v>41</v>
      </c>
      <c r="B615" s="45" t="s">
        <v>220</v>
      </c>
      <c r="C615" s="45" t="s">
        <v>130</v>
      </c>
      <c r="D615" s="12" t="s">
        <v>1633</v>
      </c>
      <c r="E615" s="12">
        <v>8</v>
      </c>
      <c r="F615" s="12">
        <v>22</v>
      </c>
      <c r="G615" s="241">
        <f t="shared" si="58"/>
        <v>30</v>
      </c>
      <c r="H615" s="12"/>
      <c r="I615" s="12"/>
      <c r="J615" s="12">
        <v>47</v>
      </c>
      <c r="K615" s="241">
        <f t="shared" si="59"/>
        <v>77</v>
      </c>
      <c r="L615" t="str">
        <f t="shared" si="60"/>
        <v>B+</v>
      </c>
      <c r="M615" t="str">
        <f t="shared" si="61"/>
        <v>Passed</v>
      </c>
    </row>
    <row r="616" spans="1:13" x14ac:dyDescent="0.3">
      <c r="A616" s="50">
        <v>42</v>
      </c>
      <c r="B616" s="45" t="s">
        <v>659</v>
      </c>
      <c r="C616" s="45" t="s">
        <v>117</v>
      </c>
      <c r="D616" s="12" t="s">
        <v>1612</v>
      </c>
      <c r="E616" s="12">
        <v>10</v>
      </c>
      <c r="F616" s="12">
        <v>26</v>
      </c>
      <c r="G616" s="241">
        <f t="shared" si="58"/>
        <v>36</v>
      </c>
      <c r="H616" s="12"/>
      <c r="I616" s="12"/>
      <c r="J616" s="12">
        <v>50</v>
      </c>
      <c r="K616" s="241">
        <f t="shared" si="59"/>
        <v>86</v>
      </c>
      <c r="L616" t="str">
        <f t="shared" si="60"/>
        <v>A</v>
      </c>
      <c r="M616" t="str">
        <f t="shared" si="61"/>
        <v>Passed</v>
      </c>
    </row>
    <row r="617" spans="1:13" x14ac:dyDescent="0.3">
      <c r="A617" s="50">
        <v>43</v>
      </c>
      <c r="B617" s="45" t="s">
        <v>146</v>
      </c>
      <c r="C617" s="45" t="s">
        <v>94</v>
      </c>
      <c r="D617" s="12" t="s">
        <v>1636</v>
      </c>
      <c r="E617" s="12">
        <v>10</v>
      </c>
      <c r="F617" s="12">
        <v>25</v>
      </c>
      <c r="G617" s="241">
        <f t="shared" si="58"/>
        <v>35</v>
      </c>
      <c r="H617" s="12"/>
      <c r="I617" s="12"/>
      <c r="J617" s="12">
        <v>54</v>
      </c>
      <c r="K617" s="241">
        <f t="shared" si="59"/>
        <v>89</v>
      </c>
      <c r="L617" t="str">
        <f t="shared" si="60"/>
        <v>A</v>
      </c>
      <c r="M617" t="str">
        <f t="shared" si="61"/>
        <v>Passed</v>
      </c>
    </row>
    <row r="618" spans="1:13" x14ac:dyDescent="0.3">
      <c r="A618" s="50">
        <v>44</v>
      </c>
      <c r="B618" s="277" t="s">
        <v>147</v>
      </c>
      <c r="C618" s="45" t="s">
        <v>95</v>
      </c>
      <c r="D618" s="12" t="s">
        <v>1655</v>
      </c>
      <c r="E618" s="12">
        <v>8</v>
      </c>
      <c r="F618" s="12">
        <v>24</v>
      </c>
      <c r="G618" s="241">
        <f t="shared" si="58"/>
        <v>32</v>
      </c>
      <c r="H618" s="12"/>
      <c r="I618" s="12"/>
      <c r="J618" s="12">
        <v>52</v>
      </c>
      <c r="K618" s="241">
        <f t="shared" si="59"/>
        <v>84</v>
      </c>
      <c r="L618" t="str">
        <f t="shared" si="60"/>
        <v>A</v>
      </c>
      <c r="M618" t="str">
        <f t="shared" si="61"/>
        <v>Passed</v>
      </c>
    </row>
    <row r="619" spans="1:13" x14ac:dyDescent="0.3">
      <c r="A619" s="50">
        <v>45</v>
      </c>
      <c r="B619" s="45" t="s">
        <v>155</v>
      </c>
      <c r="C619" s="45" t="s">
        <v>103</v>
      </c>
      <c r="D619" s="12" t="s">
        <v>1628</v>
      </c>
      <c r="E619" s="12">
        <v>8</v>
      </c>
      <c r="F619" s="12">
        <v>17</v>
      </c>
      <c r="G619" s="241">
        <f t="shared" si="58"/>
        <v>25</v>
      </c>
      <c r="H619" s="12"/>
      <c r="I619" s="12"/>
      <c r="J619" s="12">
        <v>31</v>
      </c>
      <c r="K619" s="241">
        <f t="shared" si="59"/>
        <v>56</v>
      </c>
      <c r="L619" t="str">
        <f t="shared" si="60"/>
        <v>C+</v>
      </c>
      <c r="M619" t="str">
        <f t="shared" si="61"/>
        <v>Passed</v>
      </c>
    </row>
    <row r="620" spans="1:13" x14ac:dyDescent="0.3">
      <c r="A620" s="50">
        <v>46</v>
      </c>
      <c r="B620" s="45" t="s">
        <v>182</v>
      </c>
      <c r="C620" s="45" t="s">
        <v>105</v>
      </c>
      <c r="D620" s="12" t="s">
        <v>1611</v>
      </c>
      <c r="E620" s="12"/>
      <c r="F620" s="12"/>
      <c r="G620" s="241"/>
      <c r="H620" s="12"/>
      <c r="I620" s="12"/>
      <c r="J620" s="12"/>
      <c r="K620" s="241"/>
    </row>
    <row r="621" spans="1:13" x14ac:dyDescent="0.3">
      <c r="A621" s="50">
        <v>47</v>
      </c>
      <c r="B621" s="45" t="s">
        <v>161</v>
      </c>
      <c r="C621" s="45" t="s">
        <v>111</v>
      </c>
      <c r="D621" s="12" t="s">
        <v>1611</v>
      </c>
      <c r="E621" s="12"/>
      <c r="F621" s="12"/>
      <c r="G621" s="241"/>
      <c r="H621" s="12"/>
      <c r="I621" s="12"/>
      <c r="J621" s="12"/>
      <c r="K621" s="241"/>
    </row>
    <row r="622" spans="1:13" x14ac:dyDescent="0.3">
      <c r="A622" s="50">
        <v>48</v>
      </c>
      <c r="B622" s="45" t="s">
        <v>169</v>
      </c>
      <c r="C622" s="45" t="s">
        <v>122</v>
      </c>
      <c r="D622" s="12" t="s">
        <v>1611</v>
      </c>
      <c r="E622" s="12"/>
      <c r="F622" s="12"/>
      <c r="G622" s="241"/>
      <c r="H622" s="12"/>
      <c r="I622" s="12"/>
      <c r="J622" s="12"/>
      <c r="K622" s="241"/>
    </row>
    <row r="623" spans="1:13" x14ac:dyDescent="0.3">
      <c r="A623" s="50">
        <v>49</v>
      </c>
      <c r="B623" s="45" t="s">
        <v>648</v>
      </c>
      <c r="C623" s="45" t="s">
        <v>129</v>
      </c>
      <c r="D623" s="12" t="s">
        <v>1637</v>
      </c>
      <c r="E623" s="12">
        <v>10</v>
      </c>
      <c r="F623" s="12">
        <v>23</v>
      </c>
      <c r="G623" s="241">
        <f t="shared" si="58"/>
        <v>33</v>
      </c>
      <c r="H623" s="12"/>
      <c r="I623" s="12"/>
      <c r="J623" s="12">
        <v>49</v>
      </c>
      <c r="K623" s="241">
        <f t="shared" si="59"/>
        <v>82</v>
      </c>
      <c r="L623" t="str">
        <f t="shared" si="60"/>
        <v>A</v>
      </c>
      <c r="M623" t="str">
        <f t="shared" si="61"/>
        <v>Passed</v>
      </c>
    </row>
    <row r="624" spans="1:13" x14ac:dyDescent="0.3">
      <c r="A624" s="50">
        <v>50</v>
      </c>
      <c r="B624" s="45" t="s">
        <v>177</v>
      </c>
      <c r="C624" s="45" t="s">
        <v>132</v>
      </c>
      <c r="D624" s="12" t="s">
        <v>1621</v>
      </c>
      <c r="E624" s="12">
        <v>10</v>
      </c>
      <c r="F624" s="12">
        <v>25</v>
      </c>
      <c r="G624" s="241">
        <f t="shared" si="58"/>
        <v>35</v>
      </c>
      <c r="H624" s="12"/>
      <c r="I624" s="12"/>
      <c r="J624" s="12">
        <v>42</v>
      </c>
      <c r="K624" s="241">
        <f t="shared" si="59"/>
        <v>77</v>
      </c>
      <c r="L624" t="str">
        <f t="shared" si="60"/>
        <v>B+</v>
      </c>
      <c r="M624" t="str">
        <f t="shared" si="61"/>
        <v>Passed</v>
      </c>
    </row>
    <row r="625" spans="1:15" x14ac:dyDescent="0.3">
      <c r="A625" s="50">
        <v>51</v>
      </c>
      <c r="B625" s="45" t="s">
        <v>179</v>
      </c>
      <c r="C625" s="45" t="s">
        <v>665</v>
      </c>
      <c r="D625" s="12" t="s">
        <v>1654</v>
      </c>
      <c r="E625" s="12">
        <v>10</v>
      </c>
      <c r="F625" s="12">
        <v>23</v>
      </c>
      <c r="G625" s="241">
        <f t="shared" si="58"/>
        <v>33</v>
      </c>
      <c r="H625" s="12"/>
      <c r="I625" s="12"/>
      <c r="J625" s="12">
        <v>39</v>
      </c>
      <c r="K625" s="241">
        <f t="shared" si="59"/>
        <v>72</v>
      </c>
      <c r="L625" t="str">
        <f t="shared" si="60"/>
        <v>B+</v>
      </c>
      <c r="M625" t="str">
        <f t="shared" si="61"/>
        <v>Passed</v>
      </c>
    </row>
    <row r="626" spans="1:15" x14ac:dyDescent="0.3">
      <c r="A626" s="50">
        <v>52</v>
      </c>
      <c r="B626" s="45" t="s">
        <v>180</v>
      </c>
      <c r="C626" s="45" t="s">
        <v>136</v>
      </c>
      <c r="D626" s="12" t="s">
        <v>1646</v>
      </c>
      <c r="E626" s="12">
        <v>10</v>
      </c>
      <c r="F626" s="12">
        <v>23</v>
      </c>
      <c r="G626" s="241">
        <f t="shared" si="58"/>
        <v>33</v>
      </c>
      <c r="H626" s="12"/>
      <c r="I626" s="12"/>
      <c r="J626" s="12">
        <v>47</v>
      </c>
      <c r="K626" s="241">
        <f t="shared" si="59"/>
        <v>80</v>
      </c>
      <c r="L626" t="str">
        <f t="shared" si="60"/>
        <v>A</v>
      </c>
      <c r="M626" t="str">
        <f t="shared" si="61"/>
        <v>Passed</v>
      </c>
    </row>
    <row r="627" spans="1:15" x14ac:dyDescent="0.3">
      <c r="A627" s="50">
        <v>53</v>
      </c>
      <c r="B627" s="45" t="s">
        <v>183</v>
      </c>
      <c r="C627" s="45" t="s">
        <v>140</v>
      </c>
      <c r="D627" s="12" t="s">
        <v>1660</v>
      </c>
      <c r="E627" s="12">
        <v>8</v>
      </c>
      <c r="F627" s="12">
        <v>23</v>
      </c>
      <c r="G627" s="241">
        <f t="shared" si="58"/>
        <v>31</v>
      </c>
      <c r="H627" s="12"/>
      <c r="I627" s="12"/>
      <c r="J627" s="12">
        <v>33</v>
      </c>
      <c r="K627" s="241">
        <f t="shared" si="59"/>
        <v>64</v>
      </c>
      <c r="L627" t="str">
        <f t="shared" si="60"/>
        <v>B</v>
      </c>
      <c r="M627" t="str">
        <f t="shared" si="61"/>
        <v>Passed</v>
      </c>
    </row>
    <row r="628" spans="1:15" x14ac:dyDescent="0.3">
      <c r="A628" s="50">
        <v>54</v>
      </c>
      <c r="B628" s="45" t="s">
        <v>184</v>
      </c>
      <c r="C628" s="45" t="s">
        <v>142</v>
      </c>
      <c r="D628" s="12" t="s">
        <v>1648</v>
      </c>
      <c r="E628" s="12">
        <v>8</v>
      </c>
      <c r="F628" s="12">
        <v>23</v>
      </c>
      <c r="G628" s="241">
        <f t="shared" si="58"/>
        <v>31</v>
      </c>
      <c r="H628" s="12"/>
      <c r="I628" s="12"/>
      <c r="J628" s="12">
        <v>50</v>
      </c>
      <c r="K628" s="241">
        <f t="shared" si="59"/>
        <v>81</v>
      </c>
      <c r="L628" t="str">
        <f t="shared" si="60"/>
        <v>A</v>
      </c>
      <c r="M628" t="str">
        <f t="shared" si="61"/>
        <v>Passed</v>
      </c>
    </row>
    <row r="629" spans="1:15" x14ac:dyDescent="0.3">
      <c r="A629" s="312"/>
      <c r="B629" s="56"/>
      <c r="C629" s="56"/>
      <c r="D629" s="56"/>
      <c r="E629" s="56"/>
      <c r="F629" s="56"/>
      <c r="G629" s="56"/>
      <c r="H629" s="56"/>
      <c r="I629" s="56"/>
      <c r="J629" s="56"/>
      <c r="K629" s="56"/>
    </row>
    <row r="630" spans="1:15" x14ac:dyDescent="0.3">
      <c r="A630" s="312"/>
      <c r="B630" s="56"/>
      <c r="C630" s="56"/>
      <c r="D630" s="56"/>
      <c r="E630" s="56"/>
      <c r="F630" s="56"/>
      <c r="G630" s="56"/>
      <c r="H630" s="56"/>
      <c r="I630" s="56"/>
      <c r="J630" s="56"/>
      <c r="K630" s="56"/>
    </row>
    <row r="636" spans="1:15" x14ac:dyDescent="0.3">
      <c r="A636" s="38" t="s">
        <v>0</v>
      </c>
      <c r="B636" s="39"/>
      <c r="C636" s="39"/>
      <c r="D636" s="39"/>
      <c r="E636" s="39"/>
      <c r="F636" s="39"/>
      <c r="G636" s="39"/>
      <c r="H636" s="70"/>
      <c r="I636" s="70"/>
      <c r="J636" s="39"/>
      <c r="K636" s="39"/>
      <c r="L636" s="39"/>
    </row>
    <row r="637" spans="1:15" x14ac:dyDescent="0.3">
      <c r="A637" s="14" t="s">
        <v>66</v>
      </c>
      <c r="B637" s="14"/>
      <c r="C637" s="14"/>
      <c r="D637" s="14"/>
      <c r="E637" s="14"/>
      <c r="F637" s="14"/>
      <c r="G637" s="14"/>
      <c r="H637" s="14"/>
      <c r="I637" s="14"/>
      <c r="J637" s="14"/>
      <c r="K637" s="14"/>
    </row>
    <row r="638" spans="1:15" x14ac:dyDescent="0.3">
      <c r="A638" s="460" t="s">
        <v>362</v>
      </c>
      <c r="B638" s="461"/>
      <c r="C638" s="461"/>
      <c r="D638" s="2"/>
      <c r="E638" s="2"/>
      <c r="F638" s="2"/>
      <c r="G638" s="2"/>
      <c r="H638" s="2"/>
      <c r="I638" s="2"/>
      <c r="J638" s="2"/>
      <c r="K638" s="2"/>
      <c r="L638" s="1"/>
      <c r="M638" s="16"/>
      <c r="N638" s="16"/>
      <c r="O638" s="13"/>
    </row>
    <row r="639" spans="1:15" x14ac:dyDescent="0.3">
      <c r="A639" s="38" t="s">
        <v>1</v>
      </c>
      <c r="B639" s="462" t="s">
        <v>48</v>
      </c>
      <c r="C639" s="462"/>
      <c r="D639" s="38"/>
      <c r="E639" s="38"/>
      <c r="F639" s="38"/>
      <c r="G639" s="38"/>
      <c r="H639" s="68"/>
      <c r="I639" s="68"/>
      <c r="J639" s="38"/>
      <c r="K639" s="38"/>
      <c r="L639" s="39"/>
    </row>
    <row r="640" spans="1:15" x14ac:dyDescent="0.3">
      <c r="A640" s="38" t="s">
        <v>3</v>
      </c>
      <c r="B640" s="462" t="s">
        <v>82</v>
      </c>
      <c r="C640" s="462"/>
      <c r="D640" s="38"/>
      <c r="E640" s="38"/>
      <c r="F640" s="38"/>
      <c r="G640" s="38"/>
      <c r="H640" s="68"/>
      <c r="I640" s="68"/>
      <c r="J640" s="38"/>
      <c r="K640" s="38"/>
      <c r="L640" s="39"/>
    </row>
    <row r="641" spans="1:15" x14ac:dyDescent="0.3">
      <c r="A641" s="38" t="s">
        <v>4</v>
      </c>
      <c r="B641" s="462" t="s">
        <v>83</v>
      </c>
      <c r="C641" s="462"/>
      <c r="D641" s="38"/>
      <c r="E641" s="38"/>
      <c r="F641" s="38"/>
      <c r="G641" s="38"/>
      <c r="H641" s="68"/>
      <c r="I641" s="68"/>
      <c r="J641" s="38"/>
      <c r="K641" s="38"/>
      <c r="L641" s="39"/>
    </row>
    <row r="642" spans="1:15" x14ac:dyDescent="0.3">
      <c r="A642" s="38" t="s">
        <v>5</v>
      </c>
      <c r="B642" s="463">
        <v>3</v>
      </c>
      <c r="C642" s="463"/>
      <c r="D642" s="38"/>
      <c r="E642" s="38"/>
      <c r="F642" s="38"/>
      <c r="G642" s="38"/>
      <c r="H642" s="68"/>
      <c r="I642" s="68"/>
      <c r="J642" s="38"/>
      <c r="K642" s="38"/>
      <c r="L642" s="39"/>
    </row>
    <row r="643" spans="1:15" x14ac:dyDescent="0.3">
      <c r="A643" s="38" t="s">
        <v>6</v>
      </c>
      <c r="B643" s="462" t="s">
        <v>81</v>
      </c>
      <c r="C643" s="462"/>
      <c r="D643" s="38"/>
      <c r="E643" s="38"/>
      <c r="F643" s="38"/>
      <c r="G643" s="38"/>
      <c r="H643" s="68"/>
      <c r="I643" s="68"/>
      <c r="J643" s="38"/>
      <c r="K643" s="38"/>
      <c r="L643" s="39"/>
    </row>
    <row r="644" spans="1:15" x14ac:dyDescent="0.3">
      <c r="A644" s="38" t="s">
        <v>68</v>
      </c>
      <c r="B644" s="462"/>
      <c r="C644" s="462"/>
      <c r="D644" s="38"/>
      <c r="E644" s="38"/>
      <c r="F644" s="38"/>
      <c r="G644" s="38"/>
      <c r="H644" s="68"/>
      <c r="I644" s="68"/>
      <c r="J644" s="38"/>
      <c r="K644" s="38"/>
      <c r="L644" s="39"/>
    </row>
    <row r="645" spans="1:15" x14ac:dyDescent="0.3">
      <c r="A645" s="44"/>
      <c r="B645" s="14"/>
      <c r="C645" s="14"/>
      <c r="D645" s="14"/>
      <c r="E645" s="14"/>
      <c r="F645" s="14"/>
      <c r="G645" s="14"/>
      <c r="H645" s="14"/>
      <c r="I645" s="14"/>
      <c r="J645" s="14"/>
      <c r="K645" s="14"/>
    </row>
    <row r="646" spans="1:15" ht="49.2" x14ac:dyDescent="0.3">
      <c r="A646" s="42" t="s">
        <v>8</v>
      </c>
      <c r="B646" s="42" t="s">
        <v>9</v>
      </c>
      <c r="C646" s="42" t="s">
        <v>10</v>
      </c>
      <c r="D646" s="42" t="s">
        <v>11</v>
      </c>
      <c r="E646" s="43" t="s">
        <v>12</v>
      </c>
      <c r="F646" s="43" t="s">
        <v>13</v>
      </c>
      <c r="G646" s="43" t="s">
        <v>14</v>
      </c>
      <c r="H646" s="43" t="s">
        <v>208</v>
      </c>
      <c r="I646" s="43" t="s">
        <v>209</v>
      </c>
      <c r="J646" s="43" t="s">
        <v>15</v>
      </c>
      <c r="K646" s="43" t="s">
        <v>16</v>
      </c>
      <c r="L646" s="14" t="s">
        <v>17</v>
      </c>
      <c r="M646" s="14" t="s">
        <v>18</v>
      </c>
      <c r="N646" s="14" t="s">
        <v>19</v>
      </c>
    </row>
    <row r="647" spans="1:15" x14ac:dyDescent="0.3">
      <c r="A647" s="1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N647" t="s">
        <v>20</v>
      </c>
      <c r="O647">
        <f>COUNT(G648:G679)</f>
        <v>29</v>
      </c>
    </row>
    <row r="648" spans="1:15" x14ac:dyDescent="0.3">
      <c r="A648" s="12">
        <v>1</v>
      </c>
      <c r="B648" s="45" t="s">
        <v>203</v>
      </c>
      <c r="C648" s="45" t="s">
        <v>92</v>
      </c>
      <c r="D648" s="12" t="s">
        <v>1081</v>
      </c>
      <c r="E648" s="241">
        <v>9</v>
      </c>
      <c r="F648" s="12">
        <v>18</v>
      </c>
      <c r="G648" s="241">
        <f>SUM(E648:F648)</f>
        <v>27</v>
      </c>
      <c r="H648" s="12"/>
      <c r="I648" s="12"/>
      <c r="J648" s="12">
        <v>50</v>
      </c>
      <c r="K648" s="241">
        <f>SUM(G648:J648)</f>
        <v>77</v>
      </c>
      <c r="L648" t="str">
        <f t="shared" ref="L648:L659" si="62">IF(K648&gt;=80,"A",IF(K648&gt;=70,"B+",IF(K648&gt;=60,"B",IF(K648&gt;=55,"C+",IF(K648&gt;=50,"C",IF(K648&gt;=45,"D+",IF(K648&gt;=40,"D","F")))))))</f>
        <v>B+</v>
      </c>
      <c r="M648" t="str">
        <f t="shared" ref="M648:M659" si="63">IF(K648&gt;=50,"Passed","Failed")</f>
        <v>Passed</v>
      </c>
      <c r="N648" t="s">
        <v>21</v>
      </c>
      <c r="O648">
        <f>COUNT(J648:J679)</f>
        <v>29</v>
      </c>
    </row>
    <row r="649" spans="1:15" x14ac:dyDescent="0.3">
      <c r="A649" s="12">
        <v>2</v>
      </c>
      <c r="B649" s="45" t="s">
        <v>145</v>
      </c>
      <c r="C649" s="45" t="s">
        <v>93</v>
      </c>
      <c r="D649" s="12" t="s">
        <v>1097</v>
      </c>
      <c r="E649" s="241">
        <v>8</v>
      </c>
      <c r="F649" s="12">
        <v>20</v>
      </c>
      <c r="G649" s="241">
        <f t="shared" ref="G649:G679" si="64">SUM(E649:F649)</f>
        <v>28</v>
      </c>
      <c r="H649" s="12"/>
      <c r="I649" s="12"/>
      <c r="J649" s="12">
        <v>18</v>
      </c>
      <c r="K649" s="241">
        <f t="shared" ref="K649:K679" si="65">SUM(G649:J649)</f>
        <v>46</v>
      </c>
      <c r="L649" t="str">
        <f t="shared" si="62"/>
        <v>D+</v>
      </c>
      <c r="M649" t="str">
        <f t="shared" si="63"/>
        <v>Failed</v>
      </c>
      <c r="N649" t="s">
        <v>22</v>
      </c>
      <c r="O649">
        <f>O647-O648</f>
        <v>0</v>
      </c>
    </row>
    <row r="650" spans="1:15" x14ac:dyDescent="0.3">
      <c r="A650" s="12">
        <v>3</v>
      </c>
      <c r="B650" s="45" t="s">
        <v>149</v>
      </c>
      <c r="C650" s="45" t="s">
        <v>97</v>
      </c>
      <c r="D650" s="12" t="s">
        <v>1084</v>
      </c>
      <c r="E650" s="241">
        <v>9</v>
      </c>
      <c r="F650" s="12">
        <v>23</v>
      </c>
      <c r="G650" s="241">
        <f t="shared" si="64"/>
        <v>32</v>
      </c>
      <c r="H650" s="12"/>
      <c r="I650" s="12"/>
      <c r="J650" s="12">
        <v>46</v>
      </c>
      <c r="K650" s="241">
        <f t="shared" si="65"/>
        <v>78</v>
      </c>
      <c r="L650" t="str">
        <f t="shared" si="62"/>
        <v>B+</v>
      </c>
      <c r="M650" t="str">
        <f t="shared" si="63"/>
        <v>Passed</v>
      </c>
      <c r="N650" t="s">
        <v>23</v>
      </c>
      <c r="O650">
        <f>COUNTIF(M648:M679,"Passed")</f>
        <v>19</v>
      </c>
    </row>
    <row r="651" spans="1:15" x14ac:dyDescent="0.3">
      <c r="A651" s="50">
        <v>4</v>
      </c>
      <c r="B651" s="45" t="s">
        <v>152</v>
      </c>
      <c r="C651" s="45" t="s">
        <v>100</v>
      </c>
      <c r="D651" s="12" t="s">
        <v>1096</v>
      </c>
      <c r="E651" s="241">
        <v>7.5</v>
      </c>
      <c r="F651" s="12">
        <v>18</v>
      </c>
      <c r="G651" s="241">
        <f t="shared" si="64"/>
        <v>25.5</v>
      </c>
      <c r="H651" s="12"/>
      <c r="I651" s="12"/>
      <c r="J651" s="12">
        <v>30</v>
      </c>
      <c r="K651" s="241">
        <f t="shared" si="65"/>
        <v>55.5</v>
      </c>
      <c r="L651" t="str">
        <f t="shared" si="62"/>
        <v>C+</v>
      </c>
      <c r="M651" t="str">
        <f t="shared" si="63"/>
        <v>Passed</v>
      </c>
      <c r="N651" t="s">
        <v>24</v>
      </c>
      <c r="O651">
        <f>O650/O648%</f>
        <v>65.517241379310349</v>
      </c>
    </row>
    <row r="652" spans="1:15" x14ac:dyDescent="0.3">
      <c r="A652" s="12">
        <v>5</v>
      </c>
      <c r="B652" s="45" t="s">
        <v>156</v>
      </c>
      <c r="C652" s="45" t="s">
        <v>104</v>
      </c>
      <c r="D652" s="12" t="s">
        <v>1087</v>
      </c>
      <c r="E652" s="241">
        <v>9</v>
      </c>
      <c r="F652" s="12">
        <v>21</v>
      </c>
      <c r="G652" s="241">
        <f t="shared" si="64"/>
        <v>30</v>
      </c>
      <c r="H652" s="12"/>
      <c r="I652" s="12"/>
      <c r="J652" s="12">
        <v>51</v>
      </c>
      <c r="K652" s="241">
        <f t="shared" si="65"/>
        <v>81</v>
      </c>
      <c r="L652" t="str">
        <f t="shared" si="62"/>
        <v>A</v>
      </c>
      <c r="M652" t="str">
        <f t="shared" si="63"/>
        <v>Passed</v>
      </c>
      <c r="N652" t="s">
        <v>25</v>
      </c>
      <c r="O652">
        <f>COUNTIF(M648:M679,"failed")</f>
        <v>10</v>
      </c>
    </row>
    <row r="653" spans="1:15" x14ac:dyDescent="0.3">
      <c r="A653" s="12">
        <v>6</v>
      </c>
      <c r="B653" s="45" t="s">
        <v>160</v>
      </c>
      <c r="C653" s="45" t="s">
        <v>109</v>
      </c>
      <c r="D653" s="12" t="s">
        <v>1082</v>
      </c>
      <c r="E653" s="241">
        <v>10</v>
      </c>
      <c r="F653" s="12">
        <v>20</v>
      </c>
      <c r="G653" s="241">
        <f t="shared" si="64"/>
        <v>30</v>
      </c>
      <c r="H653" s="12"/>
      <c r="I653" s="12"/>
      <c r="J653" s="12">
        <v>45</v>
      </c>
      <c r="K653" s="241">
        <f t="shared" si="65"/>
        <v>75</v>
      </c>
      <c r="L653" t="str">
        <f t="shared" si="62"/>
        <v>B+</v>
      </c>
      <c r="M653" t="str">
        <f t="shared" si="63"/>
        <v>Passed</v>
      </c>
      <c r="N653" t="s">
        <v>26</v>
      </c>
      <c r="O653">
        <f>O652/O648%</f>
        <v>34.482758620689658</v>
      </c>
    </row>
    <row r="654" spans="1:15" x14ac:dyDescent="0.3">
      <c r="A654" s="12">
        <v>7</v>
      </c>
      <c r="B654" s="45" t="s">
        <v>207</v>
      </c>
      <c r="C654" s="45" t="s">
        <v>110</v>
      </c>
      <c r="D654" s="12" t="s">
        <v>1360</v>
      </c>
      <c r="E654" s="241"/>
      <c r="F654" s="12"/>
      <c r="G654" s="241"/>
      <c r="H654" s="12"/>
      <c r="I654" s="12"/>
      <c r="J654" s="12"/>
      <c r="K654" s="241"/>
      <c r="N654" t="s">
        <v>27</v>
      </c>
      <c r="O654" s="179">
        <f>AVERAGE(K648:K679)</f>
        <v>57.827586206896555</v>
      </c>
    </row>
    <row r="655" spans="1:15" x14ac:dyDescent="0.3">
      <c r="A655" s="12">
        <v>8</v>
      </c>
      <c r="B655" s="45" t="s">
        <v>163</v>
      </c>
      <c r="C655" s="45" t="s">
        <v>113</v>
      </c>
      <c r="D655" s="12" t="s">
        <v>1076</v>
      </c>
      <c r="E655" s="241">
        <v>9</v>
      </c>
      <c r="F655" s="12">
        <v>22</v>
      </c>
      <c r="G655" s="241">
        <f t="shared" si="64"/>
        <v>31</v>
      </c>
      <c r="H655" s="12"/>
      <c r="I655" s="12"/>
      <c r="J655" s="12">
        <v>38</v>
      </c>
      <c r="K655" s="241">
        <f t="shared" si="65"/>
        <v>69</v>
      </c>
      <c r="L655" t="str">
        <f t="shared" si="62"/>
        <v>B</v>
      </c>
      <c r="M655" t="str">
        <f t="shared" si="63"/>
        <v>Passed</v>
      </c>
    </row>
    <row r="656" spans="1:15" x14ac:dyDescent="0.3">
      <c r="A656" s="12">
        <v>9</v>
      </c>
      <c r="B656" s="45" t="s">
        <v>480</v>
      </c>
      <c r="C656" s="45" t="s">
        <v>115</v>
      </c>
      <c r="D656" s="12" t="s">
        <v>1094</v>
      </c>
      <c r="E656" s="241">
        <v>10</v>
      </c>
      <c r="F656" s="12">
        <v>25</v>
      </c>
      <c r="G656" s="241">
        <f t="shared" si="64"/>
        <v>35</v>
      </c>
      <c r="H656" s="12"/>
      <c r="I656" s="12"/>
      <c r="J656" s="12">
        <v>48</v>
      </c>
      <c r="K656" s="241">
        <f t="shared" si="65"/>
        <v>83</v>
      </c>
      <c r="L656" t="str">
        <f t="shared" si="62"/>
        <v>A</v>
      </c>
      <c r="M656" t="str">
        <f t="shared" si="63"/>
        <v>Passed</v>
      </c>
    </row>
    <row r="657" spans="1:22" x14ac:dyDescent="0.3">
      <c r="A657" s="12">
        <v>10</v>
      </c>
      <c r="B657" s="45" t="s">
        <v>200</v>
      </c>
      <c r="C657" s="45" t="s">
        <v>119</v>
      </c>
      <c r="D657" s="12" t="s">
        <v>1089</v>
      </c>
      <c r="E657" s="241">
        <v>8</v>
      </c>
      <c r="F657" s="12">
        <v>16</v>
      </c>
      <c r="G657" s="241">
        <f t="shared" si="64"/>
        <v>24</v>
      </c>
      <c r="H657" s="12"/>
      <c r="I657" s="12"/>
      <c r="J657" s="12">
        <v>10</v>
      </c>
      <c r="K657" s="241">
        <f t="shared" si="65"/>
        <v>34</v>
      </c>
      <c r="L657" t="str">
        <f t="shared" si="62"/>
        <v>F</v>
      </c>
      <c r="M657" t="str">
        <f t="shared" si="63"/>
        <v>Failed</v>
      </c>
    </row>
    <row r="658" spans="1:22" x14ac:dyDescent="0.3">
      <c r="A658" s="12">
        <v>11</v>
      </c>
      <c r="B658" s="45" t="s">
        <v>205</v>
      </c>
      <c r="C658" s="45" t="s">
        <v>120</v>
      </c>
      <c r="D658" s="12" t="s">
        <v>1360</v>
      </c>
      <c r="E658" s="241"/>
      <c r="F658" s="12"/>
      <c r="G658" s="241"/>
      <c r="H658" s="12"/>
      <c r="I658" s="12"/>
      <c r="J658" s="12"/>
      <c r="K658" s="241"/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 t="s">
        <v>33</v>
      </c>
      <c r="U658" t="s">
        <v>34</v>
      </c>
      <c r="V658" t="s">
        <v>35</v>
      </c>
    </row>
    <row r="659" spans="1:22" x14ac:dyDescent="0.3">
      <c r="A659" s="12">
        <v>12</v>
      </c>
      <c r="B659" s="45" t="s">
        <v>168</v>
      </c>
      <c r="C659" s="45" t="s">
        <v>121</v>
      </c>
      <c r="D659" s="12" t="s">
        <v>1077</v>
      </c>
      <c r="E659" s="241">
        <v>8</v>
      </c>
      <c r="F659" s="12">
        <v>15</v>
      </c>
      <c r="G659" s="241">
        <f t="shared" si="64"/>
        <v>23</v>
      </c>
      <c r="H659" s="12"/>
      <c r="I659" s="12"/>
      <c r="J659" s="12">
        <v>16</v>
      </c>
      <c r="K659" s="241">
        <f t="shared" si="65"/>
        <v>39</v>
      </c>
      <c r="L659" t="str">
        <f t="shared" si="62"/>
        <v>F</v>
      </c>
      <c r="M659" t="str">
        <f t="shared" si="63"/>
        <v>Failed</v>
      </c>
      <c r="O659">
        <f>COUNTIF(L648:L679,"A")</f>
        <v>3</v>
      </c>
      <c r="P659">
        <f>COUNTIF(L648:L679,"B+")</f>
        <v>6</v>
      </c>
      <c r="Q659">
        <f>COUNTIF(L648:L679,"B")</f>
        <v>4</v>
      </c>
      <c r="R659">
        <f>COUNTIF(L648:L679,"C+")</f>
        <v>5</v>
      </c>
      <c r="S659">
        <f>COUNTIF(L648:L679,"C")</f>
        <v>1</v>
      </c>
      <c r="T659">
        <f>COUNTIF(L648:L679,"D+")</f>
        <v>1</v>
      </c>
      <c r="U659">
        <f>COUNTIF(L648:L679,"D")</f>
        <v>3</v>
      </c>
      <c r="V659">
        <f>COUNTIF(L648:L679,"F")</f>
        <v>6</v>
      </c>
    </row>
    <row r="660" spans="1:22" x14ac:dyDescent="0.3">
      <c r="A660" s="12">
        <v>13</v>
      </c>
      <c r="B660" s="45" t="s">
        <v>170</v>
      </c>
      <c r="C660" s="45" t="s">
        <v>124</v>
      </c>
      <c r="D660" s="12" t="s">
        <v>1069</v>
      </c>
      <c r="E660" s="12">
        <v>8</v>
      </c>
      <c r="F660" s="12">
        <v>18</v>
      </c>
      <c r="G660" s="241">
        <f t="shared" si="64"/>
        <v>26</v>
      </c>
      <c r="H660" s="12"/>
      <c r="I660" s="12"/>
      <c r="J660" s="12">
        <v>45</v>
      </c>
      <c r="K660" s="241">
        <f t="shared" si="65"/>
        <v>71</v>
      </c>
      <c r="L660" t="str">
        <f t="shared" ref="L660:L679" si="66">IF(K660&gt;=80,"A",IF(K660&gt;=70,"B+",IF(K660&gt;=60,"B",IF(K660&gt;=55,"C+",IF(K660&gt;=50,"C",IF(K660&gt;=45,"D+",IF(K660&gt;=40,"D","F")))))))</f>
        <v>B+</v>
      </c>
      <c r="M660" t="str">
        <f t="shared" ref="M660:M679" si="67">IF(K660&gt;=50,"Passed","Failed")</f>
        <v>Passed</v>
      </c>
    </row>
    <row r="661" spans="1:22" x14ac:dyDescent="0.3">
      <c r="A661" s="12">
        <v>14</v>
      </c>
      <c r="B661" s="45" t="s">
        <v>172</v>
      </c>
      <c r="C661" s="45" t="s">
        <v>126</v>
      </c>
      <c r="D661" s="12" t="s">
        <v>1088</v>
      </c>
      <c r="E661" s="12">
        <v>8</v>
      </c>
      <c r="F661" s="12">
        <v>15</v>
      </c>
      <c r="G661" s="241">
        <f t="shared" si="64"/>
        <v>23</v>
      </c>
      <c r="H661" s="12"/>
      <c r="I661" s="12"/>
      <c r="J661" s="12">
        <v>14</v>
      </c>
      <c r="K661" s="241">
        <f t="shared" si="65"/>
        <v>37</v>
      </c>
      <c r="L661" t="str">
        <f t="shared" si="66"/>
        <v>F</v>
      </c>
      <c r="M661" t="str">
        <f t="shared" si="67"/>
        <v>Failed</v>
      </c>
    </row>
    <row r="662" spans="1:22" x14ac:dyDescent="0.3">
      <c r="A662" s="12">
        <v>15</v>
      </c>
      <c r="B662" s="45" t="s">
        <v>173</v>
      </c>
      <c r="C662" s="45" t="s">
        <v>127</v>
      </c>
      <c r="D662" s="12" t="s">
        <v>1090</v>
      </c>
      <c r="E662" s="12">
        <v>9</v>
      </c>
      <c r="F662" s="12">
        <v>19</v>
      </c>
      <c r="G662" s="241">
        <f t="shared" si="64"/>
        <v>28</v>
      </c>
      <c r="H662" s="12"/>
      <c r="I662" s="12"/>
      <c r="J662" s="12">
        <v>40</v>
      </c>
      <c r="K662" s="241">
        <f t="shared" si="65"/>
        <v>68</v>
      </c>
      <c r="L662" t="str">
        <f t="shared" si="66"/>
        <v>B</v>
      </c>
      <c r="M662" t="str">
        <f t="shared" si="67"/>
        <v>Passed</v>
      </c>
    </row>
    <row r="663" spans="1:22" x14ac:dyDescent="0.3">
      <c r="A663" s="12">
        <v>16</v>
      </c>
      <c r="B663" s="45" t="s">
        <v>175</v>
      </c>
      <c r="C663" s="45" t="s">
        <v>131</v>
      </c>
      <c r="D663" s="12" t="s">
        <v>1071</v>
      </c>
      <c r="E663" s="12">
        <v>9</v>
      </c>
      <c r="F663" s="12">
        <v>23</v>
      </c>
      <c r="G663" s="241">
        <f t="shared" si="64"/>
        <v>32</v>
      </c>
      <c r="H663" s="12"/>
      <c r="I663" s="12"/>
      <c r="J663" s="12">
        <v>47</v>
      </c>
      <c r="K663" s="241">
        <f t="shared" si="65"/>
        <v>79</v>
      </c>
      <c r="L663" t="str">
        <f t="shared" si="66"/>
        <v>B+</v>
      </c>
      <c r="M663" t="str">
        <f t="shared" si="67"/>
        <v>Passed</v>
      </c>
    </row>
    <row r="664" spans="1:22" x14ac:dyDescent="0.3">
      <c r="A664" s="12">
        <v>17</v>
      </c>
      <c r="B664" s="277" t="s">
        <v>178</v>
      </c>
      <c r="C664" s="45" t="s">
        <v>133</v>
      </c>
      <c r="D664" s="12" t="s">
        <v>1072</v>
      </c>
      <c r="E664" s="12">
        <v>8</v>
      </c>
      <c r="F664" s="12">
        <v>18</v>
      </c>
      <c r="G664" s="241">
        <f t="shared" si="64"/>
        <v>26</v>
      </c>
      <c r="H664" s="12"/>
      <c r="I664" s="12"/>
      <c r="J664" s="12">
        <v>44</v>
      </c>
      <c r="K664" s="241">
        <f t="shared" si="65"/>
        <v>70</v>
      </c>
      <c r="L664" t="str">
        <f t="shared" si="66"/>
        <v>B+</v>
      </c>
      <c r="M664" t="str">
        <f t="shared" si="67"/>
        <v>Passed</v>
      </c>
    </row>
    <row r="665" spans="1:22" x14ac:dyDescent="0.3">
      <c r="A665" s="12">
        <v>18</v>
      </c>
      <c r="B665" s="45" t="s">
        <v>534</v>
      </c>
      <c r="C665" s="303" t="s">
        <v>363</v>
      </c>
      <c r="D665" s="12" t="s">
        <v>1095</v>
      </c>
      <c r="E665" s="12">
        <v>8</v>
      </c>
      <c r="F665" s="12">
        <v>24</v>
      </c>
      <c r="G665" s="241">
        <f t="shared" si="64"/>
        <v>32</v>
      </c>
      <c r="H665" s="12"/>
      <c r="I665" s="12"/>
      <c r="J665" s="12">
        <v>3</v>
      </c>
      <c r="K665" s="241">
        <f t="shared" si="65"/>
        <v>35</v>
      </c>
      <c r="L665" t="str">
        <f t="shared" si="66"/>
        <v>F</v>
      </c>
      <c r="M665" t="str">
        <f t="shared" si="67"/>
        <v>Failed</v>
      </c>
    </row>
    <row r="666" spans="1:22" x14ac:dyDescent="0.3">
      <c r="A666" s="12">
        <v>19</v>
      </c>
      <c r="B666" s="389" t="s">
        <v>144</v>
      </c>
      <c r="C666" s="304" t="s">
        <v>137</v>
      </c>
      <c r="D666" s="12" t="s">
        <v>1083</v>
      </c>
      <c r="E666" s="12">
        <v>5</v>
      </c>
      <c r="F666" s="12">
        <v>11</v>
      </c>
      <c r="G666" s="241">
        <f t="shared" si="64"/>
        <v>16</v>
      </c>
      <c r="H666" s="12"/>
      <c r="I666" s="12"/>
      <c r="J666" s="12">
        <v>22</v>
      </c>
      <c r="K666" s="241">
        <f t="shared" si="65"/>
        <v>38</v>
      </c>
      <c r="L666" t="str">
        <f t="shared" si="66"/>
        <v>F</v>
      </c>
      <c r="M666" t="str">
        <f t="shared" si="67"/>
        <v>Failed</v>
      </c>
    </row>
    <row r="667" spans="1:22" x14ac:dyDescent="0.3">
      <c r="A667" s="12">
        <v>20</v>
      </c>
      <c r="B667" s="390" t="s">
        <v>204</v>
      </c>
      <c r="C667" s="390" t="s">
        <v>138</v>
      </c>
      <c r="D667" s="12" t="s">
        <v>1080</v>
      </c>
      <c r="E667" s="12">
        <v>8</v>
      </c>
      <c r="F667" s="12">
        <v>18</v>
      </c>
      <c r="G667" s="241">
        <f t="shared" si="64"/>
        <v>26</v>
      </c>
      <c r="H667" s="12"/>
      <c r="I667" s="12"/>
      <c r="J667" s="12">
        <v>30</v>
      </c>
      <c r="K667" s="241">
        <f t="shared" si="65"/>
        <v>56</v>
      </c>
      <c r="L667" t="str">
        <f t="shared" si="66"/>
        <v>C+</v>
      </c>
      <c r="M667" t="str">
        <f t="shared" si="67"/>
        <v>Passed</v>
      </c>
    </row>
    <row r="668" spans="1:22" x14ac:dyDescent="0.3">
      <c r="A668" s="12">
        <v>21</v>
      </c>
      <c r="B668" s="305" t="s">
        <v>181</v>
      </c>
      <c r="C668" s="45" t="s">
        <v>139</v>
      </c>
      <c r="D668" s="12" t="s">
        <v>1070</v>
      </c>
      <c r="E668" s="12">
        <v>9</v>
      </c>
      <c r="F668" s="12">
        <v>18</v>
      </c>
      <c r="G668" s="241">
        <f t="shared" si="64"/>
        <v>27</v>
      </c>
      <c r="H668" s="12"/>
      <c r="I668" s="12"/>
      <c r="J668" s="12">
        <v>23</v>
      </c>
      <c r="K668" s="241">
        <f t="shared" si="65"/>
        <v>50</v>
      </c>
      <c r="L668" t="str">
        <f t="shared" si="66"/>
        <v>C</v>
      </c>
      <c r="M668" t="str">
        <f t="shared" si="67"/>
        <v>Passed</v>
      </c>
    </row>
    <row r="669" spans="1:22" x14ac:dyDescent="0.3">
      <c r="A669" s="12">
        <v>22</v>
      </c>
      <c r="B669" s="391" t="s">
        <v>201</v>
      </c>
      <c r="C669" s="45" t="s">
        <v>141</v>
      </c>
      <c r="D669" s="12" t="s">
        <v>1086</v>
      </c>
      <c r="E669" s="12">
        <v>8</v>
      </c>
      <c r="F669" s="12">
        <v>19</v>
      </c>
      <c r="G669" s="241">
        <f t="shared" si="64"/>
        <v>27</v>
      </c>
      <c r="H669" s="12"/>
      <c r="I669" s="12"/>
      <c r="J669" s="12">
        <v>33</v>
      </c>
      <c r="K669" s="241">
        <f t="shared" si="65"/>
        <v>60</v>
      </c>
      <c r="L669" t="str">
        <f t="shared" si="66"/>
        <v>B</v>
      </c>
      <c r="M669" t="str">
        <f t="shared" si="67"/>
        <v>Passed</v>
      </c>
    </row>
    <row r="670" spans="1:22" x14ac:dyDescent="0.3">
      <c r="A670" s="12">
        <v>23</v>
      </c>
      <c r="B670" s="45" t="s">
        <v>176</v>
      </c>
      <c r="C670" s="45" t="s">
        <v>481</v>
      </c>
      <c r="D670" s="12" t="s">
        <v>1085</v>
      </c>
      <c r="E670" s="12">
        <v>8</v>
      </c>
      <c r="F670" s="12">
        <v>13</v>
      </c>
      <c r="G670" s="241">
        <f t="shared" si="64"/>
        <v>21</v>
      </c>
      <c r="H670" s="12"/>
      <c r="I670" s="12"/>
      <c r="J670" s="12">
        <v>36</v>
      </c>
      <c r="K670" s="241">
        <f t="shared" si="65"/>
        <v>57</v>
      </c>
      <c r="L670" t="str">
        <f t="shared" si="66"/>
        <v>C+</v>
      </c>
      <c r="M670" t="str">
        <f t="shared" si="67"/>
        <v>Passed</v>
      </c>
    </row>
    <row r="671" spans="1:22" x14ac:dyDescent="0.3">
      <c r="A671" s="12">
        <v>24</v>
      </c>
      <c r="B671" s="12" t="s">
        <v>148</v>
      </c>
      <c r="C671" s="12" t="s">
        <v>96</v>
      </c>
      <c r="D671" s="12" t="s">
        <v>1074</v>
      </c>
      <c r="E671" s="12">
        <v>8</v>
      </c>
      <c r="F671" s="12">
        <v>17</v>
      </c>
      <c r="G671" s="241">
        <f t="shared" si="64"/>
        <v>25</v>
      </c>
      <c r="H671" s="12"/>
      <c r="I671" s="12"/>
      <c r="J671" s="12">
        <v>18</v>
      </c>
      <c r="K671" s="241">
        <f t="shared" si="65"/>
        <v>43</v>
      </c>
      <c r="L671" t="str">
        <f t="shared" si="66"/>
        <v>D</v>
      </c>
      <c r="M671" t="str">
        <f t="shared" si="67"/>
        <v>Failed</v>
      </c>
    </row>
    <row r="672" spans="1:22" x14ac:dyDescent="0.3">
      <c r="A672" s="12">
        <v>25</v>
      </c>
      <c r="B672" s="12" t="s">
        <v>153</v>
      </c>
      <c r="C672" s="12" t="s">
        <v>101</v>
      </c>
      <c r="D672" s="12" t="s">
        <v>1073</v>
      </c>
      <c r="E672" s="12">
        <v>7.5</v>
      </c>
      <c r="F672" s="12">
        <v>21</v>
      </c>
      <c r="G672" s="241">
        <f t="shared" si="64"/>
        <v>28.5</v>
      </c>
      <c r="H672" s="12"/>
      <c r="I672" s="12"/>
      <c r="J672" s="12">
        <v>31</v>
      </c>
      <c r="K672" s="241">
        <f t="shared" si="65"/>
        <v>59.5</v>
      </c>
      <c r="L672" t="str">
        <f t="shared" si="66"/>
        <v>C+</v>
      </c>
      <c r="M672" t="str">
        <f t="shared" si="67"/>
        <v>Passed</v>
      </c>
    </row>
    <row r="673" spans="1:13" x14ac:dyDescent="0.3">
      <c r="A673" s="12">
        <v>26</v>
      </c>
      <c r="B673" s="12" t="s">
        <v>154</v>
      </c>
      <c r="C673" s="12" t="s">
        <v>102</v>
      </c>
      <c r="D673" s="12" t="s">
        <v>1092</v>
      </c>
      <c r="E673" s="12">
        <v>7.5</v>
      </c>
      <c r="F673" s="12">
        <v>11</v>
      </c>
      <c r="G673" s="241">
        <f t="shared" si="64"/>
        <v>18.5</v>
      </c>
      <c r="H673" s="12"/>
      <c r="I673" s="12"/>
      <c r="J673" s="12">
        <v>10</v>
      </c>
      <c r="K673" s="241">
        <f t="shared" si="65"/>
        <v>28.5</v>
      </c>
      <c r="L673" t="str">
        <f t="shared" si="66"/>
        <v>F</v>
      </c>
      <c r="M673" t="str">
        <f t="shared" si="67"/>
        <v>Failed</v>
      </c>
    </row>
    <row r="674" spans="1:13" x14ac:dyDescent="0.3">
      <c r="A674" s="12">
        <v>27</v>
      </c>
      <c r="B674" s="12" t="s">
        <v>162</v>
      </c>
      <c r="C674" s="12" t="s">
        <v>112</v>
      </c>
      <c r="D674" s="12" t="s">
        <v>1075</v>
      </c>
      <c r="E674" s="12">
        <v>7.5</v>
      </c>
      <c r="F674" s="12">
        <v>18</v>
      </c>
      <c r="G674" s="241">
        <f t="shared" si="64"/>
        <v>25.5</v>
      </c>
      <c r="H674" s="12"/>
      <c r="I674" s="12"/>
      <c r="J674" s="12">
        <v>15</v>
      </c>
      <c r="K674" s="241">
        <f t="shared" si="65"/>
        <v>40.5</v>
      </c>
      <c r="L674" t="str">
        <f t="shared" si="66"/>
        <v>D</v>
      </c>
      <c r="M674" t="str">
        <f t="shared" si="67"/>
        <v>Failed</v>
      </c>
    </row>
    <row r="675" spans="1:13" x14ac:dyDescent="0.3">
      <c r="A675" s="12">
        <v>28</v>
      </c>
      <c r="B675" s="12" t="s">
        <v>164</v>
      </c>
      <c r="C675" s="12" t="s">
        <v>114</v>
      </c>
      <c r="D675" s="12" t="s">
        <v>1078</v>
      </c>
      <c r="E675" s="12">
        <v>8</v>
      </c>
      <c r="F675" s="12">
        <v>17</v>
      </c>
      <c r="G675" s="241">
        <f t="shared" si="64"/>
        <v>25</v>
      </c>
      <c r="H675" s="12"/>
      <c r="I675" s="12"/>
      <c r="J675" s="12">
        <v>15</v>
      </c>
      <c r="K675" s="241">
        <f t="shared" si="65"/>
        <v>40</v>
      </c>
      <c r="L675" t="str">
        <f t="shared" si="66"/>
        <v>D</v>
      </c>
      <c r="M675" t="str">
        <f t="shared" si="67"/>
        <v>Failed</v>
      </c>
    </row>
    <row r="676" spans="1:13" x14ac:dyDescent="0.3">
      <c r="A676" s="12">
        <v>29</v>
      </c>
      <c r="B676" s="60" t="s">
        <v>165</v>
      </c>
      <c r="C676" s="12" t="s">
        <v>116</v>
      </c>
      <c r="D676" s="12" t="s">
        <v>1091</v>
      </c>
      <c r="E676" s="12">
        <v>10</v>
      </c>
      <c r="F676" s="12">
        <v>22</v>
      </c>
      <c r="G676" s="241">
        <f t="shared" si="64"/>
        <v>32</v>
      </c>
      <c r="H676" s="12"/>
      <c r="I676" s="12"/>
      <c r="J676" s="12">
        <v>48</v>
      </c>
      <c r="K676" s="241">
        <f t="shared" si="65"/>
        <v>80</v>
      </c>
      <c r="L676" t="str">
        <f t="shared" si="66"/>
        <v>A</v>
      </c>
      <c r="M676" t="str">
        <f t="shared" si="67"/>
        <v>Passed</v>
      </c>
    </row>
    <row r="677" spans="1:13" x14ac:dyDescent="0.3">
      <c r="A677" s="12">
        <v>30</v>
      </c>
      <c r="B677" s="12" t="s">
        <v>206</v>
      </c>
      <c r="C677" s="12" t="s">
        <v>123</v>
      </c>
      <c r="D677" s="12" t="s">
        <v>1079</v>
      </c>
      <c r="E677" s="12">
        <v>8</v>
      </c>
      <c r="F677" s="12">
        <v>13</v>
      </c>
      <c r="G677" s="241">
        <f t="shared" si="64"/>
        <v>21</v>
      </c>
      <c r="H677" s="12"/>
      <c r="I677" s="12"/>
      <c r="J677" s="12">
        <v>38</v>
      </c>
      <c r="K677" s="241">
        <f t="shared" si="65"/>
        <v>59</v>
      </c>
      <c r="L677" t="str">
        <f t="shared" si="66"/>
        <v>C+</v>
      </c>
      <c r="M677" t="str">
        <f t="shared" si="67"/>
        <v>Passed</v>
      </c>
    </row>
    <row r="678" spans="1:13" x14ac:dyDescent="0.3">
      <c r="A678" s="12">
        <v>31</v>
      </c>
      <c r="B678" s="12" t="s">
        <v>202</v>
      </c>
      <c r="C678" s="12" t="s">
        <v>135</v>
      </c>
      <c r="D678" s="12" t="s">
        <v>1360</v>
      </c>
      <c r="E678" s="12"/>
      <c r="F678" s="12"/>
      <c r="G678" s="241"/>
      <c r="H678" s="12"/>
      <c r="I678" s="12"/>
      <c r="J678" s="12"/>
      <c r="K678" s="241"/>
    </row>
    <row r="679" spans="1:13" x14ac:dyDescent="0.3">
      <c r="A679" s="12">
        <v>32</v>
      </c>
      <c r="B679" s="12" t="s">
        <v>1249</v>
      </c>
      <c r="C679" s="12" t="s">
        <v>422</v>
      </c>
      <c r="D679" s="12" t="s">
        <v>1093</v>
      </c>
      <c r="E679" s="12">
        <v>8</v>
      </c>
      <c r="F679" s="12">
        <v>20</v>
      </c>
      <c r="G679" s="241">
        <f t="shared" si="64"/>
        <v>28</v>
      </c>
      <c r="H679" s="12"/>
      <c r="I679" s="12"/>
      <c r="J679" s="12">
        <v>40</v>
      </c>
      <c r="K679" s="241">
        <f t="shared" si="65"/>
        <v>68</v>
      </c>
      <c r="L679" t="str">
        <f t="shared" si="66"/>
        <v>B</v>
      </c>
      <c r="M679" t="str">
        <f t="shared" si="67"/>
        <v>Passed</v>
      </c>
    </row>
    <row r="688" spans="1:13" x14ac:dyDescent="0.3">
      <c r="A688" s="38" t="s">
        <v>0</v>
      </c>
      <c r="B688" s="39"/>
      <c r="C688" s="39"/>
      <c r="D688" s="39"/>
      <c r="E688" s="39"/>
      <c r="F688" s="39"/>
      <c r="G688" s="39"/>
      <c r="H688" s="70"/>
      <c r="I688" s="70"/>
      <c r="J688" s="39"/>
      <c r="K688" s="39"/>
      <c r="L688" s="39"/>
    </row>
    <row r="689" spans="1:15" x14ac:dyDescent="0.3">
      <c r="A689" s="46" t="s">
        <v>66</v>
      </c>
      <c r="B689" s="46"/>
      <c r="C689" s="46"/>
      <c r="D689" s="46"/>
      <c r="E689" s="46"/>
      <c r="F689" s="46"/>
      <c r="G689" s="46"/>
      <c r="H689" s="48"/>
      <c r="I689" s="48"/>
    </row>
    <row r="690" spans="1:15" x14ac:dyDescent="0.3">
      <c r="A690" s="460" t="s">
        <v>362</v>
      </c>
      <c r="B690" s="461"/>
      <c r="C690" s="461"/>
      <c r="D690" s="2"/>
      <c r="E690" s="2"/>
      <c r="F690" s="2"/>
      <c r="G690" s="2"/>
      <c r="H690" s="2"/>
      <c r="I690" s="2"/>
      <c r="J690" s="2"/>
      <c r="K690" s="2"/>
      <c r="L690" s="1"/>
      <c r="M690" s="16"/>
      <c r="N690" s="16"/>
      <c r="O690" s="13"/>
    </row>
    <row r="691" spans="1:15" x14ac:dyDescent="0.3">
      <c r="A691" s="38" t="s">
        <v>1</v>
      </c>
      <c r="B691" s="462" t="s">
        <v>38</v>
      </c>
      <c r="C691" s="462"/>
      <c r="D691" s="38"/>
      <c r="E691" s="38"/>
      <c r="F691" s="38"/>
      <c r="G691" s="38"/>
      <c r="H691" s="48"/>
      <c r="I691" s="48"/>
    </row>
    <row r="692" spans="1:15" x14ac:dyDescent="0.3">
      <c r="A692" s="38" t="s">
        <v>3</v>
      </c>
      <c r="B692" s="462" t="s">
        <v>84</v>
      </c>
      <c r="C692" s="462"/>
      <c r="D692" s="38"/>
      <c r="E692" s="38"/>
      <c r="F692" s="38"/>
      <c r="G692" s="38"/>
      <c r="H692" s="48"/>
      <c r="I692" s="48"/>
    </row>
    <row r="693" spans="1:15" x14ac:dyDescent="0.3">
      <c r="A693" s="38" t="s">
        <v>4</v>
      </c>
      <c r="B693" s="462" t="s">
        <v>85</v>
      </c>
      <c r="C693" s="462"/>
      <c r="D693" s="38"/>
      <c r="E693" s="38"/>
      <c r="F693" s="38"/>
      <c r="G693" s="38"/>
      <c r="H693" s="48"/>
      <c r="I693" s="48"/>
    </row>
    <row r="694" spans="1:15" x14ac:dyDescent="0.3">
      <c r="A694" s="38" t="s">
        <v>5</v>
      </c>
      <c r="B694" s="463">
        <v>3</v>
      </c>
      <c r="C694" s="463"/>
      <c r="D694" s="38"/>
      <c r="E694" s="38"/>
      <c r="F694" s="38"/>
      <c r="G694" s="38"/>
      <c r="H694" s="48"/>
      <c r="I694" s="48"/>
    </row>
    <row r="695" spans="1:15" x14ac:dyDescent="0.3">
      <c r="A695" s="38" t="s">
        <v>6</v>
      </c>
      <c r="B695" s="462" t="s">
        <v>43</v>
      </c>
      <c r="C695" s="462"/>
      <c r="D695" s="41"/>
      <c r="E695" s="38"/>
      <c r="F695" s="38"/>
      <c r="G695" s="38"/>
      <c r="H695" s="48"/>
      <c r="I695" s="48"/>
    </row>
    <row r="696" spans="1:15" x14ac:dyDescent="0.3">
      <c r="A696" s="14" t="s">
        <v>68</v>
      </c>
      <c r="B696" s="462" t="s">
        <v>540</v>
      </c>
      <c r="C696" s="462"/>
      <c r="D696" s="38"/>
      <c r="E696" s="38"/>
      <c r="F696" s="38"/>
      <c r="G696" s="38"/>
      <c r="H696" s="48"/>
      <c r="I696" s="48"/>
    </row>
    <row r="697" spans="1:15" x14ac:dyDescent="0.3">
      <c r="A697" s="42"/>
      <c r="B697" s="14"/>
      <c r="C697" s="38"/>
      <c r="D697" s="14"/>
      <c r="E697" s="14"/>
      <c r="F697" s="14"/>
      <c r="G697" s="14"/>
      <c r="H697" s="14"/>
      <c r="I697" s="14"/>
    </row>
    <row r="698" spans="1:15" ht="60" x14ac:dyDescent="0.3">
      <c r="A698" s="42" t="s">
        <v>8</v>
      </c>
      <c r="B698" s="42" t="s">
        <v>9</v>
      </c>
      <c r="C698" s="42" t="s">
        <v>10</v>
      </c>
      <c r="D698" s="43" t="s">
        <v>11</v>
      </c>
      <c r="E698" s="51" t="s">
        <v>12</v>
      </c>
      <c r="F698" s="51" t="s">
        <v>13</v>
      </c>
      <c r="G698" s="51" t="s">
        <v>14</v>
      </c>
      <c r="H698" s="51" t="s">
        <v>208</v>
      </c>
      <c r="I698" s="51" t="s">
        <v>209</v>
      </c>
      <c r="J698" s="51" t="s">
        <v>15</v>
      </c>
      <c r="K698" s="51" t="s">
        <v>16</v>
      </c>
      <c r="L698" s="14" t="s">
        <v>17</v>
      </c>
      <c r="M698" s="14" t="s">
        <v>18</v>
      </c>
      <c r="N698" s="14" t="s">
        <v>19</v>
      </c>
    </row>
    <row r="699" spans="1:15" x14ac:dyDescent="0.3">
      <c r="A699" s="12"/>
      <c r="B699" s="42"/>
      <c r="C699" s="42"/>
      <c r="D699" s="42"/>
      <c r="E699" s="42"/>
      <c r="F699" s="42"/>
      <c r="G699" s="42"/>
      <c r="H699" s="42"/>
      <c r="I699" s="42"/>
      <c r="J699" s="12"/>
      <c r="K699" s="12"/>
      <c r="N699" t="s">
        <v>20</v>
      </c>
      <c r="O699">
        <f>COUNT(G700:G731)</f>
        <v>29</v>
      </c>
    </row>
    <row r="700" spans="1:15" x14ac:dyDescent="0.3">
      <c r="A700" s="12">
        <v>1</v>
      </c>
      <c r="B700" s="45" t="s">
        <v>203</v>
      </c>
      <c r="C700" s="45" t="s">
        <v>92</v>
      </c>
      <c r="D700" s="12" t="s">
        <v>1277</v>
      </c>
      <c r="E700" s="12">
        <v>10</v>
      </c>
      <c r="F700" s="12">
        <v>21</v>
      </c>
      <c r="G700" s="12">
        <f>SUM(E700:F700)</f>
        <v>31</v>
      </c>
      <c r="H700" s="12"/>
      <c r="I700" s="12"/>
      <c r="J700" s="12">
        <v>39</v>
      </c>
      <c r="K700" s="12">
        <f>SUM(G700:J700)</f>
        <v>70</v>
      </c>
      <c r="L700" t="str">
        <f t="shared" ref="L700:L711" si="68">IF(K700&gt;=80,"A",IF(K700&gt;=70,"B+",IF(K700&gt;=60,"B",IF(K700&gt;=55,"C+",IF(K700&gt;=50,"C",IF(K700&gt;=45,"D+",IF(K700&gt;=40,"D","F")))))))</f>
        <v>B+</v>
      </c>
      <c r="M700" t="str">
        <f t="shared" ref="M700:M711" si="69">IF(K700&gt;=50,"Passed","Failed")</f>
        <v>Passed</v>
      </c>
      <c r="N700" t="s">
        <v>21</v>
      </c>
      <c r="O700">
        <f>COUNT(J700:J731)</f>
        <v>28</v>
      </c>
    </row>
    <row r="701" spans="1:15" x14ac:dyDescent="0.3">
      <c r="A701" s="12">
        <v>2</v>
      </c>
      <c r="B701" s="45" t="s">
        <v>145</v>
      </c>
      <c r="C701" s="45" t="s">
        <v>93</v>
      </c>
      <c r="D701" s="12" t="s">
        <v>1297</v>
      </c>
      <c r="E701" s="12">
        <v>8</v>
      </c>
      <c r="F701" s="12">
        <v>15</v>
      </c>
      <c r="G701" s="12">
        <f t="shared" ref="G701:G731" si="70">SUM(E701:F701)</f>
        <v>23</v>
      </c>
      <c r="H701" s="12"/>
      <c r="I701" s="12"/>
      <c r="J701" s="12">
        <v>11</v>
      </c>
      <c r="K701" s="12">
        <f t="shared" ref="K701:K731" si="71">SUM(G701:J701)</f>
        <v>34</v>
      </c>
      <c r="L701" t="str">
        <f t="shared" si="68"/>
        <v>F</v>
      </c>
      <c r="M701" t="str">
        <f t="shared" si="69"/>
        <v>Failed</v>
      </c>
      <c r="N701" t="s">
        <v>22</v>
      </c>
      <c r="O701">
        <f>O699-O700</f>
        <v>1</v>
      </c>
    </row>
    <row r="702" spans="1:15" x14ac:dyDescent="0.3">
      <c r="A702" s="12">
        <v>3</v>
      </c>
      <c r="B702" s="45" t="s">
        <v>149</v>
      </c>
      <c r="C702" s="45" t="s">
        <v>97</v>
      </c>
      <c r="D702" s="12" t="s">
        <v>1286</v>
      </c>
      <c r="E702" s="12">
        <v>10</v>
      </c>
      <c r="F702" s="12">
        <v>25</v>
      </c>
      <c r="G702" s="12">
        <f t="shared" si="70"/>
        <v>35</v>
      </c>
      <c r="H702" s="12"/>
      <c r="I702" s="12"/>
      <c r="J702" s="12">
        <v>40</v>
      </c>
      <c r="K702" s="12">
        <f t="shared" si="71"/>
        <v>75</v>
      </c>
      <c r="L702" t="str">
        <f t="shared" si="68"/>
        <v>B+</v>
      </c>
      <c r="M702" t="str">
        <f t="shared" si="69"/>
        <v>Passed</v>
      </c>
      <c r="N702" t="s">
        <v>23</v>
      </c>
      <c r="O702">
        <f>COUNTIF(M700:M731,"Passed")</f>
        <v>22</v>
      </c>
    </row>
    <row r="703" spans="1:15" x14ac:dyDescent="0.3">
      <c r="A703" s="12">
        <v>4</v>
      </c>
      <c r="B703" s="45" t="s">
        <v>152</v>
      </c>
      <c r="C703" s="45" t="s">
        <v>100</v>
      </c>
      <c r="D703" s="12" t="s">
        <v>1285</v>
      </c>
      <c r="E703" s="12">
        <v>9</v>
      </c>
      <c r="F703" s="12">
        <v>16</v>
      </c>
      <c r="G703" s="12">
        <f t="shared" si="70"/>
        <v>25</v>
      </c>
      <c r="H703" s="12"/>
      <c r="I703" s="12"/>
      <c r="J703" s="12">
        <v>18</v>
      </c>
      <c r="K703" s="12">
        <f t="shared" si="71"/>
        <v>43</v>
      </c>
      <c r="L703" t="str">
        <f t="shared" si="68"/>
        <v>D</v>
      </c>
      <c r="M703" t="str">
        <f t="shared" si="69"/>
        <v>Failed</v>
      </c>
      <c r="N703" t="s">
        <v>24</v>
      </c>
      <c r="O703">
        <f>O702/O700%</f>
        <v>78.571428571428569</v>
      </c>
    </row>
    <row r="704" spans="1:15" x14ac:dyDescent="0.3">
      <c r="A704" s="12">
        <v>5</v>
      </c>
      <c r="B704" s="45" t="s">
        <v>156</v>
      </c>
      <c r="C704" s="45" t="s">
        <v>104</v>
      </c>
      <c r="D704" s="12" t="s">
        <v>1278</v>
      </c>
      <c r="E704" s="12">
        <v>10</v>
      </c>
      <c r="F704" s="12">
        <v>20</v>
      </c>
      <c r="G704" s="12">
        <f t="shared" si="70"/>
        <v>30</v>
      </c>
      <c r="H704" s="12"/>
      <c r="I704" s="12"/>
      <c r="J704" s="12">
        <v>51</v>
      </c>
      <c r="K704" s="12">
        <f t="shared" si="71"/>
        <v>81</v>
      </c>
      <c r="L704" t="str">
        <f t="shared" si="68"/>
        <v>A</v>
      </c>
      <c r="M704" t="str">
        <f t="shared" si="69"/>
        <v>Passed</v>
      </c>
      <c r="N704" t="s">
        <v>25</v>
      </c>
      <c r="O704">
        <f>COUNTIF(M700:M731,"failed")</f>
        <v>6</v>
      </c>
    </row>
    <row r="705" spans="1:22" x14ac:dyDescent="0.3">
      <c r="A705" s="12">
        <v>6</v>
      </c>
      <c r="B705" s="45" t="s">
        <v>160</v>
      </c>
      <c r="C705" s="45" t="s">
        <v>109</v>
      </c>
      <c r="D705" s="12" t="s">
        <v>1280</v>
      </c>
      <c r="E705" s="12">
        <v>10</v>
      </c>
      <c r="F705" s="12">
        <v>23</v>
      </c>
      <c r="G705" s="12">
        <f t="shared" si="70"/>
        <v>33</v>
      </c>
      <c r="H705" s="12"/>
      <c r="I705" s="12"/>
      <c r="J705" s="12">
        <v>41</v>
      </c>
      <c r="K705" s="12">
        <f t="shared" si="71"/>
        <v>74</v>
      </c>
      <c r="L705" t="str">
        <f t="shared" si="68"/>
        <v>B+</v>
      </c>
      <c r="M705" t="str">
        <f t="shared" si="69"/>
        <v>Passed</v>
      </c>
      <c r="N705" t="s">
        <v>26</v>
      </c>
      <c r="O705">
        <f>O704/O700%</f>
        <v>21.428571428571427</v>
      </c>
    </row>
    <row r="706" spans="1:22" x14ac:dyDescent="0.3">
      <c r="A706" s="12">
        <v>7</v>
      </c>
      <c r="B706" s="45" t="s">
        <v>207</v>
      </c>
      <c r="C706" s="45" t="s">
        <v>110</v>
      </c>
      <c r="D706" s="12" t="s">
        <v>1271</v>
      </c>
      <c r="E706" s="12"/>
      <c r="F706" s="12"/>
      <c r="G706" s="12"/>
      <c r="H706" s="12"/>
      <c r="I706" s="12"/>
      <c r="J706" s="12"/>
      <c r="K706" s="12"/>
      <c r="N706" t="s">
        <v>27</v>
      </c>
      <c r="O706">
        <f>AVERAGE(K700:K731)</f>
        <v>57.232142857142854</v>
      </c>
    </row>
    <row r="707" spans="1:22" x14ac:dyDescent="0.3">
      <c r="A707" s="12">
        <v>8</v>
      </c>
      <c r="B707" s="45" t="s">
        <v>163</v>
      </c>
      <c r="C707" s="45" t="s">
        <v>113</v>
      </c>
      <c r="D707" s="12" t="s">
        <v>1279</v>
      </c>
      <c r="E707" s="12">
        <v>9</v>
      </c>
      <c r="F707" s="12">
        <v>16</v>
      </c>
      <c r="G707" s="12">
        <f t="shared" si="70"/>
        <v>25</v>
      </c>
      <c r="H707" s="12"/>
      <c r="I707" s="12"/>
      <c r="J707" s="12">
        <v>36</v>
      </c>
      <c r="K707" s="12">
        <f t="shared" si="71"/>
        <v>61</v>
      </c>
      <c r="L707" t="str">
        <f t="shared" si="68"/>
        <v>B</v>
      </c>
      <c r="M707" t="str">
        <f t="shared" si="69"/>
        <v>Passed</v>
      </c>
    </row>
    <row r="708" spans="1:22" x14ac:dyDescent="0.3">
      <c r="A708" s="12">
        <v>9</v>
      </c>
      <c r="B708" s="45" t="s">
        <v>480</v>
      </c>
      <c r="C708" s="45" t="s">
        <v>115</v>
      </c>
      <c r="D708" s="12" t="s">
        <v>1291</v>
      </c>
      <c r="E708" s="12">
        <v>10</v>
      </c>
      <c r="F708" s="12">
        <v>29</v>
      </c>
      <c r="G708" s="12">
        <f t="shared" si="70"/>
        <v>39</v>
      </c>
      <c r="H708" s="12"/>
      <c r="I708" s="12"/>
      <c r="J708" s="12">
        <v>48</v>
      </c>
      <c r="K708" s="12">
        <f t="shared" si="71"/>
        <v>87</v>
      </c>
      <c r="L708" t="str">
        <f t="shared" si="68"/>
        <v>A</v>
      </c>
      <c r="M708" t="str">
        <f t="shared" si="69"/>
        <v>Passed</v>
      </c>
    </row>
    <row r="709" spans="1:22" x14ac:dyDescent="0.3">
      <c r="A709" s="12">
        <v>10</v>
      </c>
      <c r="B709" s="45" t="s">
        <v>200</v>
      </c>
      <c r="C709" s="45" t="s">
        <v>119</v>
      </c>
      <c r="D709" s="12" t="s">
        <v>1282</v>
      </c>
      <c r="E709" s="12">
        <v>8</v>
      </c>
      <c r="F709" s="12">
        <v>15</v>
      </c>
      <c r="G709" s="12">
        <f t="shared" si="70"/>
        <v>23</v>
      </c>
      <c r="H709" s="12"/>
      <c r="I709" s="12"/>
      <c r="J709" s="12">
        <v>27</v>
      </c>
      <c r="K709" s="12">
        <f t="shared" si="71"/>
        <v>50</v>
      </c>
      <c r="L709" t="str">
        <f t="shared" si="68"/>
        <v>C</v>
      </c>
      <c r="M709" t="str">
        <f t="shared" si="69"/>
        <v>Passed</v>
      </c>
    </row>
    <row r="710" spans="1:22" x14ac:dyDescent="0.3">
      <c r="A710" s="12">
        <v>11</v>
      </c>
      <c r="B710" s="45" t="s">
        <v>205</v>
      </c>
      <c r="C710" s="45" t="s">
        <v>120</v>
      </c>
      <c r="D710" s="12" t="s">
        <v>1271</v>
      </c>
      <c r="E710" s="12"/>
      <c r="F710" s="12"/>
      <c r="G710" s="12"/>
      <c r="H710" s="12"/>
      <c r="I710" s="12"/>
      <c r="J710" s="12"/>
      <c r="K710" s="12"/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 t="s">
        <v>33</v>
      </c>
      <c r="U710" t="s">
        <v>34</v>
      </c>
      <c r="V710" t="s">
        <v>35</v>
      </c>
    </row>
    <row r="711" spans="1:22" x14ac:dyDescent="0.3">
      <c r="A711" s="12">
        <v>12</v>
      </c>
      <c r="B711" s="45" t="s">
        <v>168</v>
      </c>
      <c r="C711" s="45" t="s">
        <v>121</v>
      </c>
      <c r="D711" s="12" t="s">
        <v>1284</v>
      </c>
      <c r="E711" s="12">
        <v>8</v>
      </c>
      <c r="F711" s="12">
        <v>15</v>
      </c>
      <c r="G711" s="12">
        <f t="shared" si="70"/>
        <v>23</v>
      </c>
      <c r="H711" s="12"/>
      <c r="I711" s="12"/>
      <c r="J711" s="12">
        <v>28</v>
      </c>
      <c r="K711" s="12">
        <f t="shared" si="71"/>
        <v>51</v>
      </c>
      <c r="L711" t="str">
        <f t="shared" si="68"/>
        <v>C</v>
      </c>
      <c r="M711" t="str">
        <f t="shared" si="69"/>
        <v>Passed</v>
      </c>
      <c r="O711">
        <f>COUNTIF(L700:L731,"A")</f>
        <v>3</v>
      </c>
      <c r="P711">
        <f>COUNTIF(L700:L731,"B+")</f>
        <v>3</v>
      </c>
      <c r="Q711">
        <f>COUNTIF(L700:L731,"B")</f>
        <v>7</v>
      </c>
      <c r="R711">
        <f>COUNTIF(L700:L731,"C+")</f>
        <v>1</v>
      </c>
      <c r="S711">
        <f>COUNTIF(L700:L731,"C")</f>
        <v>8</v>
      </c>
      <c r="T711">
        <f>COUNTIF(L700:L731,"D+")</f>
        <v>0</v>
      </c>
      <c r="U711">
        <f>COUNTIF(L700:L731,"D")</f>
        <v>3</v>
      </c>
      <c r="V711">
        <f>COUNTIF(L700:L731,"F")</f>
        <v>3</v>
      </c>
    </row>
    <row r="712" spans="1:22" x14ac:dyDescent="0.3">
      <c r="A712" s="12">
        <v>13</v>
      </c>
      <c r="B712" s="45" t="s">
        <v>170</v>
      </c>
      <c r="C712" s="45" t="s">
        <v>124</v>
      </c>
      <c r="D712" s="12" t="s">
        <v>1287</v>
      </c>
      <c r="E712" s="12">
        <v>10</v>
      </c>
      <c r="F712" s="12">
        <v>15</v>
      </c>
      <c r="G712" s="12">
        <f t="shared" si="70"/>
        <v>25</v>
      </c>
      <c r="H712" s="12"/>
      <c r="I712" s="12"/>
      <c r="J712" s="12">
        <v>28</v>
      </c>
      <c r="K712" s="12">
        <f t="shared" si="71"/>
        <v>53</v>
      </c>
      <c r="L712" t="str">
        <f t="shared" ref="L712:L722" si="72">IF(K712&gt;=80,"A",IF(K712&gt;=70,"B+",IF(K712&gt;=60,"B",IF(K712&gt;=55,"C+",IF(K712&gt;=50,"C",IF(K712&gt;=45,"D+",IF(K712&gt;=40,"D","F")))))))</f>
        <v>C</v>
      </c>
      <c r="M712" t="str">
        <f t="shared" ref="M712:M722" si="73">IF(K712&gt;=50,"Passed","Failed")</f>
        <v>Passed</v>
      </c>
    </row>
    <row r="713" spans="1:22" x14ac:dyDescent="0.3">
      <c r="A713" s="12">
        <v>14</v>
      </c>
      <c r="B713" s="45" t="s">
        <v>172</v>
      </c>
      <c r="C713" s="45" t="s">
        <v>126</v>
      </c>
      <c r="D713" s="12" t="s">
        <v>1289</v>
      </c>
      <c r="E713" s="12">
        <v>9</v>
      </c>
      <c r="F713" s="12">
        <v>16</v>
      </c>
      <c r="G713" s="12">
        <f t="shared" si="70"/>
        <v>25</v>
      </c>
      <c r="H713" s="12"/>
      <c r="I713" s="12"/>
      <c r="J713" s="12">
        <v>27</v>
      </c>
      <c r="K713" s="12">
        <f t="shared" si="71"/>
        <v>52</v>
      </c>
      <c r="L713" t="str">
        <f t="shared" si="72"/>
        <v>C</v>
      </c>
      <c r="M713" t="str">
        <f t="shared" si="73"/>
        <v>Passed</v>
      </c>
    </row>
    <row r="714" spans="1:22" x14ac:dyDescent="0.3">
      <c r="A714" s="12">
        <v>15</v>
      </c>
      <c r="B714" s="45" t="s">
        <v>173</v>
      </c>
      <c r="C714" s="45" t="s">
        <v>127</v>
      </c>
      <c r="D714" s="12" t="s">
        <v>1292</v>
      </c>
      <c r="E714" s="12">
        <v>10</v>
      </c>
      <c r="F714" s="12">
        <v>15</v>
      </c>
      <c r="G714" s="12">
        <f t="shared" si="70"/>
        <v>25</v>
      </c>
      <c r="H714" s="12"/>
      <c r="I714" s="12"/>
      <c r="J714" s="12">
        <v>28</v>
      </c>
      <c r="K714" s="12">
        <f t="shared" si="71"/>
        <v>53</v>
      </c>
      <c r="L714" t="str">
        <f t="shared" si="72"/>
        <v>C</v>
      </c>
      <c r="M714" t="str">
        <f t="shared" si="73"/>
        <v>Passed</v>
      </c>
    </row>
    <row r="715" spans="1:22" x14ac:dyDescent="0.3">
      <c r="A715" s="12">
        <v>16</v>
      </c>
      <c r="B715" s="45" t="s">
        <v>175</v>
      </c>
      <c r="C715" s="45" t="s">
        <v>131</v>
      </c>
      <c r="D715" s="12" t="s">
        <v>1293</v>
      </c>
      <c r="E715" s="12">
        <v>10</v>
      </c>
      <c r="F715" s="12">
        <v>20</v>
      </c>
      <c r="G715" s="12">
        <f t="shared" si="70"/>
        <v>30</v>
      </c>
      <c r="H715" s="12"/>
      <c r="I715" s="12"/>
      <c r="J715" s="12">
        <v>30</v>
      </c>
      <c r="K715" s="12">
        <f t="shared" si="71"/>
        <v>60</v>
      </c>
      <c r="L715" t="str">
        <f t="shared" si="72"/>
        <v>B</v>
      </c>
      <c r="M715" t="str">
        <f t="shared" si="73"/>
        <v>Passed</v>
      </c>
    </row>
    <row r="716" spans="1:22" x14ac:dyDescent="0.3">
      <c r="A716" s="12">
        <v>17</v>
      </c>
      <c r="B716" s="277" t="s">
        <v>178</v>
      </c>
      <c r="C716" s="45" t="s">
        <v>133</v>
      </c>
      <c r="D716" s="12" t="s">
        <v>1274</v>
      </c>
      <c r="E716" s="12">
        <v>10</v>
      </c>
      <c r="F716" s="12">
        <v>21</v>
      </c>
      <c r="G716" s="12">
        <f t="shared" si="70"/>
        <v>31</v>
      </c>
      <c r="H716" s="12"/>
      <c r="I716" s="12"/>
      <c r="J716" s="12">
        <v>35</v>
      </c>
      <c r="K716" s="12">
        <f t="shared" si="71"/>
        <v>66</v>
      </c>
      <c r="L716" t="str">
        <f t="shared" si="72"/>
        <v>B</v>
      </c>
      <c r="M716" t="str">
        <f t="shared" si="73"/>
        <v>Passed</v>
      </c>
    </row>
    <row r="717" spans="1:22" x14ac:dyDescent="0.3">
      <c r="A717" s="12">
        <v>18</v>
      </c>
      <c r="B717" s="45" t="s">
        <v>534</v>
      </c>
      <c r="C717" s="303" t="s">
        <v>363</v>
      </c>
      <c r="D717" s="12" t="s">
        <v>1296</v>
      </c>
      <c r="E717" s="12">
        <v>7.5</v>
      </c>
      <c r="F717" s="12">
        <v>20</v>
      </c>
      <c r="G717" s="12">
        <f t="shared" si="70"/>
        <v>27.5</v>
      </c>
      <c r="H717" s="12"/>
      <c r="I717" s="12"/>
      <c r="J717" s="12">
        <v>24</v>
      </c>
      <c r="K717" s="241">
        <f t="shared" si="71"/>
        <v>51.5</v>
      </c>
      <c r="L717" t="str">
        <f t="shared" si="72"/>
        <v>C</v>
      </c>
      <c r="M717" t="str">
        <f t="shared" si="73"/>
        <v>Passed</v>
      </c>
    </row>
    <row r="718" spans="1:22" x14ac:dyDescent="0.3">
      <c r="A718" s="12">
        <v>19</v>
      </c>
      <c r="B718" s="389" t="s">
        <v>144</v>
      </c>
      <c r="C718" s="304" t="s">
        <v>137</v>
      </c>
      <c r="D718" s="12" t="s">
        <v>1294</v>
      </c>
      <c r="E718" s="12">
        <v>7.5</v>
      </c>
      <c r="F718" s="12">
        <v>15</v>
      </c>
      <c r="G718" s="12">
        <f t="shared" si="70"/>
        <v>22.5</v>
      </c>
      <c r="H718" s="12"/>
      <c r="I718" s="12"/>
      <c r="J718" s="12">
        <v>5</v>
      </c>
      <c r="K718" s="12">
        <f t="shared" si="71"/>
        <v>27.5</v>
      </c>
      <c r="L718" t="str">
        <f t="shared" si="72"/>
        <v>F</v>
      </c>
      <c r="M718" t="str">
        <f t="shared" si="73"/>
        <v>Failed</v>
      </c>
    </row>
    <row r="719" spans="1:22" x14ac:dyDescent="0.3">
      <c r="A719" s="12">
        <v>20</v>
      </c>
      <c r="B719" s="390" t="s">
        <v>204</v>
      </c>
      <c r="C719" s="390" t="s">
        <v>138</v>
      </c>
      <c r="D719" s="12" t="s">
        <v>1273</v>
      </c>
      <c r="E719" s="12">
        <v>10</v>
      </c>
      <c r="F719" s="12">
        <v>16</v>
      </c>
      <c r="G719" s="12">
        <f t="shared" si="70"/>
        <v>26</v>
      </c>
      <c r="H719" s="12"/>
      <c r="I719" s="12"/>
      <c r="J719" s="12">
        <v>34</v>
      </c>
      <c r="K719" s="12">
        <f t="shared" si="71"/>
        <v>60</v>
      </c>
      <c r="L719" t="str">
        <f t="shared" si="72"/>
        <v>B</v>
      </c>
      <c r="M719" t="str">
        <f t="shared" si="73"/>
        <v>Passed</v>
      </c>
    </row>
    <row r="720" spans="1:22" x14ac:dyDescent="0.3">
      <c r="A720" s="12">
        <v>21</v>
      </c>
      <c r="B720" s="305" t="s">
        <v>181</v>
      </c>
      <c r="C720" s="45" t="s">
        <v>139</v>
      </c>
      <c r="D720" s="12" t="s">
        <v>1275</v>
      </c>
      <c r="E720" s="12">
        <v>10</v>
      </c>
      <c r="F720" s="12">
        <v>20</v>
      </c>
      <c r="G720" s="12">
        <f t="shared" si="70"/>
        <v>30</v>
      </c>
      <c r="H720" s="12"/>
      <c r="I720" s="12"/>
      <c r="J720" s="12">
        <v>34</v>
      </c>
      <c r="K720" s="12">
        <f t="shared" si="71"/>
        <v>64</v>
      </c>
      <c r="L720" t="str">
        <f t="shared" si="72"/>
        <v>B</v>
      </c>
      <c r="M720" t="str">
        <f t="shared" si="73"/>
        <v>Passed</v>
      </c>
    </row>
    <row r="721" spans="1:13" x14ac:dyDescent="0.3">
      <c r="A721" s="12">
        <v>22</v>
      </c>
      <c r="B721" s="391" t="s">
        <v>201</v>
      </c>
      <c r="C721" s="45" t="s">
        <v>141</v>
      </c>
      <c r="D721" s="12" t="s">
        <v>1295</v>
      </c>
      <c r="E721" s="12">
        <v>10</v>
      </c>
      <c r="F721" s="12">
        <v>17</v>
      </c>
      <c r="G721" s="12">
        <f t="shared" si="70"/>
        <v>27</v>
      </c>
      <c r="H721" s="12"/>
      <c r="I721" s="12"/>
      <c r="J721" s="12">
        <v>29</v>
      </c>
      <c r="K721" s="12">
        <f t="shared" si="71"/>
        <v>56</v>
      </c>
      <c r="L721" t="str">
        <f t="shared" si="72"/>
        <v>C+</v>
      </c>
      <c r="M721" t="str">
        <f t="shared" si="73"/>
        <v>Passed</v>
      </c>
    </row>
    <row r="722" spans="1:13" x14ac:dyDescent="0.3">
      <c r="A722" s="12">
        <v>23</v>
      </c>
      <c r="B722" s="45" t="s">
        <v>176</v>
      </c>
      <c r="C722" s="45" t="s">
        <v>481</v>
      </c>
      <c r="D722" s="12" t="s">
        <v>1281</v>
      </c>
      <c r="E722" s="12">
        <v>8</v>
      </c>
      <c r="F722" s="12">
        <v>16</v>
      </c>
      <c r="G722" s="12">
        <f t="shared" si="70"/>
        <v>24</v>
      </c>
      <c r="H722" s="12"/>
      <c r="I722" s="12"/>
      <c r="J722" s="12">
        <v>17</v>
      </c>
      <c r="K722" s="12">
        <f t="shared" si="71"/>
        <v>41</v>
      </c>
      <c r="L722" t="str">
        <f t="shared" si="72"/>
        <v>D</v>
      </c>
      <c r="M722" t="str">
        <f t="shared" si="73"/>
        <v>Failed</v>
      </c>
    </row>
    <row r="723" spans="1:13" x14ac:dyDescent="0.3">
      <c r="A723" s="12">
        <v>24</v>
      </c>
      <c r="B723" s="12" t="s">
        <v>148</v>
      </c>
      <c r="C723" s="12" t="s">
        <v>96</v>
      </c>
      <c r="D723" s="12" t="s">
        <v>1272</v>
      </c>
      <c r="E723" s="12">
        <v>10</v>
      </c>
      <c r="F723" s="12">
        <v>15</v>
      </c>
      <c r="G723" s="12">
        <f t="shared" si="70"/>
        <v>25</v>
      </c>
      <c r="H723" s="12"/>
      <c r="I723" s="12"/>
      <c r="J723" s="12">
        <v>10</v>
      </c>
      <c r="K723" s="12">
        <f t="shared" si="71"/>
        <v>35</v>
      </c>
      <c r="L723" t="str">
        <f t="shared" ref="L723:L731" si="74">IF(K723&gt;=80,"A",IF(K723&gt;=70,"B+",IF(K723&gt;=60,"B",IF(K723&gt;=55,"C+",IF(K723&gt;=50,"C",IF(K723&gt;=45,"D+",IF(K723&gt;=40,"D","F")))))))</f>
        <v>F</v>
      </c>
      <c r="M723" t="str">
        <f t="shared" ref="M723:M731" si="75">IF(K723&gt;=50,"Passed","Failed")</f>
        <v>Failed</v>
      </c>
    </row>
    <row r="724" spans="1:13" x14ac:dyDescent="0.3">
      <c r="A724" s="12">
        <v>25</v>
      </c>
      <c r="B724" s="12" t="s">
        <v>153</v>
      </c>
      <c r="C724" s="12" t="s">
        <v>101</v>
      </c>
      <c r="D724" s="12" t="s">
        <v>1299</v>
      </c>
      <c r="E724" s="12">
        <v>9</v>
      </c>
      <c r="F724" s="12">
        <v>15</v>
      </c>
      <c r="G724" s="12">
        <f t="shared" si="70"/>
        <v>24</v>
      </c>
      <c r="H724" s="12"/>
      <c r="I724" s="12"/>
      <c r="J724" s="12">
        <v>44</v>
      </c>
      <c r="K724" s="12">
        <f t="shared" si="71"/>
        <v>68</v>
      </c>
      <c r="L724" t="str">
        <f t="shared" si="74"/>
        <v>B</v>
      </c>
      <c r="M724" t="str">
        <f t="shared" si="75"/>
        <v>Passed</v>
      </c>
    </row>
    <row r="725" spans="1:13" s="14" customFormat="1" x14ac:dyDescent="0.3">
      <c r="A725" s="429">
        <v>26</v>
      </c>
      <c r="B725" s="429" t="s">
        <v>154</v>
      </c>
      <c r="C725" s="429" t="s">
        <v>102</v>
      </c>
      <c r="D725" s="429" t="s">
        <v>1271</v>
      </c>
      <c r="E725" s="429">
        <v>7.5</v>
      </c>
      <c r="F725" s="429"/>
      <c r="G725" s="429">
        <f t="shared" si="70"/>
        <v>7.5</v>
      </c>
      <c r="H725" s="429"/>
      <c r="I725" s="429"/>
      <c r="J725" s="429" t="s">
        <v>1938</v>
      </c>
      <c r="K725" s="429"/>
    </row>
    <row r="726" spans="1:13" x14ac:dyDescent="0.3">
      <c r="A726" s="12">
        <v>27</v>
      </c>
      <c r="B726" s="12" t="s">
        <v>162</v>
      </c>
      <c r="C726" s="12" t="s">
        <v>112</v>
      </c>
      <c r="D726" s="12" t="s">
        <v>1283</v>
      </c>
      <c r="E726" s="12">
        <v>8</v>
      </c>
      <c r="F726" s="12">
        <v>15</v>
      </c>
      <c r="G726" s="12">
        <f t="shared" si="70"/>
        <v>23</v>
      </c>
      <c r="H726" s="12"/>
      <c r="I726" s="12"/>
      <c r="J726" s="12">
        <v>43</v>
      </c>
      <c r="K726" s="12">
        <f t="shared" si="71"/>
        <v>66</v>
      </c>
      <c r="L726" t="str">
        <f t="shared" si="74"/>
        <v>B</v>
      </c>
      <c r="M726" t="str">
        <f t="shared" si="75"/>
        <v>Passed</v>
      </c>
    </row>
    <row r="727" spans="1:13" x14ac:dyDescent="0.3">
      <c r="A727" s="12">
        <v>28</v>
      </c>
      <c r="B727" s="12" t="s">
        <v>164</v>
      </c>
      <c r="C727" s="12" t="s">
        <v>114</v>
      </c>
      <c r="D727" s="12" t="s">
        <v>1276</v>
      </c>
      <c r="E727" s="12">
        <v>9</v>
      </c>
      <c r="F727" s="12">
        <v>15</v>
      </c>
      <c r="G727" s="12">
        <f t="shared" si="70"/>
        <v>24</v>
      </c>
      <c r="H727" s="12"/>
      <c r="I727" s="12"/>
      <c r="J727" s="12">
        <v>27</v>
      </c>
      <c r="K727" s="12">
        <f t="shared" si="71"/>
        <v>51</v>
      </c>
      <c r="L727" t="str">
        <f t="shared" si="74"/>
        <v>C</v>
      </c>
      <c r="M727" t="str">
        <f t="shared" si="75"/>
        <v>Passed</v>
      </c>
    </row>
    <row r="728" spans="1:13" x14ac:dyDescent="0.3">
      <c r="A728" s="12">
        <v>29</v>
      </c>
      <c r="B728" s="60" t="s">
        <v>165</v>
      </c>
      <c r="C728" s="12" t="s">
        <v>116</v>
      </c>
      <c r="D728" s="12" t="s">
        <v>1288</v>
      </c>
      <c r="E728" s="12">
        <v>10</v>
      </c>
      <c r="F728" s="12">
        <v>24</v>
      </c>
      <c r="G728" s="12">
        <f t="shared" si="70"/>
        <v>34</v>
      </c>
      <c r="H728" s="12"/>
      <c r="I728" s="12"/>
      <c r="J728" s="12">
        <v>47</v>
      </c>
      <c r="K728" s="12">
        <f t="shared" si="71"/>
        <v>81</v>
      </c>
      <c r="L728" t="str">
        <f t="shared" si="74"/>
        <v>A</v>
      </c>
      <c r="M728" t="str">
        <f t="shared" si="75"/>
        <v>Passed</v>
      </c>
    </row>
    <row r="729" spans="1:13" x14ac:dyDescent="0.3">
      <c r="A729" s="12">
        <v>30</v>
      </c>
      <c r="B729" s="12" t="s">
        <v>206</v>
      </c>
      <c r="C729" s="12" t="s">
        <v>123</v>
      </c>
      <c r="D729" s="12" t="s">
        <v>1290</v>
      </c>
      <c r="E729" s="12">
        <v>10</v>
      </c>
      <c r="F729" s="12">
        <v>15</v>
      </c>
      <c r="G729" s="12">
        <f t="shared" si="70"/>
        <v>25</v>
      </c>
      <c r="H729" s="12"/>
      <c r="I729" s="12"/>
      <c r="J729" s="12">
        <v>16</v>
      </c>
      <c r="K729" s="12">
        <f t="shared" si="71"/>
        <v>41</v>
      </c>
      <c r="L729" t="str">
        <f t="shared" si="74"/>
        <v>D</v>
      </c>
      <c r="M729" t="str">
        <f t="shared" si="75"/>
        <v>Failed</v>
      </c>
    </row>
    <row r="730" spans="1:13" x14ac:dyDescent="0.3">
      <c r="A730" s="12">
        <v>31</v>
      </c>
      <c r="B730" s="12" t="s">
        <v>202</v>
      </c>
      <c r="C730" s="12" t="s">
        <v>135</v>
      </c>
      <c r="D730" s="12" t="s">
        <v>1271</v>
      </c>
      <c r="E730" s="12"/>
      <c r="F730" s="12"/>
      <c r="G730" s="12"/>
      <c r="H730" s="12"/>
      <c r="I730" s="12"/>
      <c r="J730" s="12"/>
      <c r="K730" s="12"/>
    </row>
    <row r="731" spans="1:13" x14ac:dyDescent="0.3">
      <c r="A731" s="12">
        <v>32</v>
      </c>
      <c r="B731" s="12" t="s">
        <v>1249</v>
      </c>
      <c r="C731" s="12" t="s">
        <v>422</v>
      </c>
      <c r="D731" s="12" t="s">
        <v>1298</v>
      </c>
      <c r="E731" s="12">
        <v>7.5</v>
      </c>
      <c r="F731" s="340">
        <v>16</v>
      </c>
      <c r="G731" s="12">
        <f t="shared" si="70"/>
        <v>23.5</v>
      </c>
      <c r="H731" s="12"/>
      <c r="I731" s="12"/>
      <c r="J731" s="12">
        <v>27</v>
      </c>
      <c r="K731" s="241">
        <f t="shared" si="71"/>
        <v>50.5</v>
      </c>
      <c r="L731" t="str">
        <f t="shared" si="74"/>
        <v>C</v>
      </c>
      <c r="M731" t="str">
        <f t="shared" si="75"/>
        <v>Passed</v>
      </c>
    </row>
    <row r="742" spans="1:15" x14ac:dyDescent="0.3">
      <c r="A742" s="38" t="s">
        <v>0</v>
      </c>
      <c r="B742" s="39"/>
      <c r="C742" s="39"/>
      <c r="D742" s="39"/>
      <c r="E742" s="39"/>
      <c r="F742" s="39"/>
      <c r="G742" s="39"/>
      <c r="H742" s="70"/>
      <c r="I742" s="70"/>
      <c r="J742" s="39"/>
      <c r="K742" s="39"/>
      <c r="L742" s="39"/>
    </row>
    <row r="743" spans="1:15" x14ac:dyDescent="0.3">
      <c r="A743" s="14" t="s">
        <v>66</v>
      </c>
      <c r="B743" s="14"/>
      <c r="C743" s="14"/>
      <c r="D743" s="14"/>
      <c r="E743" s="14"/>
      <c r="F743" s="14"/>
      <c r="G743" s="14"/>
      <c r="H743" s="14"/>
      <c r="I743" s="14"/>
      <c r="J743" s="14"/>
      <c r="K743" s="14"/>
    </row>
    <row r="744" spans="1:15" x14ac:dyDescent="0.3">
      <c r="A744" s="460" t="s">
        <v>362</v>
      </c>
      <c r="B744" s="461"/>
      <c r="C744" s="461"/>
      <c r="D744" s="2"/>
      <c r="E744" s="2"/>
      <c r="F744" s="2"/>
      <c r="G744" s="2"/>
      <c r="H744" s="2"/>
      <c r="I744" s="2"/>
      <c r="J744" s="2"/>
      <c r="K744" s="2"/>
      <c r="L744" s="1"/>
      <c r="M744" s="16"/>
      <c r="N744" s="16"/>
      <c r="O744" s="13"/>
    </row>
    <row r="745" spans="1:15" x14ac:dyDescent="0.3">
      <c r="A745" s="38" t="s">
        <v>1</v>
      </c>
      <c r="B745" s="462" t="s">
        <v>38</v>
      </c>
      <c r="C745" s="462"/>
      <c r="D745" s="38"/>
      <c r="E745" s="38"/>
      <c r="F745" s="38"/>
      <c r="G745" s="38"/>
      <c r="H745" s="68"/>
      <c r="I745" s="68"/>
      <c r="J745" s="38"/>
      <c r="K745" s="38"/>
      <c r="L745" s="39"/>
    </row>
    <row r="746" spans="1:15" x14ac:dyDescent="0.3">
      <c r="A746" s="46" t="s">
        <v>3</v>
      </c>
      <c r="B746" s="462" t="s">
        <v>86</v>
      </c>
      <c r="C746" s="462"/>
      <c r="D746" s="46"/>
      <c r="E746" s="46"/>
      <c r="F746" s="46"/>
      <c r="G746" s="46"/>
      <c r="H746" s="69"/>
      <c r="I746" s="69"/>
      <c r="J746" s="46"/>
      <c r="K746" s="46"/>
      <c r="L746" s="15"/>
    </row>
    <row r="747" spans="1:15" x14ac:dyDescent="0.3">
      <c r="A747" s="38" t="s">
        <v>4</v>
      </c>
      <c r="B747" s="462" t="s">
        <v>428</v>
      </c>
      <c r="C747" s="462"/>
      <c r="D747" s="38"/>
      <c r="E747" s="38"/>
      <c r="F747" s="38"/>
      <c r="G747" s="38"/>
      <c r="H747" s="68"/>
      <c r="I747" s="68"/>
      <c r="J747" s="38"/>
      <c r="K747" s="38"/>
      <c r="L747" s="39"/>
    </row>
    <row r="748" spans="1:15" x14ac:dyDescent="0.3">
      <c r="A748" s="38" t="s">
        <v>5</v>
      </c>
      <c r="B748" s="463">
        <v>3</v>
      </c>
      <c r="C748" s="463"/>
      <c r="D748" s="38"/>
      <c r="E748" s="38"/>
      <c r="F748" s="38"/>
      <c r="G748" s="38"/>
      <c r="H748" s="68"/>
      <c r="I748" s="68"/>
      <c r="J748" s="38"/>
      <c r="K748" s="38"/>
      <c r="L748" s="39"/>
    </row>
    <row r="749" spans="1:15" x14ac:dyDescent="0.3">
      <c r="A749" s="46" t="s">
        <v>6</v>
      </c>
      <c r="B749" s="462" t="s">
        <v>87</v>
      </c>
      <c r="C749" s="462"/>
      <c r="D749" s="46"/>
      <c r="E749" s="46"/>
      <c r="F749" s="46"/>
      <c r="G749" s="46"/>
      <c r="H749" s="69"/>
      <c r="I749" s="69"/>
      <c r="J749" s="46"/>
      <c r="K749" s="46"/>
      <c r="L749" s="15"/>
    </row>
    <row r="750" spans="1:15" x14ac:dyDescent="0.3">
      <c r="A750" s="38" t="s">
        <v>68</v>
      </c>
      <c r="B750" s="38"/>
      <c r="C750" s="39"/>
      <c r="D750" s="38"/>
      <c r="E750" s="38"/>
      <c r="F750" s="38"/>
      <c r="G750" s="38"/>
      <c r="H750" s="68"/>
      <c r="I750" s="68"/>
      <c r="J750" s="38"/>
      <c r="K750" s="38"/>
      <c r="L750" s="39"/>
    </row>
    <row r="751" spans="1:15" x14ac:dyDescent="0.3">
      <c r="A751" s="44"/>
      <c r="B751" s="14"/>
      <c r="C751" s="14"/>
      <c r="D751" s="14"/>
      <c r="E751" s="14"/>
      <c r="F751" s="14"/>
      <c r="G751" s="14"/>
      <c r="H751" s="14"/>
      <c r="I751" s="14"/>
      <c r="J751" s="14"/>
      <c r="K751" s="14"/>
    </row>
    <row r="752" spans="1:15" ht="60" x14ac:dyDescent="0.3">
      <c r="A752" s="42" t="s">
        <v>8</v>
      </c>
      <c r="B752" s="42" t="s">
        <v>9</v>
      </c>
      <c r="C752" s="42" t="s">
        <v>10</v>
      </c>
      <c r="D752" s="43" t="s">
        <v>11</v>
      </c>
      <c r="E752" s="43" t="s">
        <v>12</v>
      </c>
      <c r="F752" s="43" t="s">
        <v>13</v>
      </c>
      <c r="G752" s="43" t="s">
        <v>14</v>
      </c>
      <c r="H752" s="43" t="s">
        <v>210</v>
      </c>
      <c r="I752" s="43" t="s">
        <v>209</v>
      </c>
      <c r="J752" s="43" t="s">
        <v>15</v>
      </c>
      <c r="K752" s="43" t="s">
        <v>16</v>
      </c>
      <c r="L752" s="14" t="s">
        <v>17</v>
      </c>
      <c r="M752" s="14" t="s">
        <v>18</v>
      </c>
      <c r="N752" s="14" t="s">
        <v>19</v>
      </c>
    </row>
    <row r="753" spans="1:22" x14ac:dyDescent="0.3">
      <c r="A753" s="1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N753" t="s">
        <v>20</v>
      </c>
      <c r="O753">
        <f>COUNT(G754:G777)</f>
        <v>23</v>
      </c>
    </row>
    <row r="754" spans="1:22" x14ac:dyDescent="0.3">
      <c r="A754" s="12">
        <v>1</v>
      </c>
      <c r="B754" s="45" t="s">
        <v>203</v>
      </c>
      <c r="C754" s="45" t="s">
        <v>92</v>
      </c>
      <c r="D754" s="12" t="s">
        <v>1510</v>
      </c>
      <c r="E754" s="12">
        <v>9</v>
      </c>
      <c r="F754" s="340">
        <v>27</v>
      </c>
      <c r="G754" s="12">
        <f>SUM(E754:F754)</f>
        <v>36</v>
      </c>
      <c r="H754" s="12"/>
      <c r="I754" s="12"/>
      <c r="J754" s="12">
        <v>14</v>
      </c>
      <c r="K754" s="12">
        <f>SUM(G754:J754)</f>
        <v>50</v>
      </c>
      <c r="L754" t="str">
        <f t="shared" ref="L754" si="76">IF(K754&gt;=80,"A",IF(K754&gt;=70,"B+",IF(K754&gt;=60,"B",IF(K754&gt;=55,"C+",IF(K754&gt;=50,"C",IF(K754&gt;=45,"D+",IF(K754&gt;=40,"D","F")))))))</f>
        <v>C</v>
      </c>
      <c r="M754" t="str">
        <f t="shared" ref="M754:M765" si="77">IF(K754&gt;=50,"Passed","Failed")</f>
        <v>Passed</v>
      </c>
      <c r="N754" t="s">
        <v>21</v>
      </c>
      <c r="O754">
        <f>COUNT(J754:J777)</f>
        <v>20</v>
      </c>
    </row>
    <row r="755" spans="1:22" x14ac:dyDescent="0.3">
      <c r="A755" s="12">
        <v>2</v>
      </c>
      <c r="B755" s="45" t="s">
        <v>145</v>
      </c>
      <c r="C755" s="45" t="s">
        <v>93</v>
      </c>
      <c r="D755" s="12" t="s">
        <v>1517</v>
      </c>
      <c r="E755" s="12">
        <v>9</v>
      </c>
      <c r="F755" s="12">
        <v>25</v>
      </c>
      <c r="G755" s="12">
        <f t="shared" ref="G755:G777" si="78">SUM(E755:F755)</f>
        <v>34</v>
      </c>
      <c r="H755" s="12"/>
      <c r="I755" s="12"/>
      <c r="J755" s="12">
        <v>19</v>
      </c>
      <c r="K755" s="12">
        <f t="shared" ref="K755:K777" si="79">SUM(G755:J755)</f>
        <v>53</v>
      </c>
      <c r="L755" t="str">
        <f>IF(K755&gt;=80,"A",IF(K755&gt;=70,"B+",IF(K755&gt;=60,"B",IF(K755&gt;=55,"C+",IF(K755&gt;=50,"C",IF(K755&gt;=45,"D+",IF(K755&gt;=40,"D","F")))))))</f>
        <v>C</v>
      </c>
      <c r="M755" t="str">
        <f t="shared" si="77"/>
        <v>Passed</v>
      </c>
      <c r="N755" t="s">
        <v>22</v>
      </c>
      <c r="O755">
        <f>O753-O754</f>
        <v>3</v>
      </c>
    </row>
    <row r="756" spans="1:22" x14ac:dyDescent="0.3">
      <c r="A756" s="12">
        <v>3</v>
      </c>
      <c r="B756" s="45" t="s">
        <v>149</v>
      </c>
      <c r="C756" s="45" t="s">
        <v>97</v>
      </c>
      <c r="D756" s="12" t="s">
        <v>1505</v>
      </c>
      <c r="E756" s="62">
        <v>9</v>
      </c>
      <c r="F756" s="62">
        <v>25</v>
      </c>
      <c r="G756" s="12">
        <f t="shared" si="78"/>
        <v>34</v>
      </c>
      <c r="H756" s="62"/>
      <c r="I756" s="62"/>
      <c r="J756" s="62">
        <v>53</v>
      </c>
      <c r="K756" s="12">
        <f t="shared" si="79"/>
        <v>87</v>
      </c>
      <c r="L756" t="str">
        <f>IF(K756&gt;=80,"A",IF(K756&gt;=70,"B+",IF(K756&gt;=60,"B",IF(K756&gt;=55,"C+",IF(K756&gt;=50,"C",IF(K756&gt;=45,"D+",IF(K756&gt;=40,"D","F")))))))</f>
        <v>A</v>
      </c>
      <c r="M756" t="str">
        <f t="shared" si="77"/>
        <v>Passed</v>
      </c>
      <c r="N756" t="s">
        <v>23</v>
      </c>
      <c r="O756">
        <f>COUNTIF(M754:M777,"Passed")</f>
        <v>17</v>
      </c>
    </row>
    <row r="757" spans="1:22" x14ac:dyDescent="0.3">
      <c r="A757" s="12">
        <v>4</v>
      </c>
      <c r="B757" s="45" t="s">
        <v>152</v>
      </c>
      <c r="C757" s="45" t="s">
        <v>100</v>
      </c>
      <c r="D757" s="12" t="s">
        <v>1515</v>
      </c>
      <c r="E757" s="12">
        <v>9</v>
      </c>
      <c r="F757" s="12">
        <v>25</v>
      </c>
      <c r="G757" s="12">
        <f t="shared" si="78"/>
        <v>34</v>
      </c>
      <c r="H757" s="12"/>
      <c r="I757" s="12"/>
      <c r="J757" s="12">
        <v>18</v>
      </c>
      <c r="K757" s="12">
        <f t="shared" si="79"/>
        <v>52</v>
      </c>
      <c r="L757" t="str">
        <f t="shared" ref="L757:L765" si="80">IF(K757&gt;=80,"A",IF(K757&gt;=70,"B+",IF(K757&gt;=60,"B",IF(K757&gt;=55,"C+",IF(K757&gt;=50,"C",IF(K757&gt;=45,"D+",IF(K757&gt;=40,"D","F")))))))</f>
        <v>C</v>
      </c>
      <c r="M757" t="str">
        <f t="shared" si="77"/>
        <v>Passed</v>
      </c>
      <c r="N757" t="s">
        <v>24</v>
      </c>
      <c r="O757" s="179">
        <f>O756/O754%</f>
        <v>85</v>
      </c>
    </row>
    <row r="758" spans="1:22" x14ac:dyDescent="0.3">
      <c r="A758" s="12">
        <v>5</v>
      </c>
      <c r="B758" s="45" t="s">
        <v>156</v>
      </c>
      <c r="C758" s="45" t="s">
        <v>104</v>
      </c>
      <c r="D758" s="12" t="s">
        <v>1511</v>
      </c>
      <c r="E758" s="12">
        <v>9</v>
      </c>
      <c r="F758" s="12">
        <v>25</v>
      </c>
      <c r="G758" s="12">
        <f t="shared" si="78"/>
        <v>34</v>
      </c>
      <c r="H758" s="12"/>
      <c r="I758" s="12"/>
      <c r="J758" s="12">
        <v>36</v>
      </c>
      <c r="K758" s="12">
        <f t="shared" si="79"/>
        <v>70</v>
      </c>
      <c r="L758" t="str">
        <f t="shared" si="80"/>
        <v>B+</v>
      </c>
      <c r="M758" t="str">
        <f t="shared" si="77"/>
        <v>Passed</v>
      </c>
      <c r="N758" t="s">
        <v>25</v>
      </c>
      <c r="O758">
        <f>COUNTIF(M754:M777,"failed")</f>
        <v>3</v>
      </c>
    </row>
    <row r="759" spans="1:22" x14ac:dyDescent="0.3">
      <c r="A759" s="12">
        <v>6</v>
      </c>
      <c r="B759" s="45" t="s">
        <v>160</v>
      </c>
      <c r="C759" s="45" t="s">
        <v>109</v>
      </c>
      <c r="D759" s="12" t="s">
        <v>1500</v>
      </c>
      <c r="E759" s="12">
        <v>9</v>
      </c>
      <c r="F759" s="12">
        <v>25</v>
      </c>
      <c r="G759" s="12">
        <f t="shared" si="78"/>
        <v>34</v>
      </c>
      <c r="H759" s="12"/>
      <c r="I759" s="12"/>
      <c r="J759" s="12">
        <v>35</v>
      </c>
      <c r="K759" s="12">
        <f t="shared" si="79"/>
        <v>69</v>
      </c>
      <c r="L759" t="str">
        <f t="shared" si="80"/>
        <v>B</v>
      </c>
      <c r="M759" t="str">
        <f t="shared" si="77"/>
        <v>Passed</v>
      </c>
      <c r="N759" t="s">
        <v>26</v>
      </c>
      <c r="O759" s="179">
        <f>O758/O754%</f>
        <v>15</v>
      </c>
    </row>
    <row r="760" spans="1:22" x14ac:dyDescent="0.3">
      <c r="A760" s="12">
        <v>7</v>
      </c>
      <c r="B760" s="45" t="s">
        <v>207</v>
      </c>
      <c r="C760" s="45" t="s">
        <v>110</v>
      </c>
      <c r="D760" s="12" t="s">
        <v>1551</v>
      </c>
      <c r="E760" s="12"/>
      <c r="F760" s="12"/>
      <c r="G760" s="12"/>
      <c r="H760" s="12"/>
      <c r="I760" s="12"/>
      <c r="J760" s="12"/>
      <c r="K760" s="12"/>
      <c r="N760" t="s">
        <v>27</v>
      </c>
      <c r="O760" s="179">
        <f>AVERAGE(K754:K777)</f>
        <v>60.9</v>
      </c>
    </row>
    <row r="761" spans="1:22" x14ac:dyDescent="0.3">
      <c r="A761" s="12">
        <v>8</v>
      </c>
      <c r="B761" s="45" t="s">
        <v>163</v>
      </c>
      <c r="C761" s="45" t="s">
        <v>113</v>
      </c>
      <c r="D761" s="12" t="s">
        <v>1501</v>
      </c>
      <c r="E761" s="12">
        <v>9</v>
      </c>
      <c r="F761" s="12">
        <v>25</v>
      </c>
      <c r="G761" s="12">
        <f t="shared" si="78"/>
        <v>34</v>
      </c>
      <c r="H761" s="12"/>
      <c r="I761" s="12"/>
      <c r="J761" s="12">
        <v>30</v>
      </c>
      <c r="K761" s="12">
        <f t="shared" si="79"/>
        <v>64</v>
      </c>
      <c r="L761" t="str">
        <f t="shared" si="80"/>
        <v>B</v>
      </c>
      <c r="M761" t="str">
        <f t="shared" si="77"/>
        <v>Passed</v>
      </c>
    </row>
    <row r="762" spans="1:22" x14ac:dyDescent="0.3">
      <c r="A762" s="12">
        <v>9</v>
      </c>
      <c r="B762" s="45" t="s">
        <v>480</v>
      </c>
      <c r="C762" s="45" t="s">
        <v>115</v>
      </c>
      <c r="D762" s="12" t="s">
        <v>1516</v>
      </c>
      <c r="E762" s="12">
        <v>10</v>
      </c>
      <c r="F762" s="12">
        <v>25</v>
      </c>
      <c r="G762" s="12">
        <f t="shared" si="78"/>
        <v>35</v>
      </c>
      <c r="H762" s="12"/>
      <c r="I762" s="12"/>
      <c r="J762" s="12">
        <v>53</v>
      </c>
      <c r="K762" s="12">
        <f t="shared" si="79"/>
        <v>88</v>
      </c>
      <c r="L762" t="str">
        <f t="shared" si="80"/>
        <v>A</v>
      </c>
      <c r="M762" t="str">
        <f t="shared" si="77"/>
        <v>Passed</v>
      </c>
    </row>
    <row r="763" spans="1:22" x14ac:dyDescent="0.3">
      <c r="A763" s="12">
        <v>10</v>
      </c>
      <c r="B763" s="45" t="s">
        <v>200</v>
      </c>
      <c r="C763" s="45" t="s">
        <v>119</v>
      </c>
      <c r="D763" s="12" t="s">
        <v>1508</v>
      </c>
      <c r="E763" s="12">
        <v>10</v>
      </c>
      <c r="F763" s="12">
        <v>25</v>
      </c>
      <c r="G763" s="12">
        <f t="shared" si="78"/>
        <v>35</v>
      </c>
      <c r="H763" s="12"/>
      <c r="I763" s="12"/>
      <c r="J763" s="12">
        <v>8</v>
      </c>
      <c r="K763" s="12">
        <f t="shared" si="79"/>
        <v>43</v>
      </c>
      <c r="L763" t="str">
        <f t="shared" si="80"/>
        <v>D</v>
      </c>
      <c r="M763" t="str">
        <f t="shared" si="77"/>
        <v>Failed</v>
      </c>
    </row>
    <row r="764" spans="1:22" x14ac:dyDescent="0.3">
      <c r="A764" s="12">
        <v>11</v>
      </c>
      <c r="B764" s="429" t="s">
        <v>205</v>
      </c>
      <c r="C764" s="429" t="s">
        <v>120</v>
      </c>
      <c r="D764" s="429" t="s">
        <v>1551</v>
      </c>
      <c r="E764" s="429">
        <v>1</v>
      </c>
      <c r="F764" s="429">
        <v>20</v>
      </c>
      <c r="G764" s="429">
        <f t="shared" si="78"/>
        <v>21</v>
      </c>
      <c r="H764" s="429"/>
      <c r="I764" s="429"/>
      <c r="J764" s="429" t="s">
        <v>1938</v>
      </c>
      <c r="K764" s="429"/>
      <c r="O764" t="s">
        <v>28</v>
      </c>
      <c r="P764" t="s">
        <v>29</v>
      </c>
      <c r="Q764" t="s">
        <v>30</v>
      </c>
      <c r="R764" t="s">
        <v>31</v>
      </c>
      <c r="S764" t="s">
        <v>32</v>
      </c>
      <c r="T764" t="s">
        <v>33</v>
      </c>
      <c r="U764" t="s">
        <v>34</v>
      </c>
      <c r="V764" t="s">
        <v>35</v>
      </c>
    </row>
    <row r="765" spans="1:22" x14ac:dyDescent="0.3">
      <c r="A765" s="12">
        <v>12</v>
      </c>
      <c r="B765" s="45" t="s">
        <v>168</v>
      </c>
      <c r="C765" s="45" t="s">
        <v>121</v>
      </c>
      <c r="D765" s="12" t="s">
        <v>1514</v>
      </c>
      <c r="E765" s="12">
        <v>8</v>
      </c>
      <c r="F765" s="12">
        <v>20</v>
      </c>
      <c r="G765" s="12">
        <f t="shared" si="78"/>
        <v>28</v>
      </c>
      <c r="H765" s="12"/>
      <c r="I765" s="12"/>
      <c r="J765" s="12">
        <v>11</v>
      </c>
      <c r="K765" s="12">
        <f t="shared" si="79"/>
        <v>39</v>
      </c>
      <c r="L765" t="str">
        <f t="shared" si="80"/>
        <v>F</v>
      </c>
      <c r="M765" t="str">
        <f t="shared" si="77"/>
        <v>Failed</v>
      </c>
      <c r="O765">
        <f>COUNTIF(L754:L777,"A")</f>
        <v>3</v>
      </c>
      <c r="P765">
        <f>COUNTIF(L754:L777,"B+")</f>
        <v>2</v>
      </c>
      <c r="Q765">
        <f>COUNTIF(L754:L777,"B")</f>
        <v>4</v>
      </c>
      <c r="R765">
        <f>COUNTIF(L754:L777,"C+")</f>
        <v>3</v>
      </c>
      <c r="S765">
        <f>COUNTIF(L754:L777,"C")</f>
        <v>5</v>
      </c>
      <c r="T765">
        <f>COUNTIF(L754:L777,"D+")</f>
        <v>0</v>
      </c>
      <c r="U765">
        <f>COUNTIF(L754:L777,"D")</f>
        <v>1</v>
      </c>
      <c r="V765">
        <f>COUNTIF(L754:L777,"F")</f>
        <v>2</v>
      </c>
    </row>
    <row r="766" spans="1:22" x14ac:dyDescent="0.3">
      <c r="A766" s="12">
        <v>13</v>
      </c>
      <c r="B766" s="45" t="s">
        <v>170</v>
      </c>
      <c r="C766" s="45" t="s">
        <v>124</v>
      </c>
      <c r="D766" s="12" t="s">
        <v>1504</v>
      </c>
      <c r="E766" s="12">
        <v>9</v>
      </c>
      <c r="F766" s="12">
        <v>25</v>
      </c>
      <c r="G766" s="12">
        <f t="shared" si="78"/>
        <v>34</v>
      </c>
      <c r="H766" s="12"/>
      <c r="I766" s="12"/>
      <c r="J766" s="12">
        <v>31</v>
      </c>
      <c r="K766" s="12">
        <f t="shared" si="79"/>
        <v>65</v>
      </c>
      <c r="L766" t="str">
        <f t="shared" ref="L766:L777" si="81">IF(K766&gt;=80,"A",IF(K766&gt;=70,"B+",IF(K766&gt;=60,"B",IF(K766&gt;=55,"C+",IF(K766&gt;=50,"C",IF(K766&gt;=45,"D+",IF(K766&gt;=40,"D","F")))))))</f>
        <v>B</v>
      </c>
      <c r="M766" t="str">
        <f t="shared" ref="M766:M777" si="82">IF(K766&gt;=50,"Passed","Failed")</f>
        <v>Passed</v>
      </c>
    </row>
    <row r="767" spans="1:22" x14ac:dyDescent="0.3">
      <c r="A767" s="12">
        <v>14</v>
      </c>
      <c r="B767" s="45" t="s">
        <v>172</v>
      </c>
      <c r="C767" s="45" t="s">
        <v>126</v>
      </c>
      <c r="D767" s="12" t="s">
        <v>1502</v>
      </c>
      <c r="E767" s="12">
        <v>9</v>
      </c>
      <c r="F767" s="12">
        <v>25</v>
      </c>
      <c r="G767" s="12">
        <f t="shared" si="78"/>
        <v>34</v>
      </c>
      <c r="H767" s="12"/>
      <c r="I767" s="12"/>
      <c r="J767" s="12">
        <v>21</v>
      </c>
      <c r="K767" s="12">
        <f t="shared" si="79"/>
        <v>55</v>
      </c>
      <c r="L767" t="str">
        <f t="shared" si="81"/>
        <v>C+</v>
      </c>
      <c r="M767" t="str">
        <f t="shared" si="82"/>
        <v>Passed</v>
      </c>
    </row>
    <row r="768" spans="1:22" x14ac:dyDescent="0.3">
      <c r="A768" s="12">
        <v>15</v>
      </c>
      <c r="B768" s="45" t="s">
        <v>173</v>
      </c>
      <c r="C768" s="45" t="s">
        <v>127</v>
      </c>
      <c r="D768" s="12" t="s">
        <v>1518</v>
      </c>
      <c r="E768" s="12">
        <v>10</v>
      </c>
      <c r="F768" s="12">
        <v>26</v>
      </c>
      <c r="G768" s="12">
        <f t="shared" si="78"/>
        <v>36</v>
      </c>
      <c r="H768" s="12"/>
      <c r="I768" s="12"/>
      <c r="J768" s="12">
        <v>22</v>
      </c>
      <c r="K768" s="12">
        <f t="shared" si="79"/>
        <v>58</v>
      </c>
      <c r="L768" t="str">
        <f t="shared" si="81"/>
        <v>C+</v>
      </c>
      <c r="M768" t="str">
        <f t="shared" si="82"/>
        <v>Passed</v>
      </c>
    </row>
    <row r="769" spans="1:13" x14ac:dyDescent="0.3">
      <c r="A769" s="12">
        <v>16</v>
      </c>
      <c r="B769" s="45" t="s">
        <v>175</v>
      </c>
      <c r="C769" s="45" t="s">
        <v>131</v>
      </c>
      <c r="D769" s="12" t="s">
        <v>1513</v>
      </c>
      <c r="E769" s="12">
        <v>9</v>
      </c>
      <c r="F769" s="12">
        <v>25</v>
      </c>
      <c r="G769" s="12">
        <f t="shared" si="78"/>
        <v>34</v>
      </c>
      <c r="H769" s="12"/>
      <c r="I769" s="12"/>
      <c r="J769" s="12">
        <v>49</v>
      </c>
      <c r="K769" s="12">
        <f t="shared" si="79"/>
        <v>83</v>
      </c>
      <c r="L769" t="str">
        <f t="shared" si="81"/>
        <v>A</v>
      </c>
      <c r="M769" t="str">
        <f t="shared" si="82"/>
        <v>Passed</v>
      </c>
    </row>
    <row r="770" spans="1:13" x14ac:dyDescent="0.3">
      <c r="A770" s="12">
        <v>17</v>
      </c>
      <c r="B770" s="277" t="s">
        <v>178</v>
      </c>
      <c r="C770" s="45" t="s">
        <v>133</v>
      </c>
      <c r="D770" s="12" t="s">
        <v>1507</v>
      </c>
      <c r="E770" s="12">
        <v>8</v>
      </c>
      <c r="F770" s="12">
        <v>20</v>
      </c>
      <c r="G770" s="12">
        <f t="shared" si="78"/>
        <v>28</v>
      </c>
      <c r="H770" s="12"/>
      <c r="I770" s="12"/>
      <c r="J770" s="12">
        <v>40</v>
      </c>
      <c r="K770" s="12">
        <f t="shared" si="79"/>
        <v>68</v>
      </c>
      <c r="L770" t="str">
        <f t="shared" si="81"/>
        <v>B</v>
      </c>
      <c r="M770" t="str">
        <f t="shared" si="82"/>
        <v>Passed</v>
      </c>
    </row>
    <row r="771" spans="1:13" x14ac:dyDescent="0.3">
      <c r="A771" s="12">
        <v>18</v>
      </c>
      <c r="B771" s="429" t="s">
        <v>534</v>
      </c>
      <c r="C771" s="436" t="s">
        <v>363</v>
      </c>
      <c r="D771" s="429" t="s">
        <v>1551</v>
      </c>
      <c r="E771" s="429">
        <v>8</v>
      </c>
      <c r="F771" s="429">
        <v>20</v>
      </c>
      <c r="G771" s="429">
        <f t="shared" si="78"/>
        <v>28</v>
      </c>
      <c r="H771" s="429"/>
      <c r="I771" s="429"/>
      <c r="J771" s="429" t="s">
        <v>1938</v>
      </c>
      <c r="K771" s="12"/>
    </row>
    <row r="772" spans="1:13" x14ac:dyDescent="0.3">
      <c r="A772" s="12">
        <v>19</v>
      </c>
      <c r="B772" s="437" t="s">
        <v>144</v>
      </c>
      <c r="C772" s="438" t="s">
        <v>137</v>
      </c>
      <c r="D772" s="429" t="s">
        <v>1551</v>
      </c>
      <c r="E772" s="429">
        <v>7.5</v>
      </c>
      <c r="F772" s="429">
        <v>20</v>
      </c>
      <c r="G772" s="429">
        <f t="shared" si="78"/>
        <v>27.5</v>
      </c>
      <c r="H772" s="429"/>
      <c r="I772" s="429"/>
      <c r="J772" s="429" t="s">
        <v>1938</v>
      </c>
      <c r="K772" s="241"/>
    </row>
    <row r="773" spans="1:13" x14ac:dyDescent="0.3">
      <c r="A773" s="12">
        <v>20</v>
      </c>
      <c r="B773" s="390" t="s">
        <v>204</v>
      </c>
      <c r="C773" s="390" t="s">
        <v>138</v>
      </c>
      <c r="D773" s="12" t="s">
        <v>1503</v>
      </c>
      <c r="E773" s="12">
        <v>10</v>
      </c>
      <c r="F773" s="12">
        <v>25</v>
      </c>
      <c r="G773" s="12">
        <f t="shared" si="78"/>
        <v>35</v>
      </c>
      <c r="H773" s="12"/>
      <c r="I773" s="12"/>
      <c r="J773" s="12">
        <v>41</v>
      </c>
      <c r="K773" s="12">
        <f t="shared" si="79"/>
        <v>76</v>
      </c>
      <c r="L773" t="str">
        <f t="shared" si="81"/>
        <v>B+</v>
      </c>
      <c r="M773" t="str">
        <f t="shared" si="82"/>
        <v>Passed</v>
      </c>
    </row>
    <row r="774" spans="1:13" x14ac:dyDescent="0.3">
      <c r="A774" s="12">
        <v>21</v>
      </c>
      <c r="B774" s="305" t="s">
        <v>181</v>
      </c>
      <c r="C774" s="45" t="s">
        <v>139</v>
      </c>
      <c r="D774" s="12" t="s">
        <v>1499</v>
      </c>
      <c r="E774" s="12">
        <v>10</v>
      </c>
      <c r="F774" s="12">
        <v>25</v>
      </c>
      <c r="G774" s="12">
        <f t="shared" si="78"/>
        <v>35</v>
      </c>
      <c r="H774" s="12"/>
      <c r="I774" s="12"/>
      <c r="J774" s="12">
        <v>20</v>
      </c>
      <c r="K774" s="12">
        <f t="shared" si="79"/>
        <v>55</v>
      </c>
      <c r="L774" t="str">
        <f t="shared" si="81"/>
        <v>C+</v>
      </c>
      <c r="M774" t="str">
        <f t="shared" si="82"/>
        <v>Passed</v>
      </c>
    </row>
    <row r="775" spans="1:13" x14ac:dyDescent="0.3">
      <c r="A775" s="12">
        <v>22</v>
      </c>
      <c r="B775" s="391" t="s">
        <v>201</v>
      </c>
      <c r="C775" s="45" t="s">
        <v>141</v>
      </c>
      <c r="D775" s="12" t="s">
        <v>1512</v>
      </c>
      <c r="E775" s="12">
        <v>9</v>
      </c>
      <c r="F775" s="12">
        <v>24</v>
      </c>
      <c r="G775" s="12">
        <f t="shared" si="78"/>
        <v>33</v>
      </c>
      <c r="H775" s="12"/>
      <c r="I775" s="12"/>
      <c r="J775" s="12">
        <v>20</v>
      </c>
      <c r="K775" s="12">
        <f t="shared" si="79"/>
        <v>53</v>
      </c>
      <c r="L775" t="str">
        <f t="shared" si="81"/>
        <v>C</v>
      </c>
      <c r="M775" t="str">
        <f t="shared" si="82"/>
        <v>Passed</v>
      </c>
    </row>
    <row r="776" spans="1:13" x14ac:dyDescent="0.3">
      <c r="A776" s="12">
        <v>23</v>
      </c>
      <c r="B776" s="45" t="s">
        <v>176</v>
      </c>
      <c r="C776" s="45" t="s">
        <v>481</v>
      </c>
      <c r="D776" s="12" t="s">
        <v>1509</v>
      </c>
      <c r="E776" s="12">
        <v>7.5</v>
      </c>
      <c r="F776" s="12">
        <v>20</v>
      </c>
      <c r="G776" s="12">
        <f t="shared" si="78"/>
        <v>27.5</v>
      </c>
      <c r="H776" s="12"/>
      <c r="I776" s="12"/>
      <c r="J776" s="12">
        <v>9</v>
      </c>
      <c r="K776" s="241">
        <f t="shared" si="79"/>
        <v>36.5</v>
      </c>
      <c r="L776" t="str">
        <f t="shared" si="81"/>
        <v>F</v>
      </c>
      <c r="M776" t="str">
        <f t="shared" si="82"/>
        <v>Failed</v>
      </c>
    </row>
    <row r="777" spans="1:13" x14ac:dyDescent="0.3">
      <c r="A777" s="368">
        <v>24</v>
      </c>
      <c r="B777" s="368" t="s">
        <v>532</v>
      </c>
      <c r="C777" s="368" t="s">
        <v>533</v>
      </c>
      <c r="D777" s="340" t="s">
        <v>1506</v>
      </c>
      <c r="E777" s="368">
        <v>7.5</v>
      </c>
      <c r="F777" s="368">
        <v>18</v>
      </c>
      <c r="G777" s="368">
        <f t="shared" si="78"/>
        <v>25.5</v>
      </c>
      <c r="H777" s="368"/>
      <c r="I777" s="368"/>
      <c r="J777" s="368">
        <v>28</v>
      </c>
      <c r="K777" s="435">
        <f t="shared" si="79"/>
        <v>53.5</v>
      </c>
      <c r="L777" t="str">
        <f t="shared" si="81"/>
        <v>C</v>
      </c>
      <c r="M777" t="str">
        <f t="shared" si="82"/>
        <v>Passed</v>
      </c>
    </row>
    <row r="786" spans="1:15" x14ac:dyDescent="0.3">
      <c r="A786" s="38" t="s">
        <v>0</v>
      </c>
      <c r="B786" s="39"/>
      <c r="C786" s="39"/>
      <c r="D786" s="39"/>
      <c r="E786" s="39"/>
      <c r="F786" s="39"/>
      <c r="G786" s="39"/>
      <c r="H786" s="70"/>
      <c r="I786" s="70"/>
      <c r="J786" s="39"/>
      <c r="K786" s="39"/>
      <c r="L786" s="39"/>
    </row>
    <row r="787" spans="1:15" x14ac:dyDescent="0.3">
      <c r="A787" s="46" t="s">
        <v>66</v>
      </c>
      <c r="B787" s="46"/>
      <c r="C787" s="46"/>
      <c r="D787" s="46"/>
      <c r="E787" s="46"/>
      <c r="F787" s="46"/>
      <c r="G787" s="46"/>
      <c r="H787" s="48"/>
      <c r="I787" s="48"/>
      <c r="J787" s="14"/>
      <c r="K787" s="14"/>
    </row>
    <row r="788" spans="1:15" x14ac:dyDescent="0.3">
      <c r="A788" s="460" t="s">
        <v>362</v>
      </c>
      <c r="B788" s="461"/>
      <c r="C788" s="461"/>
      <c r="D788" s="2"/>
      <c r="E788" s="2"/>
      <c r="F788" s="2"/>
      <c r="G788" s="2"/>
      <c r="H788" s="2"/>
      <c r="I788" s="2"/>
      <c r="J788" s="2"/>
      <c r="K788" s="2"/>
      <c r="L788" s="1"/>
      <c r="M788" s="16"/>
      <c r="N788" s="16"/>
      <c r="O788" s="13"/>
    </row>
    <row r="789" spans="1:15" x14ac:dyDescent="0.3">
      <c r="A789" s="38" t="s">
        <v>1</v>
      </c>
      <c r="B789" s="462" t="s">
        <v>38</v>
      </c>
      <c r="C789" s="462"/>
      <c r="D789" s="38"/>
      <c r="E789" s="38"/>
      <c r="F789" s="38"/>
      <c r="G789" s="38"/>
      <c r="H789" s="48"/>
      <c r="I789" s="48"/>
      <c r="J789" s="14"/>
      <c r="K789" s="14"/>
    </row>
    <row r="790" spans="1:15" x14ac:dyDescent="0.3">
      <c r="A790" s="38" t="s">
        <v>3</v>
      </c>
      <c r="B790" s="462" t="s">
        <v>88</v>
      </c>
      <c r="C790" s="462"/>
      <c r="D790" s="38"/>
      <c r="E790" s="38"/>
      <c r="F790" s="38"/>
      <c r="G790" s="38"/>
      <c r="H790" s="48"/>
      <c r="I790" s="48"/>
      <c r="J790" s="14"/>
      <c r="K790" s="14"/>
    </row>
    <row r="791" spans="1:15" x14ac:dyDescent="0.3">
      <c r="A791" s="38" t="s">
        <v>4</v>
      </c>
      <c r="B791" s="462" t="s">
        <v>89</v>
      </c>
      <c r="C791" s="462"/>
      <c r="D791" s="38"/>
      <c r="E791" s="38"/>
      <c r="F791" s="38"/>
      <c r="G791" s="38"/>
      <c r="H791" s="48"/>
      <c r="I791" s="48"/>
      <c r="J791" s="14"/>
      <c r="K791" s="14"/>
    </row>
    <row r="792" spans="1:15" x14ac:dyDescent="0.3">
      <c r="A792" s="38" t="s">
        <v>5</v>
      </c>
      <c r="B792" s="463">
        <v>3</v>
      </c>
      <c r="C792" s="463"/>
      <c r="D792" s="38"/>
      <c r="E792" s="38"/>
      <c r="F792" s="38"/>
      <c r="G792" s="38"/>
      <c r="H792" s="48"/>
      <c r="I792" s="48"/>
      <c r="J792" s="14"/>
      <c r="K792" s="14"/>
    </row>
    <row r="793" spans="1:15" x14ac:dyDescent="0.3">
      <c r="A793" s="14" t="s">
        <v>6</v>
      </c>
      <c r="B793" s="465" t="s">
        <v>429</v>
      </c>
      <c r="C793" s="465"/>
      <c r="D793" s="38"/>
      <c r="E793" s="38"/>
      <c r="F793" s="38"/>
      <c r="G793" s="38"/>
      <c r="H793" s="48"/>
      <c r="I793" s="48"/>
      <c r="J793" s="14"/>
      <c r="K793" s="14"/>
    </row>
    <row r="794" spans="1:15" x14ac:dyDescent="0.3">
      <c r="A794" s="47" t="s">
        <v>68</v>
      </c>
      <c r="B794" s="470"/>
      <c r="C794" s="470"/>
      <c r="D794" s="14"/>
      <c r="E794" s="14"/>
      <c r="F794" s="14"/>
      <c r="G794" s="14"/>
      <c r="H794" s="14"/>
      <c r="I794" s="14"/>
      <c r="J794" s="14"/>
      <c r="K794" s="14"/>
    </row>
    <row r="795" spans="1:15" x14ac:dyDescent="0.3">
      <c r="A795" s="42"/>
      <c r="B795" s="38"/>
      <c r="C795" s="38"/>
      <c r="D795" s="38"/>
      <c r="E795" s="38"/>
      <c r="F795" s="38"/>
      <c r="G795" s="38"/>
      <c r="H795" s="48"/>
      <c r="I795" s="48"/>
      <c r="J795" s="14"/>
      <c r="K795" s="14"/>
    </row>
    <row r="796" spans="1:15" ht="49.2" x14ac:dyDescent="0.3">
      <c r="A796" s="42" t="s">
        <v>8</v>
      </c>
      <c r="B796" s="42" t="s">
        <v>9</v>
      </c>
      <c r="C796" s="42" t="s">
        <v>10</v>
      </c>
      <c r="D796" s="42" t="s">
        <v>11</v>
      </c>
      <c r="E796" s="43" t="s">
        <v>12</v>
      </c>
      <c r="F796" s="43" t="s">
        <v>13</v>
      </c>
      <c r="G796" s="43" t="s">
        <v>14</v>
      </c>
      <c r="H796" s="43" t="s">
        <v>208</v>
      </c>
      <c r="I796" s="43" t="s">
        <v>209</v>
      </c>
      <c r="J796" s="43" t="s">
        <v>15</v>
      </c>
      <c r="K796" s="43" t="s">
        <v>16</v>
      </c>
      <c r="L796" s="14" t="s">
        <v>17</v>
      </c>
      <c r="M796" s="14" t="s">
        <v>18</v>
      </c>
      <c r="N796" s="14" t="s">
        <v>19</v>
      </c>
    </row>
    <row r="797" spans="1:15" x14ac:dyDescent="0.3">
      <c r="A797" s="1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N797" t="s">
        <v>20</v>
      </c>
      <c r="O797">
        <f>COUNT(G798:G820)</f>
        <v>21</v>
      </c>
    </row>
    <row r="798" spans="1:15" x14ac:dyDescent="0.3">
      <c r="A798" s="12">
        <v>1</v>
      </c>
      <c r="B798" s="45" t="s">
        <v>203</v>
      </c>
      <c r="C798" s="45" t="s">
        <v>92</v>
      </c>
      <c r="D798" s="12" t="s">
        <v>893</v>
      </c>
      <c r="E798" s="12">
        <v>9</v>
      </c>
      <c r="F798" s="12">
        <v>27</v>
      </c>
      <c r="G798" s="12">
        <f>SUM(E798:F798)</f>
        <v>36</v>
      </c>
      <c r="H798" s="12"/>
      <c r="I798" s="12"/>
      <c r="J798" s="12">
        <v>38</v>
      </c>
      <c r="K798" s="12">
        <f>SUM(G798:J798)</f>
        <v>74</v>
      </c>
      <c r="L798" t="str">
        <f t="shared" ref="L798:L809" si="83">IF(K798&gt;=80,"A",IF(K798&gt;=70,"B+",IF(K798&gt;=60,"B",IF(K798&gt;=55,"C+",IF(K798&gt;=50,"C",IF(K798&gt;=45,"D+",IF(K798&gt;=40,"D","F")))))))</f>
        <v>B+</v>
      </c>
      <c r="M798" t="str">
        <f t="shared" ref="M798:M809" si="84">IF(K798&gt;=50,"Passed","Failed")</f>
        <v>Passed</v>
      </c>
      <c r="N798" t="s">
        <v>21</v>
      </c>
      <c r="O798">
        <f>COUNT(J798:J820)</f>
        <v>21</v>
      </c>
    </row>
    <row r="799" spans="1:15" x14ac:dyDescent="0.3">
      <c r="A799" s="12">
        <v>2</v>
      </c>
      <c r="B799" s="45" t="s">
        <v>145</v>
      </c>
      <c r="C799" s="45" t="s">
        <v>93</v>
      </c>
      <c r="D799" s="12" t="s">
        <v>904</v>
      </c>
      <c r="E799" s="12">
        <v>9</v>
      </c>
      <c r="F799" s="12">
        <v>27</v>
      </c>
      <c r="G799" s="12">
        <f t="shared" ref="G799:G820" si="85">SUM(E799:F799)</f>
        <v>36</v>
      </c>
      <c r="H799" s="12"/>
      <c r="I799" s="12"/>
      <c r="J799" s="12">
        <v>30</v>
      </c>
      <c r="K799" s="12">
        <f t="shared" ref="K799:K820" si="86">SUM(G799:J799)</f>
        <v>66</v>
      </c>
      <c r="L799" t="str">
        <f t="shared" si="83"/>
        <v>B</v>
      </c>
      <c r="M799" t="str">
        <f t="shared" si="84"/>
        <v>Passed</v>
      </c>
      <c r="N799" t="s">
        <v>22</v>
      </c>
      <c r="O799">
        <f>O797-O798</f>
        <v>0</v>
      </c>
    </row>
    <row r="800" spans="1:15" x14ac:dyDescent="0.3">
      <c r="A800" s="12">
        <v>3</v>
      </c>
      <c r="B800" s="45" t="s">
        <v>149</v>
      </c>
      <c r="C800" s="45" t="s">
        <v>97</v>
      </c>
      <c r="D800" s="12" t="s">
        <v>899</v>
      </c>
      <c r="E800" s="12">
        <v>9</v>
      </c>
      <c r="F800" s="12">
        <v>26</v>
      </c>
      <c r="G800" s="12">
        <f t="shared" si="85"/>
        <v>35</v>
      </c>
      <c r="H800" s="12"/>
      <c r="I800" s="12"/>
      <c r="J800" s="12">
        <v>50</v>
      </c>
      <c r="K800" s="12">
        <f t="shared" si="86"/>
        <v>85</v>
      </c>
      <c r="L800" t="str">
        <f t="shared" si="83"/>
        <v>A</v>
      </c>
      <c r="M800" t="str">
        <f t="shared" si="84"/>
        <v>Passed</v>
      </c>
      <c r="N800" t="s">
        <v>23</v>
      </c>
      <c r="O800">
        <f>COUNTIF(M798:M820,"Passed")</f>
        <v>19</v>
      </c>
    </row>
    <row r="801" spans="1:22" x14ac:dyDescent="0.3">
      <c r="A801" s="12">
        <v>4</v>
      </c>
      <c r="B801" s="45" t="s">
        <v>152</v>
      </c>
      <c r="C801" s="45" t="s">
        <v>100</v>
      </c>
      <c r="D801" s="12" t="s">
        <v>909</v>
      </c>
      <c r="E801" s="12">
        <v>8</v>
      </c>
      <c r="F801" s="12">
        <v>27</v>
      </c>
      <c r="G801" s="12">
        <f t="shared" si="85"/>
        <v>35</v>
      </c>
      <c r="H801" s="12"/>
      <c r="I801" s="12"/>
      <c r="J801" s="12">
        <v>50</v>
      </c>
      <c r="K801" s="12">
        <f t="shared" si="86"/>
        <v>85</v>
      </c>
      <c r="L801" t="str">
        <f t="shared" si="83"/>
        <v>A</v>
      </c>
      <c r="M801" t="str">
        <f t="shared" si="84"/>
        <v>Passed</v>
      </c>
      <c r="N801" t="s">
        <v>24</v>
      </c>
      <c r="O801">
        <f>O800/O798%</f>
        <v>90.476190476190482</v>
      </c>
    </row>
    <row r="802" spans="1:22" x14ac:dyDescent="0.3">
      <c r="A802" s="12">
        <v>5</v>
      </c>
      <c r="B802" s="45" t="s">
        <v>156</v>
      </c>
      <c r="C802" s="45" t="s">
        <v>104</v>
      </c>
      <c r="D802" s="12" t="s">
        <v>902</v>
      </c>
      <c r="E802" s="12">
        <v>9</v>
      </c>
      <c r="F802" s="12">
        <v>26</v>
      </c>
      <c r="G802" s="12">
        <f t="shared" si="85"/>
        <v>35</v>
      </c>
      <c r="H802" s="12"/>
      <c r="I802" s="12"/>
      <c r="J802" s="12">
        <v>28</v>
      </c>
      <c r="K802" s="12">
        <f t="shared" si="86"/>
        <v>63</v>
      </c>
      <c r="L802" t="str">
        <f t="shared" si="83"/>
        <v>B</v>
      </c>
      <c r="M802" t="str">
        <f t="shared" si="84"/>
        <v>Passed</v>
      </c>
      <c r="N802" t="s">
        <v>25</v>
      </c>
      <c r="O802">
        <f>COUNTIF(M798:M820,"failed")</f>
        <v>2</v>
      </c>
    </row>
    <row r="803" spans="1:22" x14ac:dyDescent="0.3">
      <c r="A803" s="12">
        <v>6</v>
      </c>
      <c r="B803" s="45" t="s">
        <v>160</v>
      </c>
      <c r="C803" s="45" t="s">
        <v>109</v>
      </c>
      <c r="D803" s="12" t="s">
        <v>903</v>
      </c>
      <c r="E803" s="12">
        <v>9</v>
      </c>
      <c r="F803" s="12">
        <v>26</v>
      </c>
      <c r="G803" s="12">
        <f t="shared" si="85"/>
        <v>35</v>
      </c>
      <c r="H803" s="12"/>
      <c r="I803" s="12"/>
      <c r="J803" s="12">
        <v>50</v>
      </c>
      <c r="K803" s="12">
        <f t="shared" si="86"/>
        <v>85</v>
      </c>
      <c r="L803" t="str">
        <f t="shared" si="83"/>
        <v>A</v>
      </c>
      <c r="M803" t="str">
        <f t="shared" si="84"/>
        <v>Passed</v>
      </c>
      <c r="N803" t="s">
        <v>26</v>
      </c>
      <c r="O803">
        <f>O802/O798%</f>
        <v>9.5238095238095237</v>
      </c>
    </row>
    <row r="804" spans="1:22" x14ac:dyDescent="0.3">
      <c r="A804" s="12">
        <v>7</v>
      </c>
      <c r="B804" s="45" t="s">
        <v>207</v>
      </c>
      <c r="C804" s="45" t="s">
        <v>110</v>
      </c>
      <c r="D804" s="12" t="s">
        <v>964</v>
      </c>
      <c r="E804" s="12"/>
      <c r="F804" s="12"/>
      <c r="G804" s="12"/>
      <c r="H804" s="12"/>
      <c r="I804" s="12"/>
      <c r="J804" s="12"/>
      <c r="K804" s="12"/>
      <c r="N804" t="s">
        <v>27</v>
      </c>
      <c r="O804">
        <f>AVERAGE(K798:K820)</f>
        <v>71.5</v>
      </c>
    </row>
    <row r="805" spans="1:22" x14ac:dyDescent="0.3">
      <c r="A805" s="12">
        <v>8</v>
      </c>
      <c r="B805" s="45" t="s">
        <v>163</v>
      </c>
      <c r="C805" s="45" t="s">
        <v>113</v>
      </c>
      <c r="D805" s="12" t="s">
        <v>908</v>
      </c>
      <c r="E805" s="12">
        <v>10</v>
      </c>
      <c r="F805" s="12">
        <v>27</v>
      </c>
      <c r="G805" s="12">
        <f t="shared" si="85"/>
        <v>37</v>
      </c>
      <c r="H805" s="12"/>
      <c r="I805" s="12"/>
      <c r="J805" s="12">
        <v>30</v>
      </c>
      <c r="K805" s="12">
        <f t="shared" si="86"/>
        <v>67</v>
      </c>
      <c r="L805" t="str">
        <f t="shared" si="83"/>
        <v>B</v>
      </c>
      <c r="M805" t="str">
        <f t="shared" si="84"/>
        <v>Passed</v>
      </c>
    </row>
    <row r="806" spans="1:22" x14ac:dyDescent="0.3">
      <c r="A806" s="12">
        <v>9</v>
      </c>
      <c r="B806" s="45" t="s">
        <v>480</v>
      </c>
      <c r="C806" s="45" t="s">
        <v>115</v>
      </c>
      <c r="D806" s="12" t="s">
        <v>907</v>
      </c>
      <c r="E806" s="12">
        <v>10</v>
      </c>
      <c r="F806" s="12">
        <v>27</v>
      </c>
      <c r="G806" s="12">
        <f t="shared" si="85"/>
        <v>37</v>
      </c>
      <c r="H806" s="12"/>
      <c r="I806" s="12"/>
      <c r="J806" s="12">
        <v>50</v>
      </c>
      <c r="K806" s="12">
        <f t="shared" si="86"/>
        <v>87</v>
      </c>
      <c r="L806" t="str">
        <f t="shared" si="83"/>
        <v>A</v>
      </c>
      <c r="M806" t="str">
        <f t="shared" si="84"/>
        <v>Passed</v>
      </c>
    </row>
    <row r="807" spans="1:22" x14ac:dyDescent="0.3">
      <c r="A807" s="12">
        <v>10</v>
      </c>
      <c r="B807" s="45" t="s">
        <v>200</v>
      </c>
      <c r="C807" s="45" t="s">
        <v>119</v>
      </c>
      <c r="D807" s="12" t="s">
        <v>898</v>
      </c>
      <c r="E807" s="12">
        <v>9</v>
      </c>
      <c r="F807" s="12">
        <v>10</v>
      </c>
      <c r="G807" s="12">
        <f t="shared" si="85"/>
        <v>19</v>
      </c>
      <c r="H807" s="12"/>
      <c r="I807" s="12"/>
      <c r="J807" s="12">
        <v>35</v>
      </c>
      <c r="K807" s="12">
        <f t="shared" si="86"/>
        <v>54</v>
      </c>
      <c r="L807" t="str">
        <f t="shared" si="83"/>
        <v>C</v>
      </c>
      <c r="M807" t="str">
        <f t="shared" si="84"/>
        <v>Passed</v>
      </c>
    </row>
    <row r="808" spans="1:22" x14ac:dyDescent="0.3">
      <c r="A808" s="12">
        <v>11</v>
      </c>
      <c r="B808" s="45" t="s">
        <v>205</v>
      </c>
      <c r="C808" s="45" t="s">
        <v>120</v>
      </c>
      <c r="D808" s="12" t="s">
        <v>964</v>
      </c>
      <c r="E808" s="12"/>
      <c r="F808" s="12"/>
      <c r="G808" s="12"/>
      <c r="H808" s="12"/>
      <c r="I808" s="12"/>
      <c r="J808" s="12"/>
      <c r="K808" s="12"/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 t="s">
        <v>33</v>
      </c>
      <c r="U808" t="s">
        <v>34</v>
      </c>
      <c r="V808" t="s">
        <v>35</v>
      </c>
    </row>
    <row r="809" spans="1:22" x14ac:dyDescent="0.3">
      <c r="A809" s="12">
        <v>12</v>
      </c>
      <c r="B809" s="45" t="s">
        <v>168</v>
      </c>
      <c r="C809" s="45" t="s">
        <v>121</v>
      </c>
      <c r="D809" s="12" t="s">
        <v>900</v>
      </c>
      <c r="E809" s="12">
        <v>8</v>
      </c>
      <c r="F809" s="12">
        <v>16</v>
      </c>
      <c r="G809" s="12">
        <f t="shared" si="85"/>
        <v>24</v>
      </c>
      <c r="H809" s="12"/>
      <c r="I809" s="12"/>
      <c r="J809" s="12">
        <v>45</v>
      </c>
      <c r="K809" s="12">
        <f t="shared" si="86"/>
        <v>69</v>
      </c>
      <c r="L809" t="str">
        <f t="shared" si="83"/>
        <v>B</v>
      </c>
      <c r="M809" t="str">
        <f t="shared" si="84"/>
        <v>Passed</v>
      </c>
      <c r="O809">
        <f>COUNTIF(L798:L820,"A")</f>
        <v>8</v>
      </c>
      <c r="P809">
        <f>COUNTIF(L798:L820,"B+")</f>
        <v>4</v>
      </c>
      <c r="Q809">
        <f>COUNTIF(L798:L820,"B")</f>
        <v>6</v>
      </c>
      <c r="R809">
        <f>COUNTIF(L798:L820,"C+")</f>
        <v>0</v>
      </c>
      <c r="S809">
        <f>COUNTIF(L798:L820,"C")</f>
        <v>1</v>
      </c>
      <c r="T809">
        <f>COUNTIF(L798:L820,"D+")</f>
        <v>1</v>
      </c>
      <c r="U809">
        <f>COUNTIF(L798:L820,"D")</f>
        <v>0</v>
      </c>
      <c r="V809">
        <f>COUNTIF(L798:L820,"F")</f>
        <v>1</v>
      </c>
    </row>
    <row r="810" spans="1:22" x14ac:dyDescent="0.3">
      <c r="A810" s="12">
        <v>13</v>
      </c>
      <c r="B810" s="45" t="s">
        <v>170</v>
      </c>
      <c r="C810" s="45" t="s">
        <v>124</v>
      </c>
      <c r="D810" s="12" t="s">
        <v>892</v>
      </c>
      <c r="E810" s="12">
        <v>9</v>
      </c>
      <c r="F810" s="12">
        <v>27</v>
      </c>
      <c r="G810" s="12">
        <f t="shared" si="85"/>
        <v>36</v>
      </c>
      <c r="H810" s="12"/>
      <c r="I810" s="12"/>
      <c r="J810" s="12">
        <v>45</v>
      </c>
      <c r="K810" s="12">
        <f t="shared" si="86"/>
        <v>81</v>
      </c>
      <c r="L810" t="str">
        <f t="shared" ref="L810:L820" si="87">IF(K810&gt;=80,"A",IF(K810&gt;=70,"B+",IF(K810&gt;=60,"B",IF(K810&gt;=55,"C+",IF(K810&gt;=50,"C",IF(K810&gt;=45,"D+",IF(K810&gt;=40,"D","F")))))))</f>
        <v>A</v>
      </c>
      <c r="M810" t="str">
        <f t="shared" ref="M810:M820" si="88">IF(K810&gt;=50,"Passed","Failed")</f>
        <v>Passed</v>
      </c>
    </row>
    <row r="811" spans="1:22" x14ac:dyDescent="0.3">
      <c r="A811" s="12">
        <v>14</v>
      </c>
      <c r="B811" s="45" t="s">
        <v>172</v>
      </c>
      <c r="C811" s="45" t="s">
        <v>126</v>
      </c>
      <c r="D811" s="12" t="s">
        <v>901</v>
      </c>
      <c r="E811" s="12">
        <v>8</v>
      </c>
      <c r="F811" s="12">
        <v>25</v>
      </c>
      <c r="G811" s="12">
        <f t="shared" si="85"/>
        <v>33</v>
      </c>
      <c r="H811" s="12"/>
      <c r="I811" s="12"/>
      <c r="J811" s="12">
        <v>40</v>
      </c>
      <c r="K811" s="12">
        <f t="shared" si="86"/>
        <v>73</v>
      </c>
      <c r="L811" t="str">
        <f t="shared" si="87"/>
        <v>B+</v>
      </c>
      <c r="M811" t="str">
        <f t="shared" si="88"/>
        <v>Passed</v>
      </c>
    </row>
    <row r="812" spans="1:22" x14ac:dyDescent="0.3">
      <c r="A812" s="12">
        <v>15</v>
      </c>
      <c r="B812" s="45" t="s">
        <v>173</v>
      </c>
      <c r="C812" s="45" t="s">
        <v>127</v>
      </c>
      <c r="D812" s="12" t="s">
        <v>912</v>
      </c>
      <c r="E812" s="12">
        <v>9</v>
      </c>
      <c r="F812" s="12">
        <v>27</v>
      </c>
      <c r="G812" s="12">
        <f t="shared" si="85"/>
        <v>36</v>
      </c>
      <c r="H812" s="12"/>
      <c r="I812" s="12"/>
      <c r="J812" s="12">
        <v>50</v>
      </c>
      <c r="K812" s="12">
        <f t="shared" si="86"/>
        <v>86</v>
      </c>
      <c r="L812" t="str">
        <f t="shared" si="87"/>
        <v>A</v>
      </c>
      <c r="M812" t="str">
        <f t="shared" si="88"/>
        <v>Passed</v>
      </c>
    </row>
    <row r="813" spans="1:22" x14ac:dyDescent="0.3">
      <c r="A813" s="12">
        <v>16</v>
      </c>
      <c r="B813" s="45" t="s">
        <v>175</v>
      </c>
      <c r="C813" s="45" t="s">
        <v>131</v>
      </c>
      <c r="D813" s="12" t="s">
        <v>906</v>
      </c>
      <c r="E813" s="12">
        <v>8</v>
      </c>
      <c r="F813" s="12">
        <v>28</v>
      </c>
      <c r="G813" s="12">
        <f t="shared" si="85"/>
        <v>36</v>
      </c>
      <c r="H813" s="12"/>
      <c r="I813" s="12"/>
      <c r="J813" s="12">
        <v>51</v>
      </c>
      <c r="K813" s="12">
        <f t="shared" si="86"/>
        <v>87</v>
      </c>
      <c r="L813" t="str">
        <f t="shared" si="87"/>
        <v>A</v>
      </c>
      <c r="M813" t="str">
        <f t="shared" si="88"/>
        <v>Passed</v>
      </c>
    </row>
    <row r="814" spans="1:22" x14ac:dyDescent="0.3">
      <c r="A814" s="12">
        <v>17</v>
      </c>
      <c r="B814" s="277" t="s">
        <v>178</v>
      </c>
      <c r="C814" s="45" t="s">
        <v>133</v>
      </c>
      <c r="D814" s="12" t="s">
        <v>896</v>
      </c>
      <c r="E814" s="12">
        <v>9</v>
      </c>
      <c r="F814" s="12">
        <v>26</v>
      </c>
      <c r="G814" s="12">
        <f t="shared" si="85"/>
        <v>35</v>
      </c>
      <c r="H814" s="12"/>
      <c r="I814" s="12"/>
      <c r="J814" s="12">
        <v>40</v>
      </c>
      <c r="K814" s="12">
        <f t="shared" si="86"/>
        <v>75</v>
      </c>
      <c r="L814" t="str">
        <f t="shared" si="87"/>
        <v>B+</v>
      </c>
      <c r="M814" t="str">
        <f t="shared" si="88"/>
        <v>Passed</v>
      </c>
    </row>
    <row r="815" spans="1:22" x14ac:dyDescent="0.3">
      <c r="A815" s="12">
        <v>18</v>
      </c>
      <c r="B815" s="45" t="s">
        <v>534</v>
      </c>
      <c r="C815" s="303" t="s">
        <v>363</v>
      </c>
      <c r="D815" s="12" t="s">
        <v>905</v>
      </c>
      <c r="E815" s="12">
        <v>8</v>
      </c>
      <c r="F815" s="12">
        <v>0</v>
      </c>
      <c r="G815" s="12">
        <f t="shared" si="85"/>
        <v>8</v>
      </c>
      <c r="H815" s="12"/>
      <c r="I815" s="12"/>
      <c r="J815" s="12">
        <v>20</v>
      </c>
      <c r="K815" s="12">
        <f t="shared" si="86"/>
        <v>28</v>
      </c>
      <c r="L815" t="str">
        <f t="shared" si="87"/>
        <v>F</v>
      </c>
      <c r="M815" t="str">
        <f t="shared" si="88"/>
        <v>Failed</v>
      </c>
    </row>
    <row r="816" spans="1:22" x14ac:dyDescent="0.3">
      <c r="A816" s="12">
        <v>19</v>
      </c>
      <c r="B816" s="389" t="s">
        <v>144</v>
      </c>
      <c r="C816" s="304" t="s">
        <v>137</v>
      </c>
      <c r="D816" s="12" t="s">
        <v>897</v>
      </c>
      <c r="E816" s="12">
        <v>8</v>
      </c>
      <c r="F816" s="12">
        <v>17</v>
      </c>
      <c r="G816" s="12">
        <f t="shared" si="85"/>
        <v>25</v>
      </c>
      <c r="H816" s="12"/>
      <c r="I816" s="12"/>
      <c r="J816" s="12">
        <v>20</v>
      </c>
      <c r="K816" s="12">
        <f t="shared" si="86"/>
        <v>45</v>
      </c>
      <c r="L816" t="str">
        <f t="shared" si="87"/>
        <v>D+</v>
      </c>
      <c r="M816" t="str">
        <f t="shared" si="88"/>
        <v>Failed</v>
      </c>
    </row>
    <row r="817" spans="1:15" x14ac:dyDescent="0.3">
      <c r="A817" s="12">
        <v>20</v>
      </c>
      <c r="B817" s="390" t="s">
        <v>204</v>
      </c>
      <c r="C817" s="390" t="s">
        <v>138</v>
      </c>
      <c r="D817" s="12" t="s">
        <v>894</v>
      </c>
      <c r="E817" s="12">
        <v>8</v>
      </c>
      <c r="F817" s="12">
        <v>27</v>
      </c>
      <c r="G817" s="12">
        <f t="shared" si="85"/>
        <v>35</v>
      </c>
      <c r="H817" s="12"/>
      <c r="I817" s="12"/>
      <c r="J817" s="12">
        <v>40</v>
      </c>
      <c r="K817" s="12">
        <f t="shared" si="86"/>
        <v>75</v>
      </c>
      <c r="L817" t="str">
        <f t="shared" si="87"/>
        <v>B+</v>
      </c>
      <c r="M817" t="str">
        <f t="shared" si="88"/>
        <v>Passed</v>
      </c>
    </row>
    <row r="818" spans="1:15" x14ac:dyDescent="0.3">
      <c r="A818" s="12">
        <v>21</v>
      </c>
      <c r="B818" s="305" t="s">
        <v>181</v>
      </c>
      <c r="C818" s="45" t="s">
        <v>139</v>
      </c>
      <c r="D818" s="12" t="s">
        <v>895</v>
      </c>
      <c r="E818" s="12">
        <v>10</v>
      </c>
      <c r="F818" s="12">
        <v>25</v>
      </c>
      <c r="G818" s="12">
        <f t="shared" si="85"/>
        <v>35</v>
      </c>
      <c r="H818" s="12"/>
      <c r="I818" s="12"/>
      <c r="J818" s="12">
        <v>32</v>
      </c>
      <c r="K818" s="12">
        <f t="shared" si="86"/>
        <v>67</v>
      </c>
      <c r="L818" t="str">
        <f t="shared" si="87"/>
        <v>B</v>
      </c>
      <c r="M818" t="str">
        <f t="shared" si="88"/>
        <v>Passed</v>
      </c>
    </row>
    <row r="819" spans="1:15" x14ac:dyDescent="0.3">
      <c r="A819" s="12">
        <v>22</v>
      </c>
      <c r="B819" s="391" t="s">
        <v>201</v>
      </c>
      <c r="C819" s="45" t="s">
        <v>141</v>
      </c>
      <c r="D819" s="12" t="s">
        <v>911</v>
      </c>
      <c r="E819" s="12">
        <v>8</v>
      </c>
      <c r="F819" s="12">
        <v>27</v>
      </c>
      <c r="G819" s="12">
        <f t="shared" si="85"/>
        <v>35</v>
      </c>
      <c r="H819" s="12"/>
      <c r="I819" s="12"/>
      <c r="J819" s="12">
        <v>50</v>
      </c>
      <c r="K819" s="12">
        <f t="shared" si="86"/>
        <v>85</v>
      </c>
      <c r="L819" t="str">
        <f t="shared" si="87"/>
        <v>A</v>
      </c>
      <c r="M819" t="str">
        <f t="shared" si="88"/>
        <v>Passed</v>
      </c>
    </row>
    <row r="820" spans="1:15" x14ac:dyDescent="0.3">
      <c r="A820" s="12">
        <v>23</v>
      </c>
      <c r="B820" s="45" t="s">
        <v>176</v>
      </c>
      <c r="C820" s="45" t="s">
        <v>481</v>
      </c>
      <c r="D820" s="12" t="s">
        <v>910</v>
      </c>
      <c r="E820" s="12">
        <v>7.5</v>
      </c>
      <c r="F820" s="12">
        <v>12</v>
      </c>
      <c r="G820" s="12">
        <f t="shared" si="85"/>
        <v>19.5</v>
      </c>
      <c r="H820" s="12"/>
      <c r="I820" s="12"/>
      <c r="J820" s="12">
        <v>45</v>
      </c>
      <c r="K820" s="12">
        <f t="shared" si="86"/>
        <v>64.5</v>
      </c>
      <c r="L820" t="str">
        <f t="shared" si="87"/>
        <v>B</v>
      </c>
      <c r="M820" t="str">
        <f t="shared" si="88"/>
        <v>Passed</v>
      </c>
    </row>
    <row r="827" spans="1:15" x14ac:dyDescent="0.3">
      <c r="A827" s="38" t="s">
        <v>0</v>
      </c>
      <c r="B827" s="39"/>
      <c r="C827" s="39"/>
      <c r="D827" s="39"/>
      <c r="E827" s="39"/>
      <c r="F827" s="39"/>
      <c r="G827" s="39"/>
      <c r="H827" s="70"/>
      <c r="I827" s="70"/>
      <c r="J827" s="39"/>
      <c r="K827" s="39"/>
      <c r="L827" s="39"/>
    </row>
    <row r="828" spans="1:15" x14ac:dyDescent="0.3">
      <c r="A828" s="14" t="s">
        <v>66</v>
      </c>
      <c r="B828" s="14"/>
      <c r="C828" s="14"/>
      <c r="D828" s="14"/>
      <c r="E828" s="14"/>
      <c r="F828" s="14"/>
      <c r="G828" s="14"/>
      <c r="H828" s="14"/>
      <c r="I828" s="14"/>
      <c r="J828" s="14"/>
      <c r="K828" s="14"/>
    </row>
    <row r="829" spans="1:15" x14ac:dyDescent="0.3">
      <c r="A829" s="460" t="s">
        <v>362</v>
      </c>
      <c r="B829" s="461"/>
      <c r="C829" s="461"/>
      <c r="D829" s="2"/>
      <c r="E829" s="2"/>
      <c r="F829" s="2"/>
      <c r="G829" s="2"/>
      <c r="H829" s="2"/>
      <c r="I829" s="2"/>
      <c r="J829" s="2"/>
      <c r="K829" s="2"/>
      <c r="L829" s="1"/>
      <c r="M829" s="16"/>
      <c r="N829" s="16"/>
      <c r="O829" s="13"/>
    </row>
    <row r="830" spans="1:15" x14ac:dyDescent="0.3">
      <c r="A830" s="38" t="s">
        <v>1</v>
      </c>
      <c r="B830" s="462" t="s">
        <v>891</v>
      </c>
      <c r="C830" s="462"/>
      <c r="D830" s="38"/>
      <c r="E830" s="38"/>
      <c r="F830" s="38"/>
      <c r="G830" s="38"/>
      <c r="H830" s="68"/>
      <c r="I830" s="68"/>
      <c r="J830" s="38"/>
      <c r="K830" s="38"/>
      <c r="L830" s="39"/>
    </row>
    <row r="831" spans="1:15" x14ac:dyDescent="0.3">
      <c r="A831" s="38" t="s">
        <v>3</v>
      </c>
      <c r="B831" s="462" t="s">
        <v>1238</v>
      </c>
      <c r="C831" s="462"/>
      <c r="D831" s="38"/>
      <c r="E831" s="38"/>
      <c r="F831" s="38"/>
      <c r="G831" s="38"/>
      <c r="H831" s="68"/>
      <c r="I831" s="68"/>
      <c r="J831" s="38"/>
      <c r="K831" s="38"/>
      <c r="L831" s="39"/>
    </row>
    <row r="832" spans="1:15" x14ac:dyDescent="0.3">
      <c r="A832" s="38" t="s">
        <v>4</v>
      </c>
      <c r="B832" s="462" t="s">
        <v>221</v>
      </c>
      <c r="C832" s="462"/>
      <c r="D832" s="38"/>
      <c r="E832" s="38"/>
      <c r="F832" s="38"/>
      <c r="G832" s="38"/>
      <c r="H832" s="68"/>
      <c r="I832" s="68"/>
      <c r="J832" s="38"/>
      <c r="K832" s="38"/>
      <c r="L832" s="39"/>
    </row>
    <row r="833" spans="1:15" x14ac:dyDescent="0.3">
      <c r="A833" s="38" t="s">
        <v>5</v>
      </c>
      <c r="B833" s="463">
        <v>3</v>
      </c>
      <c r="C833" s="463"/>
      <c r="D833" s="38"/>
      <c r="E833" s="38"/>
      <c r="F833" s="38"/>
      <c r="G833" s="38"/>
      <c r="H833" s="68"/>
      <c r="I833" s="68"/>
      <c r="J833" s="38"/>
      <c r="K833" s="38"/>
      <c r="L833" s="39"/>
    </row>
    <row r="834" spans="1:15" x14ac:dyDescent="0.3">
      <c r="A834" s="38" t="s">
        <v>6</v>
      </c>
      <c r="B834" s="462" t="s">
        <v>833</v>
      </c>
      <c r="C834" s="462"/>
      <c r="D834" s="38"/>
      <c r="E834" s="38"/>
      <c r="F834" s="38"/>
      <c r="G834" s="38"/>
      <c r="H834" s="68"/>
      <c r="I834" s="68"/>
      <c r="J834" s="38"/>
      <c r="K834" s="38"/>
      <c r="L834" s="39"/>
    </row>
    <row r="835" spans="1:15" x14ac:dyDescent="0.3">
      <c r="A835" s="38" t="s">
        <v>68</v>
      </c>
      <c r="B835" s="38" t="s">
        <v>540</v>
      </c>
      <c r="D835" s="38"/>
      <c r="E835" s="38"/>
      <c r="F835" s="38"/>
      <c r="G835" s="38"/>
      <c r="H835" s="68"/>
      <c r="I835" s="68"/>
      <c r="J835" s="38"/>
      <c r="K835" s="38"/>
    </row>
    <row r="836" spans="1:15" x14ac:dyDescent="0.3">
      <c r="A836" s="44"/>
      <c r="B836" s="14"/>
      <c r="C836" s="14"/>
      <c r="D836" s="14"/>
      <c r="E836" s="14"/>
      <c r="F836" s="14"/>
      <c r="G836" s="14"/>
      <c r="H836" s="14"/>
      <c r="I836" s="14"/>
      <c r="J836" s="14"/>
      <c r="K836" s="14"/>
    </row>
    <row r="837" spans="1:15" ht="60" x14ac:dyDescent="0.3">
      <c r="A837" s="42" t="s">
        <v>8</v>
      </c>
      <c r="B837" s="42" t="s">
        <v>9</v>
      </c>
      <c r="C837" s="42" t="s">
        <v>10</v>
      </c>
      <c r="D837" s="43" t="s">
        <v>11</v>
      </c>
      <c r="E837" s="43" t="s">
        <v>12</v>
      </c>
      <c r="F837" s="43" t="s">
        <v>13</v>
      </c>
      <c r="G837" s="43" t="s">
        <v>14</v>
      </c>
      <c r="H837" s="43" t="s">
        <v>208</v>
      </c>
      <c r="I837" s="43" t="s">
        <v>209</v>
      </c>
      <c r="J837" s="43" t="s">
        <v>15</v>
      </c>
      <c r="K837" s="43" t="s">
        <v>16</v>
      </c>
      <c r="L837" s="14" t="s">
        <v>17</v>
      </c>
      <c r="M837" s="14" t="s">
        <v>18</v>
      </c>
      <c r="N837" s="14" t="s">
        <v>19</v>
      </c>
    </row>
    <row r="838" spans="1:15" x14ac:dyDescent="0.3">
      <c r="A838" s="12"/>
      <c r="B838" s="12"/>
      <c r="C838" s="12"/>
      <c r="D838" s="42"/>
      <c r="E838" s="42"/>
      <c r="F838" s="42"/>
      <c r="G838" s="42"/>
      <c r="H838" s="42"/>
      <c r="I838" s="42"/>
      <c r="J838" s="42"/>
      <c r="K838" s="42"/>
      <c r="N838" t="s">
        <v>20</v>
      </c>
      <c r="O838">
        <f>COUNT(G839:G870)</f>
        <v>31</v>
      </c>
    </row>
    <row r="839" spans="1:15" x14ac:dyDescent="0.3">
      <c r="A839" s="12">
        <v>1</v>
      </c>
      <c r="B839" s="45" t="s">
        <v>203</v>
      </c>
      <c r="C839" s="45" t="s">
        <v>92</v>
      </c>
      <c r="D839" s="12" t="s">
        <v>1245</v>
      </c>
      <c r="E839" s="12">
        <v>10</v>
      </c>
      <c r="F839" s="12">
        <v>25</v>
      </c>
      <c r="G839" s="12">
        <f>SUM(E839:F839)</f>
        <v>35</v>
      </c>
      <c r="H839" s="12"/>
      <c r="I839" s="12"/>
      <c r="J839" s="12">
        <v>34</v>
      </c>
      <c r="K839" s="12">
        <f>SUM(G839:J839)</f>
        <v>69</v>
      </c>
      <c r="L839" t="str">
        <f t="shared" ref="L839:L844" si="89">IF(K839&gt;=80,"A",IF(K839&gt;=70,"B+",IF(K839&gt;=60,"B",IF(K839&gt;=55,"C+",IF(K839&gt;=50,"C",IF(K839&gt;=45,"D+",IF(K839&gt;=40,"D","F")))))))</f>
        <v>B</v>
      </c>
      <c r="M839" t="str">
        <f t="shared" ref="M839:M844" si="90">IF(K839&gt;=50,"Passed","Failed")</f>
        <v>Passed</v>
      </c>
      <c r="N839" t="s">
        <v>21</v>
      </c>
      <c r="O839">
        <f>COUNT(J839:J870)</f>
        <v>30</v>
      </c>
    </row>
    <row r="840" spans="1:15" x14ac:dyDescent="0.3">
      <c r="A840" s="12">
        <v>2</v>
      </c>
      <c r="B840" s="45" t="s">
        <v>145</v>
      </c>
      <c r="C840" s="45" t="s">
        <v>93</v>
      </c>
      <c r="D840" s="12" t="s">
        <v>1251</v>
      </c>
      <c r="E840" s="12">
        <v>10</v>
      </c>
      <c r="F840" s="12">
        <v>22</v>
      </c>
      <c r="G840" s="340">
        <v>34</v>
      </c>
      <c r="H840" s="12"/>
      <c r="I840" s="12"/>
      <c r="J840" s="12">
        <v>16</v>
      </c>
      <c r="K840" s="12">
        <f t="shared" ref="K840:K870" si="91">SUM(G840:J840)</f>
        <v>50</v>
      </c>
      <c r="L840" t="str">
        <f t="shared" si="89"/>
        <v>C</v>
      </c>
      <c r="M840" t="str">
        <f t="shared" si="90"/>
        <v>Passed</v>
      </c>
      <c r="N840" t="s">
        <v>22</v>
      </c>
      <c r="O840">
        <f>O838-O839</f>
        <v>1</v>
      </c>
    </row>
    <row r="841" spans="1:15" x14ac:dyDescent="0.3">
      <c r="A841" s="12">
        <v>3</v>
      </c>
      <c r="B841" s="45" t="s">
        <v>149</v>
      </c>
      <c r="C841" s="45" t="s">
        <v>97</v>
      </c>
      <c r="D841" s="12" t="s">
        <v>1256</v>
      </c>
      <c r="E841" s="12">
        <v>10</v>
      </c>
      <c r="F841" s="12">
        <v>25</v>
      </c>
      <c r="G841" s="12">
        <f t="shared" ref="G841:G870" si="92">SUM(E841:F841)</f>
        <v>35</v>
      </c>
      <c r="H841" s="12"/>
      <c r="I841" s="12"/>
      <c r="J841" s="12">
        <v>49</v>
      </c>
      <c r="K841" s="12">
        <f t="shared" si="91"/>
        <v>84</v>
      </c>
      <c r="L841" t="str">
        <f t="shared" si="89"/>
        <v>A</v>
      </c>
      <c r="M841" t="str">
        <f t="shared" si="90"/>
        <v>Passed</v>
      </c>
      <c r="N841" t="s">
        <v>23</v>
      </c>
      <c r="O841">
        <f>COUNTIF(M839:M870,"Passed")</f>
        <v>27</v>
      </c>
    </row>
    <row r="842" spans="1:15" x14ac:dyDescent="0.3">
      <c r="A842" s="12">
        <v>4</v>
      </c>
      <c r="B842" s="45" t="s">
        <v>152</v>
      </c>
      <c r="C842" s="45" t="s">
        <v>100</v>
      </c>
      <c r="D842" s="12" t="s">
        <v>1253</v>
      </c>
      <c r="E842" s="12">
        <v>10</v>
      </c>
      <c r="F842" s="12">
        <v>22</v>
      </c>
      <c r="G842" s="12">
        <f t="shared" si="92"/>
        <v>32</v>
      </c>
      <c r="H842" s="12"/>
      <c r="I842" s="12"/>
      <c r="J842" s="12">
        <v>29</v>
      </c>
      <c r="K842" s="12">
        <f t="shared" si="91"/>
        <v>61</v>
      </c>
      <c r="L842" t="str">
        <f t="shared" si="89"/>
        <v>B</v>
      </c>
      <c r="M842" t="str">
        <f t="shared" si="90"/>
        <v>Passed</v>
      </c>
      <c r="N842" t="s">
        <v>24</v>
      </c>
      <c r="O842">
        <f>O841/O839%</f>
        <v>90</v>
      </c>
    </row>
    <row r="843" spans="1:15" x14ac:dyDescent="0.3">
      <c r="A843" s="12">
        <v>5</v>
      </c>
      <c r="B843" s="45" t="s">
        <v>156</v>
      </c>
      <c r="C843" s="45" t="s">
        <v>104</v>
      </c>
      <c r="D843" s="12" t="s">
        <v>1255</v>
      </c>
      <c r="E843" s="12">
        <v>10</v>
      </c>
      <c r="F843" s="12">
        <v>25</v>
      </c>
      <c r="G843" s="12">
        <f t="shared" si="92"/>
        <v>35</v>
      </c>
      <c r="H843" s="12"/>
      <c r="I843" s="12"/>
      <c r="J843" s="12">
        <v>46</v>
      </c>
      <c r="K843" s="12">
        <f t="shared" si="91"/>
        <v>81</v>
      </c>
      <c r="L843" t="str">
        <f t="shared" si="89"/>
        <v>A</v>
      </c>
      <c r="M843" t="str">
        <f t="shared" si="90"/>
        <v>Passed</v>
      </c>
      <c r="N843" t="s">
        <v>25</v>
      </c>
      <c r="O843">
        <f>COUNTIF(M839:M870,"failed")</f>
        <v>3</v>
      </c>
    </row>
    <row r="844" spans="1:15" x14ac:dyDescent="0.3">
      <c r="A844" s="12">
        <v>6</v>
      </c>
      <c r="B844" s="45" t="s">
        <v>160</v>
      </c>
      <c r="C844" s="45" t="s">
        <v>109</v>
      </c>
      <c r="D844" s="12" t="s">
        <v>1244</v>
      </c>
      <c r="E844" s="12">
        <v>10</v>
      </c>
      <c r="F844" s="12">
        <v>25</v>
      </c>
      <c r="G844" s="12">
        <f t="shared" si="92"/>
        <v>35</v>
      </c>
      <c r="H844" s="12"/>
      <c r="I844" s="12"/>
      <c r="J844" s="12">
        <v>35</v>
      </c>
      <c r="K844" s="12">
        <f t="shared" si="91"/>
        <v>70</v>
      </c>
      <c r="L844" t="str">
        <f t="shared" si="89"/>
        <v>B+</v>
      </c>
      <c r="M844" t="str">
        <f t="shared" si="90"/>
        <v>Passed</v>
      </c>
      <c r="N844" t="s">
        <v>26</v>
      </c>
      <c r="O844">
        <f>O843/O839%</f>
        <v>10</v>
      </c>
    </row>
    <row r="845" spans="1:15" x14ac:dyDescent="0.3">
      <c r="A845" s="12">
        <v>7</v>
      </c>
      <c r="B845" s="45" t="s">
        <v>207</v>
      </c>
      <c r="C845" s="45" t="s">
        <v>110</v>
      </c>
      <c r="D845" s="12" t="s">
        <v>1239</v>
      </c>
      <c r="E845" s="12">
        <v>2</v>
      </c>
      <c r="F845" s="12"/>
      <c r="G845" s="12">
        <f t="shared" si="92"/>
        <v>2</v>
      </c>
      <c r="H845" s="12"/>
      <c r="I845" s="12"/>
      <c r="J845" s="12" t="s">
        <v>1938</v>
      </c>
      <c r="K845" s="12"/>
      <c r="N845" t="s">
        <v>27</v>
      </c>
      <c r="O845" s="179">
        <f>AVERAGE(K839:K870)</f>
        <v>59.85</v>
      </c>
    </row>
    <row r="846" spans="1:15" x14ac:dyDescent="0.3">
      <c r="A846" s="12">
        <v>8</v>
      </c>
      <c r="B846" s="45" t="s">
        <v>163</v>
      </c>
      <c r="C846" s="45" t="s">
        <v>113</v>
      </c>
      <c r="D846" s="12" t="s">
        <v>1257</v>
      </c>
      <c r="E846" s="12">
        <v>10</v>
      </c>
      <c r="F846" s="12">
        <v>23</v>
      </c>
      <c r="G846" s="12">
        <f t="shared" si="92"/>
        <v>33</v>
      </c>
      <c r="H846" s="12"/>
      <c r="I846" s="12"/>
      <c r="J846" s="12">
        <v>35</v>
      </c>
      <c r="K846" s="12">
        <f t="shared" si="91"/>
        <v>68</v>
      </c>
      <c r="L846" t="str">
        <f t="shared" ref="L846:L848" si="93">IF(K846&gt;=80,"A",IF(K846&gt;=70,"B+",IF(K846&gt;=60,"B",IF(K846&gt;=55,"C+",IF(K846&gt;=50,"C",IF(K846&gt;=45,"D+",IF(K846&gt;=40,"D","F")))))))</f>
        <v>B</v>
      </c>
      <c r="M846" t="str">
        <f t="shared" ref="M846:M848" si="94">IF(K846&gt;=50,"Passed","Failed")</f>
        <v>Passed</v>
      </c>
    </row>
    <row r="847" spans="1:15" x14ac:dyDescent="0.3">
      <c r="A847" s="12">
        <v>9</v>
      </c>
      <c r="B847" s="45" t="s">
        <v>480</v>
      </c>
      <c r="C847" s="45" t="s">
        <v>115</v>
      </c>
      <c r="D847" s="12" t="s">
        <v>1248</v>
      </c>
      <c r="E847" s="12">
        <v>10</v>
      </c>
      <c r="F847" s="12">
        <v>17</v>
      </c>
      <c r="G847" s="12">
        <f t="shared" si="92"/>
        <v>27</v>
      </c>
      <c r="H847" s="12"/>
      <c r="I847" s="12"/>
      <c r="J847" s="12">
        <v>32</v>
      </c>
      <c r="K847" s="12">
        <f t="shared" si="91"/>
        <v>59</v>
      </c>
      <c r="L847" t="str">
        <f t="shared" si="93"/>
        <v>C+</v>
      </c>
      <c r="M847" t="str">
        <f t="shared" si="94"/>
        <v>Passed</v>
      </c>
    </row>
    <row r="848" spans="1:15" x14ac:dyDescent="0.3">
      <c r="A848" s="12">
        <v>10</v>
      </c>
      <c r="B848" s="45" t="s">
        <v>200</v>
      </c>
      <c r="C848" s="45" t="s">
        <v>119</v>
      </c>
      <c r="D848" s="12" t="s">
        <v>1263</v>
      </c>
      <c r="E848" s="12">
        <v>10</v>
      </c>
      <c r="F848" s="12"/>
      <c r="G848" s="12">
        <f t="shared" si="92"/>
        <v>10</v>
      </c>
      <c r="H848" s="12"/>
      <c r="I848" s="12"/>
      <c r="J848" s="12">
        <v>12</v>
      </c>
      <c r="K848" s="12">
        <f t="shared" si="91"/>
        <v>22</v>
      </c>
      <c r="L848" t="str">
        <f t="shared" si="93"/>
        <v>F</v>
      </c>
      <c r="M848" t="str">
        <f t="shared" si="94"/>
        <v>Failed</v>
      </c>
    </row>
    <row r="849" spans="1:22" x14ac:dyDescent="0.3">
      <c r="A849" s="12">
        <v>11</v>
      </c>
      <c r="B849" s="45" t="s">
        <v>205</v>
      </c>
      <c r="C849" s="45" t="s">
        <v>120</v>
      </c>
      <c r="D849" s="12" t="s">
        <v>1239</v>
      </c>
      <c r="E849" s="12"/>
      <c r="F849" s="12"/>
      <c r="G849" s="12"/>
      <c r="H849" s="12"/>
      <c r="I849" s="12"/>
      <c r="J849" s="12"/>
      <c r="K849" s="12"/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 t="s">
        <v>33</v>
      </c>
      <c r="U849" t="s">
        <v>34</v>
      </c>
      <c r="V849" t="s">
        <v>35</v>
      </c>
    </row>
    <row r="850" spans="1:22" x14ac:dyDescent="0.3">
      <c r="A850" s="12">
        <v>12</v>
      </c>
      <c r="B850" s="45" t="s">
        <v>168</v>
      </c>
      <c r="C850" s="45" t="s">
        <v>121</v>
      </c>
      <c r="D850" s="12" t="s">
        <v>1262</v>
      </c>
      <c r="E850" s="12">
        <v>10</v>
      </c>
      <c r="F850" s="12">
        <v>24</v>
      </c>
      <c r="G850" s="12">
        <f t="shared" si="92"/>
        <v>34</v>
      </c>
      <c r="H850" s="12"/>
      <c r="I850" s="12"/>
      <c r="J850" s="12">
        <v>25</v>
      </c>
      <c r="K850" s="12">
        <f t="shared" si="91"/>
        <v>59</v>
      </c>
      <c r="L850" t="str">
        <f t="shared" ref="L850" si="95">IF(K850&gt;=80,"A",IF(K850&gt;=70,"B+",IF(K850&gt;=60,"B",IF(K850&gt;=55,"C+",IF(K850&gt;=50,"C",IF(K850&gt;=45,"D+",IF(K850&gt;=40,"D","F")))))))</f>
        <v>C+</v>
      </c>
      <c r="M850" t="str">
        <f t="shared" ref="M850" si="96">IF(K850&gt;=50,"Passed","Failed")</f>
        <v>Passed</v>
      </c>
      <c r="O850">
        <f>COUNTIF(L839:L870,"A")</f>
        <v>4</v>
      </c>
      <c r="P850">
        <f>COUNTIF(L839:L870,"B+")</f>
        <v>2</v>
      </c>
      <c r="Q850">
        <f>COUNTIF(L839:L870,"B")</f>
        <v>7</v>
      </c>
      <c r="R850">
        <f>COUNTIF(L839:L870,"C+")</f>
        <v>7</v>
      </c>
      <c r="S850">
        <f>COUNTIF(L839:L870,"C")</f>
        <v>7</v>
      </c>
      <c r="T850">
        <f>COUNTIF(L839:L870,"D+")</f>
        <v>0</v>
      </c>
      <c r="U850">
        <f>COUNTIF(L839:L870,"D")</f>
        <v>1</v>
      </c>
      <c r="V850">
        <f>COUNTIF(L839:L870,"F")</f>
        <v>2</v>
      </c>
    </row>
    <row r="851" spans="1:22" x14ac:dyDescent="0.3">
      <c r="A851" s="12">
        <v>13</v>
      </c>
      <c r="B851" s="45" t="s">
        <v>170</v>
      </c>
      <c r="C851" s="45" t="s">
        <v>124</v>
      </c>
      <c r="D851" s="12" t="s">
        <v>1264</v>
      </c>
      <c r="E851" s="12">
        <v>9</v>
      </c>
      <c r="F851" s="12">
        <v>23</v>
      </c>
      <c r="G851" s="12">
        <f t="shared" si="92"/>
        <v>32</v>
      </c>
      <c r="H851" s="12"/>
      <c r="I851" s="12"/>
      <c r="J851" s="12">
        <v>32</v>
      </c>
      <c r="K851" s="12">
        <f t="shared" si="91"/>
        <v>64</v>
      </c>
      <c r="L851" t="str">
        <f t="shared" ref="L851:L870" si="97">IF(K851&gt;=80,"A",IF(K851&gt;=70,"B+",IF(K851&gt;=60,"B",IF(K851&gt;=55,"C+",IF(K851&gt;=50,"C",IF(K851&gt;=45,"D+",IF(K851&gt;=40,"D","F")))))))</f>
        <v>B</v>
      </c>
      <c r="M851" t="str">
        <f t="shared" ref="M851:M870" si="98">IF(K851&gt;=50,"Passed","Failed")</f>
        <v>Passed</v>
      </c>
    </row>
    <row r="852" spans="1:22" x14ac:dyDescent="0.3">
      <c r="A852" s="12">
        <v>14</v>
      </c>
      <c r="B852" s="45" t="s">
        <v>172</v>
      </c>
      <c r="C852" s="45" t="s">
        <v>126</v>
      </c>
      <c r="D852" s="12" t="s">
        <v>1246</v>
      </c>
      <c r="E852" s="12">
        <v>10</v>
      </c>
      <c r="F852" s="12">
        <v>23</v>
      </c>
      <c r="G852" s="12">
        <f t="shared" si="92"/>
        <v>33</v>
      </c>
      <c r="H852" s="12"/>
      <c r="I852" s="12"/>
      <c r="J852" s="12">
        <v>18</v>
      </c>
      <c r="K852" s="12">
        <f t="shared" si="91"/>
        <v>51</v>
      </c>
      <c r="L852" t="str">
        <f t="shared" si="97"/>
        <v>C</v>
      </c>
      <c r="M852" t="str">
        <f t="shared" si="98"/>
        <v>Passed</v>
      </c>
    </row>
    <row r="853" spans="1:22" x14ac:dyDescent="0.3">
      <c r="A853" s="12">
        <v>15</v>
      </c>
      <c r="B853" s="45" t="s">
        <v>173</v>
      </c>
      <c r="C853" s="45" t="s">
        <v>127</v>
      </c>
      <c r="D853" s="12" t="s">
        <v>1243</v>
      </c>
      <c r="E853" s="12">
        <v>10</v>
      </c>
      <c r="F853" s="12">
        <v>20</v>
      </c>
      <c r="G853" s="12">
        <f t="shared" si="92"/>
        <v>30</v>
      </c>
      <c r="H853" s="12"/>
      <c r="I853" s="12"/>
      <c r="J853" s="12">
        <v>29</v>
      </c>
      <c r="K853" s="12">
        <f t="shared" si="91"/>
        <v>59</v>
      </c>
      <c r="L853" t="str">
        <f t="shared" si="97"/>
        <v>C+</v>
      </c>
      <c r="M853" t="str">
        <f t="shared" si="98"/>
        <v>Passed</v>
      </c>
    </row>
    <row r="854" spans="1:22" x14ac:dyDescent="0.3">
      <c r="A854" s="12">
        <v>16</v>
      </c>
      <c r="B854" s="45" t="s">
        <v>175</v>
      </c>
      <c r="C854" s="45" t="s">
        <v>131</v>
      </c>
      <c r="D854" s="12" t="s">
        <v>1258</v>
      </c>
      <c r="E854" s="12">
        <v>10</v>
      </c>
      <c r="F854" s="12">
        <v>18</v>
      </c>
      <c r="G854" s="12">
        <f t="shared" si="92"/>
        <v>28</v>
      </c>
      <c r="H854" s="12"/>
      <c r="I854" s="12"/>
      <c r="J854" s="12">
        <v>30</v>
      </c>
      <c r="K854" s="12">
        <f t="shared" si="91"/>
        <v>58</v>
      </c>
      <c r="L854" t="str">
        <f t="shared" si="97"/>
        <v>C+</v>
      </c>
      <c r="M854" t="str">
        <f t="shared" si="98"/>
        <v>Passed</v>
      </c>
    </row>
    <row r="855" spans="1:22" x14ac:dyDescent="0.3">
      <c r="A855" s="12">
        <v>17</v>
      </c>
      <c r="B855" s="277" t="s">
        <v>178</v>
      </c>
      <c r="C855" s="45" t="s">
        <v>133</v>
      </c>
      <c r="D855" s="12" t="s">
        <v>1260</v>
      </c>
      <c r="E855" s="12">
        <v>10</v>
      </c>
      <c r="F855" s="12">
        <v>23</v>
      </c>
      <c r="G855" s="12">
        <f t="shared" si="92"/>
        <v>33</v>
      </c>
      <c r="H855" s="12"/>
      <c r="I855" s="12"/>
      <c r="J855" s="12">
        <v>49</v>
      </c>
      <c r="K855" s="12">
        <f t="shared" si="91"/>
        <v>82</v>
      </c>
      <c r="L855" t="str">
        <f t="shared" si="97"/>
        <v>A</v>
      </c>
      <c r="M855" t="str">
        <f t="shared" si="98"/>
        <v>Passed</v>
      </c>
    </row>
    <row r="856" spans="1:22" x14ac:dyDescent="0.3">
      <c r="A856" s="12">
        <v>18</v>
      </c>
      <c r="B856" s="45" t="s">
        <v>534</v>
      </c>
      <c r="C856" s="303" t="s">
        <v>363</v>
      </c>
      <c r="D856" s="12" t="s">
        <v>1252</v>
      </c>
      <c r="E856" s="12">
        <v>10</v>
      </c>
      <c r="F856" s="12">
        <v>20</v>
      </c>
      <c r="G856" s="12">
        <f t="shared" si="92"/>
        <v>30</v>
      </c>
      <c r="H856" s="12"/>
      <c r="I856" s="12"/>
      <c r="J856" s="12">
        <v>8</v>
      </c>
      <c r="K856" s="12">
        <f t="shared" si="91"/>
        <v>38</v>
      </c>
      <c r="L856" t="str">
        <f t="shared" si="97"/>
        <v>F</v>
      </c>
      <c r="M856" t="str">
        <f t="shared" si="98"/>
        <v>Failed</v>
      </c>
    </row>
    <row r="857" spans="1:22" x14ac:dyDescent="0.3">
      <c r="A857" s="12">
        <v>19</v>
      </c>
      <c r="B857" s="389" t="s">
        <v>144</v>
      </c>
      <c r="C857" s="304" t="s">
        <v>137</v>
      </c>
      <c r="D857" s="12" t="s">
        <v>1242</v>
      </c>
      <c r="E857" s="12">
        <v>10</v>
      </c>
      <c r="F857" s="12">
        <v>23</v>
      </c>
      <c r="G857" s="12">
        <f t="shared" si="92"/>
        <v>33</v>
      </c>
      <c r="H857" s="12"/>
      <c r="I857" s="12"/>
      <c r="J857" s="12">
        <v>20</v>
      </c>
      <c r="K857" s="12">
        <f t="shared" si="91"/>
        <v>53</v>
      </c>
      <c r="L857" t="str">
        <f t="shared" si="97"/>
        <v>C</v>
      </c>
      <c r="M857" t="str">
        <f t="shared" si="98"/>
        <v>Passed</v>
      </c>
    </row>
    <row r="858" spans="1:22" x14ac:dyDescent="0.3">
      <c r="A858" s="12">
        <v>20</v>
      </c>
      <c r="B858" s="390" t="s">
        <v>204</v>
      </c>
      <c r="C858" s="390" t="s">
        <v>138</v>
      </c>
      <c r="D858" s="12" t="s">
        <v>1259</v>
      </c>
      <c r="E858" s="12">
        <v>10</v>
      </c>
      <c r="F858" s="12">
        <v>21</v>
      </c>
      <c r="G858" s="12">
        <f t="shared" si="92"/>
        <v>31</v>
      </c>
      <c r="H858" s="12"/>
      <c r="I858" s="12"/>
      <c r="J858" s="12">
        <v>42</v>
      </c>
      <c r="K858" s="12">
        <f t="shared" si="91"/>
        <v>73</v>
      </c>
      <c r="L858" t="str">
        <f t="shared" si="97"/>
        <v>B+</v>
      </c>
      <c r="M858" t="str">
        <f t="shared" si="98"/>
        <v>Passed</v>
      </c>
    </row>
    <row r="859" spans="1:22" x14ac:dyDescent="0.3">
      <c r="A859" s="12">
        <v>21</v>
      </c>
      <c r="B859" s="305" t="s">
        <v>181</v>
      </c>
      <c r="C859" s="45" t="s">
        <v>139</v>
      </c>
      <c r="D859" s="12" t="s">
        <v>1265</v>
      </c>
      <c r="E859" s="12">
        <v>10</v>
      </c>
      <c r="F859" s="12">
        <v>23</v>
      </c>
      <c r="G859" s="12">
        <f t="shared" si="92"/>
        <v>33</v>
      </c>
      <c r="H859" s="12"/>
      <c r="I859" s="12"/>
      <c r="J859" s="12">
        <v>18</v>
      </c>
      <c r="K859" s="12">
        <f t="shared" si="91"/>
        <v>51</v>
      </c>
      <c r="L859" t="str">
        <f t="shared" si="97"/>
        <v>C</v>
      </c>
      <c r="M859" t="str">
        <f t="shared" si="98"/>
        <v>Passed</v>
      </c>
    </row>
    <row r="860" spans="1:22" x14ac:dyDescent="0.3">
      <c r="A860" s="12">
        <v>22</v>
      </c>
      <c r="B860" s="391" t="s">
        <v>201</v>
      </c>
      <c r="C860" s="45" t="s">
        <v>141</v>
      </c>
      <c r="D860" s="12" t="s">
        <v>1240</v>
      </c>
      <c r="E860" s="12">
        <v>10</v>
      </c>
      <c r="F860" s="12">
        <v>25</v>
      </c>
      <c r="G860" s="340">
        <v>37</v>
      </c>
      <c r="H860" s="12"/>
      <c r="I860" s="12"/>
      <c r="J860" s="12">
        <v>13</v>
      </c>
      <c r="K860" s="12">
        <f t="shared" si="91"/>
        <v>50</v>
      </c>
      <c r="L860" t="str">
        <f t="shared" si="97"/>
        <v>C</v>
      </c>
      <c r="M860" t="str">
        <f t="shared" si="98"/>
        <v>Passed</v>
      </c>
    </row>
    <row r="861" spans="1:22" x14ac:dyDescent="0.3">
      <c r="A861" s="12">
        <v>23</v>
      </c>
      <c r="B861" s="45" t="s">
        <v>176</v>
      </c>
      <c r="C861" s="45" t="s">
        <v>481</v>
      </c>
      <c r="D861" s="12" t="s">
        <v>1241</v>
      </c>
      <c r="E861" s="12">
        <v>8</v>
      </c>
      <c r="F861" s="12">
        <v>20</v>
      </c>
      <c r="G861" s="12">
        <f t="shared" si="92"/>
        <v>28</v>
      </c>
      <c r="H861" s="12"/>
      <c r="I861" s="12"/>
      <c r="J861" s="12">
        <v>15</v>
      </c>
      <c r="K861" s="12">
        <f t="shared" si="91"/>
        <v>43</v>
      </c>
      <c r="L861" t="str">
        <f t="shared" si="97"/>
        <v>D</v>
      </c>
      <c r="M861" t="str">
        <f t="shared" si="98"/>
        <v>Failed</v>
      </c>
    </row>
    <row r="862" spans="1:22" x14ac:dyDescent="0.3">
      <c r="A862" s="12">
        <v>24</v>
      </c>
      <c r="B862" s="12" t="s">
        <v>148</v>
      </c>
      <c r="C862" s="12" t="s">
        <v>96</v>
      </c>
      <c r="D862" s="12" t="s">
        <v>1266</v>
      </c>
      <c r="E862" s="12">
        <v>10</v>
      </c>
      <c r="F862" s="12">
        <v>24</v>
      </c>
      <c r="G862" s="12">
        <f t="shared" si="92"/>
        <v>34</v>
      </c>
      <c r="H862" s="12"/>
      <c r="I862" s="12"/>
      <c r="J862" s="12">
        <v>24</v>
      </c>
      <c r="K862" s="12">
        <f t="shared" si="91"/>
        <v>58</v>
      </c>
      <c r="L862" t="str">
        <f t="shared" si="97"/>
        <v>C+</v>
      </c>
      <c r="M862" t="str">
        <f t="shared" si="98"/>
        <v>Passed</v>
      </c>
    </row>
    <row r="863" spans="1:22" x14ac:dyDescent="0.3">
      <c r="A863" s="12">
        <v>25</v>
      </c>
      <c r="B863" s="12" t="s">
        <v>153</v>
      </c>
      <c r="C863" s="12" t="s">
        <v>101</v>
      </c>
      <c r="D863" s="12" t="s">
        <v>1261</v>
      </c>
      <c r="E863" s="12">
        <v>8</v>
      </c>
      <c r="F863" s="12">
        <v>22</v>
      </c>
      <c r="G863" s="12">
        <f t="shared" si="92"/>
        <v>30</v>
      </c>
      <c r="H863" s="12"/>
      <c r="I863" s="12"/>
      <c r="J863" s="12">
        <v>29</v>
      </c>
      <c r="K863" s="12">
        <f t="shared" si="91"/>
        <v>59</v>
      </c>
      <c r="L863" t="str">
        <f t="shared" si="97"/>
        <v>C+</v>
      </c>
      <c r="M863" t="str">
        <f t="shared" si="98"/>
        <v>Passed</v>
      </c>
    </row>
    <row r="864" spans="1:22" x14ac:dyDescent="0.3">
      <c r="A864" s="12">
        <v>26</v>
      </c>
      <c r="B864" s="12" t="s">
        <v>154</v>
      </c>
      <c r="C864" s="12" t="s">
        <v>102</v>
      </c>
      <c r="D864" s="12" t="s">
        <v>1268</v>
      </c>
      <c r="E864" s="12">
        <v>9</v>
      </c>
      <c r="F864" s="12">
        <v>23</v>
      </c>
      <c r="G864" s="12">
        <f t="shared" si="92"/>
        <v>32</v>
      </c>
      <c r="H864" s="12"/>
      <c r="I864" s="12"/>
      <c r="J864" s="12">
        <v>18</v>
      </c>
      <c r="K864" s="12">
        <f t="shared" si="91"/>
        <v>50</v>
      </c>
      <c r="L864" t="str">
        <f t="shared" si="97"/>
        <v>C</v>
      </c>
      <c r="M864" t="str">
        <f t="shared" si="98"/>
        <v>Passed</v>
      </c>
    </row>
    <row r="865" spans="1:13" x14ac:dyDescent="0.3">
      <c r="A865" s="12">
        <v>27</v>
      </c>
      <c r="B865" s="12" t="s">
        <v>162</v>
      </c>
      <c r="C865" s="12" t="s">
        <v>112</v>
      </c>
      <c r="D865" s="12" t="s">
        <v>1269</v>
      </c>
      <c r="E865" s="12">
        <v>9</v>
      </c>
      <c r="F865" s="12">
        <v>24</v>
      </c>
      <c r="G865" s="12">
        <f t="shared" si="92"/>
        <v>33</v>
      </c>
      <c r="H865" s="12"/>
      <c r="I865" s="12"/>
      <c r="J865" s="12">
        <v>27</v>
      </c>
      <c r="K865" s="12">
        <f t="shared" si="91"/>
        <v>60</v>
      </c>
      <c r="L865" t="str">
        <f t="shared" si="97"/>
        <v>B</v>
      </c>
      <c r="M865" t="str">
        <f t="shared" si="98"/>
        <v>Passed</v>
      </c>
    </row>
    <row r="866" spans="1:13" x14ac:dyDescent="0.3">
      <c r="A866" s="12">
        <v>28</v>
      </c>
      <c r="B866" s="12" t="s">
        <v>164</v>
      </c>
      <c r="C866" s="12" t="s">
        <v>114</v>
      </c>
      <c r="D866" s="12" t="s">
        <v>1254</v>
      </c>
      <c r="E866" s="12">
        <v>10</v>
      </c>
      <c r="F866" s="12">
        <v>26</v>
      </c>
      <c r="G866" s="12">
        <f t="shared" si="92"/>
        <v>36</v>
      </c>
      <c r="H866" s="12"/>
      <c r="I866" s="12"/>
      <c r="J866" s="12">
        <v>24</v>
      </c>
      <c r="K866" s="12">
        <f t="shared" si="91"/>
        <v>60</v>
      </c>
      <c r="L866" t="str">
        <f t="shared" si="97"/>
        <v>B</v>
      </c>
      <c r="M866" t="str">
        <f t="shared" si="98"/>
        <v>Passed</v>
      </c>
    </row>
    <row r="867" spans="1:13" x14ac:dyDescent="0.3">
      <c r="A867" s="12">
        <v>29</v>
      </c>
      <c r="B867" s="60" t="s">
        <v>165</v>
      </c>
      <c r="C867" s="12" t="s">
        <v>116</v>
      </c>
      <c r="D867" s="12" t="s">
        <v>1247</v>
      </c>
      <c r="E867" s="12">
        <v>10</v>
      </c>
      <c r="F867" s="12">
        <v>27</v>
      </c>
      <c r="G867" s="12">
        <f t="shared" si="92"/>
        <v>37</v>
      </c>
      <c r="H867" s="12"/>
      <c r="I867" s="12"/>
      <c r="J867" s="12">
        <v>52</v>
      </c>
      <c r="K867" s="12">
        <f t="shared" si="91"/>
        <v>89</v>
      </c>
      <c r="L867" t="str">
        <f t="shared" si="97"/>
        <v>A</v>
      </c>
      <c r="M867" t="str">
        <f t="shared" si="98"/>
        <v>Passed</v>
      </c>
    </row>
    <row r="868" spans="1:13" x14ac:dyDescent="0.3">
      <c r="A868" s="12">
        <v>30</v>
      </c>
      <c r="B868" s="12" t="s">
        <v>206</v>
      </c>
      <c r="C868" s="12" t="s">
        <v>123</v>
      </c>
      <c r="D868" s="12" t="s">
        <v>1267</v>
      </c>
      <c r="E868" s="12">
        <v>10</v>
      </c>
      <c r="F868" s="12">
        <v>24</v>
      </c>
      <c r="G868" s="12">
        <f t="shared" si="92"/>
        <v>34</v>
      </c>
      <c r="H868" s="12"/>
      <c r="I868" s="12"/>
      <c r="J868" s="12">
        <v>31</v>
      </c>
      <c r="K868" s="12">
        <f t="shared" si="91"/>
        <v>65</v>
      </c>
      <c r="L868" t="str">
        <f t="shared" si="97"/>
        <v>B</v>
      </c>
      <c r="M868" t="str">
        <f t="shared" si="98"/>
        <v>Passed</v>
      </c>
    </row>
    <row r="869" spans="1:13" x14ac:dyDescent="0.3">
      <c r="A869" s="12">
        <v>31</v>
      </c>
      <c r="B869" s="12" t="s">
        <v>202</v>
      </c>
      <c r="C869" s="12" t="s">
        <v>135</v>
      </c>
      <c r="D869" s="12" t="s">
        <v>1270</v>
      </c>
      <c r="E869" s="12">
        <v>7.5</v>
      </c>
      <c r="F869" s="12">
        <v>20</v>
      </c>
      <c r="G869" s="12">
        <f t="shared" si="92"/>
        <v>27.5</v>
      </c>
      <c r="H869" s="12"/>
      <c r="I869" s="12"/>
      <c r="J869" s="12">
        <v>23</v>
      </c>
      <c r="K869" s="241">
        <f t="shared" si="91"/>
        <v>50.5</v>
      </c>
      <c r="L869" t="str">
        <f t="shared" si="97"/>
        <v>C</v>
      </c>
      <c r="M869" t="str">
        <f t="shared" si="98"/>
        <v>Passed</v>
      </c>
    </row>
    <row r="870" spans="1:13" x14ac:dyDescent="0.3">
      <c r="A870" s="12">
        <v>32</v>
      </c>
      <c r="B870" s="12" t="s">
        <v>1249</v>
      </c>
      <c r="C870" s="12" t="s">
        <v>422</v>
      </c>
      <c r="D870" s="12" t="s">
        <v>1250</v>
      </c>
      <c r="E870" s="12">
        <v>8</v>
      </c>
      <c r="F870" s="12">
        <v>22</v>
      </c>
      <c r="G870" s="12">
        <f t="shared" si="92"/>
        <v>30</v>
      </c>
      <c r="H870" s="12"/>
      <c r="I870" s="12"/>
      <c r="J870" s="12">
        <v>29</v>
      </c>
      <c r="K870" s="12">
        <f t="shared" si="91"/>
        <v>59</v>
      </c>
      <c r="L870" t="str">
        <f t="shared" si="97"/>
        <v>C+</v>
      </c>
      <c r="M870" t="str">
        <f t="shared" si="98"/>
        <v>Passed</v>
      </c>
    </row>
    <row r="871" spans="1:13" x14ac:dyDescent="0.3">
      <c r="B871" s="56"/>
      <c r="C871" s="56"/>
    </row>
    <row r="872" spans="1:13" x14ac:dyDescent="0.3">
      <c r="B872" s="56"/>
      <c r="C872" s="56"/>
    </row>
    <row r="873" spans="1:13" x14ac:dyDescent="0.3">
      <c r="B873" s="56"/>
      <c r="C873" s="56"/>
    </row>
    <row r="874" spans="1:13" x14ac:dyDescent="0.3">
      <c r="B874" s="56"/>
      <c r="C874" s="56"/>
    </row>
    <row r="875" spans="1:13" x14ac:dyDescent="0.3">
      <c r="B875" s="56"/>
      <c r="C875" s="56"/>
    </row>
    <row r="876" spans="1:13" x14ac:dyDescent="0.3">
      <c r="B876" s="56"/>
      <c r="C876" s="56"/>
    </row>
    <row r="877" spans="1:13" x14ac:dyDescent="0.3">
      <c r="B877" s="56"/>
      <c r="C877" s="56"/>
    </row>
    <row r="878" spans="1:13" x14ac:dyDescent="0.3">
      <c r="B878" s="56"/>
      <c r="C878" s="56"/>
    </row>
    <row r="879" spans="1:13" x14ac:dyDescent="0.3">
      <c r="B879" s="56"/>
      <c r="C879" s="56"/>
    </row>
    <row r="880" spans="1:13" x14ac:dyDescent="0.3">
      <c r="B880" s="56"/>
      <c r="C880" s="56"/>
    </row>
    <row r="883" spans="1:15" x14ac:dyDescent="0.3">
      <c r="A883" s="38" t="s">
        <v>0</v>
      </c>
      <c r="B883" s="39"/>
      <c r="C883" s="39"/>
      <c r="D883" s="39"/>
      <c r="E883" s="39"/>
      <c r="F883" s="39"/>
      <c r="G883" s="39"/>
      <c r="H883" s="70"/>
      <c r="I883" s="70"/>
      <c r="J883" s="39"/>
      <c r="K883" s="39"/>
      <c r="L883" s="39"/>
    </row>
    <row r="884" spans="1:15" x14ac:dyDescent="0.3">
      <c r="A884" s="14" t="s">
        <v>66</v>
      </c>
      <c r="B884" s="14"/>
      <c r="C884" s="14"/>
      <c r="D884" s="14"/>
      <c r="E884" s="14"/>
      <c r="F884" s="14"/>
      <c r="G884" s="14"/>
      <c r="H884" s="14"/>
      <c r="I884" s="14"/>
      <c r="J884" s="14"/>
      <c r="K884" s="14"/>
    </row>
    <row r="885" spans="1:15" x14ac:dyDescent="0.3">
      <c r="A885" s="460" t="s">
        <v>362</v>
      </c>
      <c r="B885" s="461"/>
      <c r="C885" s="461"/>
      <c r="D885" s="40"/>
      <c r="E885" s="40"/>
      <c r="F885" s="40"/>
      <c r="G885" s="40"/>
      <c r="H885" s="40"/>
      <c r="I885" s="40"/>
      <c r="J885" s="40"/>
      <c r="K885" s="40"/>
      <c r="L885" s="52"/>
      <c r="M885" s="53"/>
      <c r="N885" s="53"/>
      <c r="O885" s="54"/>
    </row>
    <row r="886" spans="1:15" x14ac:dyDescent="0.3">
      <c r="A886" s="38" t="s">
        <v>1</v>
      </c>
      <c r="B886" s="462" t="s">
        <v>483</v>
      </c>
      <c r="C886" s="462"/>
      <c r="D886" s="38"/>
      <c r="E886" s="38"/>
      <c r="F886" s="38"/>
      <c r="G886" s="38"/>
      <c r="H886" s="68"/>
      <c r="I886" s="68"/>
      <c r="J886" s="38"/>
      <c r="K886" s="38"/>
      <c r="L886" s="39"/>
    </row>
    <row r="887" spans="1:15" x14ac:dyDescent="0.3">
      <c r="A887" s="38" t="s">
        <v>3</v>
      </c>
      <c r="B887" s="462" t="s">
        <v>1539</v>
      </c>
      <c r="C887" s="462"/>
      <c r="D887" s="38"/>
      <c r="E887" s="38"/>
      <c r="F887" s="38"/>
      <c r="G887" s="38"/>
      <c r="H887" s="68"/>
      <c r="I887" s="68"/>
      <c r="J887" s="38"/>
      <c r="K887" s="38"/>
      <c r="L887" s="39"/>
    </row>
    <row r="888" spans="1:15" x14ac:dyDescent="0.3">
      <c r="A888" s="38" t="s">
        <v>4</v>
      </c>
      <c r="B888" s="462" t="s">
        <v>482</v>
      </c>
      <c r="C888" s="462"/>
      <c r="D888" s="38"/>
      <c r="E888" s="38"/>
      <c r="F888" s="38"/>
      <c r="G888" s="38"/>
      <c r="H888" s="68"/>
      <c r="I888" s="68"/>
      <c r="J888" s="38"/>
      <c r="K888" s="38"/>
      <c r="L888" s="39"/>
    </row>
    <row r="889" spans="1:15" x14ac:dyDescent="0.3">
      <c r="A889" s="38" t="s">
        <v>5</v>
      </c>
      <c r="B889" s="463">
        <v>3</v>
      </c>
      <c r="C889" s="463"/>
      <c r="D889" s="38"/>
      <c r="E889" s="38"/>
      <c r="F889" s="38"/>
      <c r="G889" s="38"/>
      <c r="H889" s="68"/>
      <c r="I889" s="68"/>
      <c r="J889" s="38"/>
      <c r="K889" s="38"/>
      <c r="L889" s="39"/>
    </row>
    <row r="890" spans="1:15" x14ac:dyDescent="0.3">
      <c r="A890" s="38" t="s">
        <v>6</v>
      </c>
      <c r="B890" s="462" t="s">
        <v>1068</v>
      </c>
      <c r="C890" s="462"/>
      <c r="D890" s="38"/>
      <c r="E890" s="38"/>
      <c r="F890" s="38"/>
      <c r="G890" s="38"/>
      <c r="H890" s="68"/>
      <c r="I890" s="68"/>
      <c r="J890" s="38"/>
      <c r="K890" s="38"/>
      <c r="L890" s="39"/>
    </row>
    <row r="891" spans="1:15" x14ac:dyDescent="0.3">
      <c r="A891" s="38" t="s">
        <v>68</v>
      </c>
      <c r="B891" s="462" t="s">
        <v>540</v>
      </c>
      <c r="C891" s="462"/>
      <c r="D891" s="38"/>
      <c r="E891" s="38"/>
      <c r="F891" s="38"/>
      <c r="G891" s="38"/>
      <c r="H891" s="68"/>
      <c r="I891" s="68"/>
      <c r="J891" s="38"/>
      <c r="K891" s="38"/>
    </row>
    <row r="892" spans="1:15" x14ac:dyDescent="0.3">
      <c r="A892" s="44"/>
      <c r="B892" s="14"/>
      <c r="C892" s="14"/>
      <c r="D892" s="14"/>
      <c r="E892" s="14"/>
      <c r="F892" s="14"/>
      <c r="G892" s="14"/>
      <c r="H892" s="14"/>
      <c r="I892" s="14"/>
      <c r="J892" s="14"/>
      <c r="K892" s="14"/>
    </row>
    <row r="893" spans="1:15" ht="60" x14ac:dyDescent="0.3">
      <c r="A893" s="42" t="s">
        <v>8</v>
      </c>
      <c r="B893" s="42" t="s">
        <v>9</v>
      </c>
      <c r="C893" s="42" t="s">
        <v>10</v>
      </c>
      <c r="D893" s="43" t="s">
        <v>11</v>
      </c>
      <c r="E893" s="43" t="s">
        <v>12</v>
      </c>
      <c r="F893" s="43" t="s">
        <v>13</v>
      </c>
      <c r="G893" s="43" t="s">
        <v>14</v>
      </c>
      <c r="H893" s="43" t="s">
        <v>210</v>
      </c>
      <c r="I893" s="43" t="s">
        <v>209</v>
      </c>
      <c r="J893" s="43" t="s">
        <v>15</v>
      </c>
      <c r="K893" s="43" t="s">
        <v>16</v>
      </c>
      <c r="L893" s="14" t="s">
        <v>17</v>
      </c>
      <c r="M893" s="14" t="s">
        <v>18</v>
      </c>
      <c r="N893" s="14" t="s">
        <v>19</v>
      </c>
    </row>
    <row r="894" spans="1:15" x14ac:dyDescent="0.3">
      <c r="A894" s="1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N894" t="s">
        <v>20</v>
      </c>
      <c r="O894">
        <f>COUNT(G895:G903)</f>
        <v>9</v>
      </c>
    </row>
    <row r="895" spans="1:15" x14ac:dyDescent="0.3">
      <c r="A895" s="12">
        <v>1</v>
      </c>
      <c r="B895" s="12" t="s">
        <v>148</v>
      </c>
      <c r="C895" s="12" t="s">
        <v>96</v>
      </c>
      <c r="D895" s="12" t="s">
        <v>1540</v>
      </c>
      <c r="E895" s="12">
        <v>9</v>
      </c>
      <c r="F895" s="12">
        <v>21</v>
      </c>
      <c r="G895" s="12">
        <f>SUM(E895:F895)</f>
        <v>30</v>
      </c>
      <c r="H895" s="12"/>
      <c r="I895" s="12"/>
      <c r="J895" s="12">
        <v>13</v>
      </c>
      <c r="K895" s="12">
        <f>SUM(G895:J895)</f>
        <v>43</v>
      </c>
      <c r="L895" t="str">
        <f t="shared" ref="L895:L900" si="99">IF(K895&gt;=80,"A",IF(K895&gt;=70,"B+",IF(K895&gt;=60,"B",IF(K895&gt;=55,"C+",IF(K895&gt;=50,"C",IF(K895&gt;=45,"D+",IF(K895&gt;=40,"D","F")))))))</f>
        <v>D</v>
      </c>
      <c r="M895" t="str">
        <f t="shared" ref="M895:M900" si="100">IF(K895&gt;=50,"Passed","Failed")</f>
        <v>Failed</v>
      </c>
      <c r="N895" t="s">
        <v>21</v>
      </c>
      <c r="O895">
        <f>COUNT(J895:J903)</f>
        <v>9</v>
      </c>
    </row>
    <row r="896" spans="1:15" x14ac:dyDescent="0.3">
      <c r="A896" s="12">
        <v>2</v>
      </c>
      <c r="B896" s="12" t="s">
        <v>153</v>
      </c>
      <c r="C896" s="12" t="s">
        <v>101</v>
      </c>
      <c r="D896" s="12" t="s">
        <v>1544</v>
      </c>
      <c r="E896" s="12">
        <v>8</v>
      </c>
      <c r="F896" s="12">
        <v>24</v>
      </c>
      <c r="G896" s="12">
        <f t="shared" ref="G896:G903" si="101">SUM(E896:F896)</f>
        <v>32</v>
      </c>
      <c r="H896" s="12"/>
      <c r="I896" s="12"/>
      <c r="J896" s="12">
        <v>37</v>
      </c>
      <c r="K896" s="12">
        <f t="shared" ref="K896:K903" si="102">SUM(G896:J896)</f>
        <v>69</v>
      </c>
      <c r="L896" t="str">
        <f t="shared" si="99"/>
        <v>B</v>
      </c>
      <c r="M896" t="str">
        <f t="shared" si="100"/>
        <v>Passed</v>
      </c>
      <c r="N896" t="s">
        <v>22</v>
      </c>
      <c r="O896">
        <f>O894-O895</f>
        <v>0</v>
      </c>
    </row>
    <row r="897" spans="1:22" x14ac:dyDescent="0.3">
      <c r="A897" s="12">
        <v>3</v>
      </c>
      <c r="B897" s="12" t="s">
        <v>154</v>
      </c>
      <c r="C897" s="12" t="s">
        <v>102</v>
      </c>
      <c r="D897" s="12" t="s">
        <v>1542</v>
      </c>
      <c r="E897" s="12">
        <v>9</v>
      </c>
      <c r="F897" s="12">
        <v>23</v>
      </c>
      <c r="G897" s="12">
        <f t="shared" si="101"/>
        <v>32</v>
      </c>
      <c r="H897" s="12"/>
      <c r="I897" s="12"/>
      <c r="J897" s="12">
        <v>33</v>
      </c>
      <c r="K897" s="12">
        <f t="shared" si="102"/>
        <v>65</v>
      </c>
      <c r="L897" t="str">
        <f t="shared" si="99"/>
        <v>B</v>
      </c>
      <c r="M897" t="str">
        <f t="shared" si="100"/>
        <v>Passed</v>
      </c>
      <c r="N897" t="s">
        <v>23</v>
      </c>
      <c r="O897">
        <f>COUNTIF(M895:M903,"Passed")</f>
        <v>8</v>
      </c>
    </row>
    <row r="898" spans="1:22" x14ac:dyDescent="0.3">
      <c r="A898" s="12">
        <v>4</v>
      </c>
      <c r="B898" s="12" t="s">
        <v>162</v>
      </c>
      <c r="C898" s="12" t="s">
        <v>112</v>
      </c>
      <c r="D898" s="12" t="s">
        <v>1546</v>
      </c>
      <c r="E898" s="12">
        <v>10</v>
      </c>
      <c r="F898" s="12">
        <v>24</v>
      </c>
      <c r="G898" s="12">
        <f t="shared" si="101"/>
        <v>34</v>
      </c>
      <c r="H898" s="12"/>
      <c r="I898" s="12"/>
      <c r="J898" s="12">
        <v>32</v>
      </c>
      <c r="K898" s="12">
        <f t="shared" si="102"/>
        <v>66</v>
      </c>
      <c r="L898" t="str">
        <f t="shared" si="99"/>
        <v>B</v>
      </c>
      <c r="M898" t="str">
        <f t="shared" si="100"/>
        <v>Passed</v>
      </c>
      <c r="N898" t="s">
        <v>24</v>
      </c>
      <c r="O898">
        <f>O897/O895%</f>
        <v>88.888888888888886</v>
      </c>
    </row>
    <row r="899" spans="1:22" x14ac:dyDescent="0.3">
      <c r="A899" s="12">
        <v>5</v>
      </c>
      <c r="B899" s="12" t="s">
        <v>164</v>
      </c>
      <c r="C899" s="12" t="s">
        <v>114</v>
      </c>
      <c r="D899" s="12" t="s">
        <v>1548</v>
      </c>
      <c r="E899" s="12">
        <v>10</v>
      </c>
      <c r="F899" s="12">
        <v>25</v>
      </c>
      <c r="G899" s="12">
        <f t="shared" si="101"/>
        <v>35</v>
      </c>
      <c r="H899" s="12"/>
      <c r="I899" s="12"/>
      <c r="J899" s="12">
        <v>39</v>
      </c>
      <c r="K899" s="12">
        <f t="shared" si="102"/>
        <v>74</v>
      </c>
      <c r="L899" t="str">
        <f t="shared" si="99"/>
        <v>B+</v>
      </c>
      <c r="M899" t="str">
        <f t="shared" si="100"/>
        <v>Passed</v>
      </c>
      <c r="N899" t="s">
        <v>25</v>
      </c>
      <c r="O899">
        <f>COUNTIF(M895:M903,"failed")</f>
        <v>1</v>
      </c>
    </row>
    <row r="900" spans="1:22" x14ac:dyDescent="0.3">
      <c r="A900" s="12">
        <v>6</v>
      </c>
      <c r="B900" s="60" t="s">
        <v>165</v>
      </c>
      <c r="C900" s="12" t="s">
        <v>116</v>
      </c>
      <c r="D900" s="12" t="s">
        <v>1545</v>
      </c>
      <c r="E900" s="12">
        <v>10</v>
      </c>
      <c r="F900" s="12">
        <v>24</v>
      </c>
      <c r="G900" s="12">
        <f t="shared" si="101"/>
        <v>34</v>
      </c>
      <c r="H900" s="12"/>
      <c r="I900" s="12"/>
      <c r="J900" s="12">
        <v>54</v>
      </c>
      <c r="K900" s="12">
        <f t="shared" si="102"/>
        <v>88</v>
      </c>
      <c r="L900" t="str">
        <f t="shared" si="99"/>
        <v>A</v>
      </c>
      <c r="M900" t="str">
        <f t="shared" si="100"/>
        <v>Passed</v>
      </c>
      <c r="N900" t="s">
        <v>26</v>
      </c>
      <c r="O900">
        <f>O899/O895%</f>
        <v>11.111111111111111</v>
      </c>
    </row>
    <row r="901" spans="1:22" x14ac:dyDescent="0.3">
      <c r="A901" s="12">
        <v>7</v>
      </c>
      <c r="B901" s="12" t="s">
        <v>206</v>
      </c>
      <c r="C901" s="12" t="s">
        <v>123</v>
      </c>
      <c r="D901" s="12" t="s">
        <v>1543</v>
      </c>
      <c r="E901" s="12">
        <v>10</v>
      </c>
      <c r="F901" s="12">
        <v>25</v>
      </c>
      <c r="G901" s="12">
        <f t="shared" si="101"/>
        <v>35</v>
      </c>
      <c r="H901" s="12"/>
      <c r="I901" s="12"/>
      <c r="J901" s="12">
        <v>37</v>
      </c>
      <c r="K901" s="12">
        <f t="shared" si="102"/>
        <v>72</v>
      </c>
      <c r="L901" t="str">
        <f t="shared" ref="L901:L903" si="103">IF(K901&gt;=80,"A",IF(K901&gt;=70,"B+",IF(K901&gt;=60,"B",IF(K901&gt;=55,"C+",IF(K901&gt;=50,"C",IF(K901&gt;=45,"D+",IF(K901&gt;=40,"D","F")))))))</f>
        <v>B+</v>
      </c>
      <c r="M901" t="str">
        <f t="shared" ref="M901:M903" si="104">IF(K901&gt;=50,"Passed","Failed")</f>
        <v>Passed</v>
      </c>
      <c r="N901" t="s">
        <v>27</v>
      </c>
      <c r="O901" s="179">
        <f>AVERAGE(K895:K903)</f>
        <v>65.666666666666671</v>
      </c>
    </row>
    <row r="902" spans="1:22" x14ac:dyDescent="0.3">
      <c r="A902" s="12">
        <v>8</v>
      </c>
      <c r="B902" s="12" t="s">
        <v>202</v>
      </c>
      <c r="C902" s="12" t="s">
        <v>135</v>
      </c>
      <c r="D902" s="12" t="s">
        <v>1541</v>
      </c>
      <c r="E902" s="12">
        <v>5</v>
      </c>
      <c r="F902" s="12">
        <v>25</v>
      </c>
      <c r="G902" s="12">
        <f t="shared" si="101"/>
        <v>30</v>
      </c>
      <c r="H902" s="12"/>
      <c r="I902" s="12"/>
      <c r="J902" s="12">
        <v>24</v>
      </c>
      <c r="K902" s="12">
        <f t="shared" si="102"/>
        <v>54</v>
      </c>
      <c r="L902" t="str">
        <f t="shared" si="103"/>
        <v>C</v>
      </c>
      <c r="M902" t="str">
        <f t="shared" si="104"/>
        <v>Passed</v>
      </c>
    </row>
    <row r="903" spans="1:22" x14ac:dyDescent="0.3">
      <c r="A903" s="12">
        <v>9</v>
      </c>
      <c r="B903" s="12" t="s">
        <v>1249</v>
      </c>
      <c r="C903" s="12" t="s">
        <v>422</v>
      </c>
      <c r="D903" s="12" t="s">
        <v>1547</v>
      </c>
      <c r="E903" s="12">
        <v>8</v>
      </c>
      <c r="F903" s="12">
        <v>22</v>
      </c>
      <c r="G903" s="12">
        <f t="shared" si="101"/>
        <v>30</v>
      </c>
      <c r="H903" s="12"/>
      <c r="I903" s="12"/>
      <c r="J903" s="12">
        <v>30</v>
      </c>
      <c r="K903" s="12">
        <f t="shared" si="102"/>
        <v>60</v>
      </c>
      <c r="L903" t="str">
        <f t="shared" si="103"/>
        <v>B</v>
      </c>
      <c r="M903" t="str">
        <f t="shared" si="104"/>
        <v>Passed</v>
      </c>
    </row>
    <row r="904" spans="1:22" x14ac:dyDescent="0.3"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 t="s">
        <v>33</v>
      </c>
      <c r="U904" t="s">
        <v>34</v>
      </c>
      <c r="V904" t="s">
        <v>35</v>
      </c>
    </row>
    <row r="905" spans="1:22" x14ac:dyDescent="0.3">
      <c r="O905">
        <f>COUNTIF(L895:L903,"A")</f>
        <v>1</v>
      </c>
      <c r="P905">
        <f>COUNTIF(L895:L903,"B+")</f>
        <v>2</v>
      </c>
      <c r="Q905">
        <f>COUNTIF(L895:L903,"B")</f>
        <v>4</v>
      </c>
      <c r="R905">
        <f>COUNTIF(L895:L903,"C+")</f>
        <v>0</v>
      </c>
      <c r="S905">
        <f>COUNTIF(L895:L903,"C")</f>
        <v>1</v>
      </c>
      <c r="T905">
        <f>COUNTIF(L895:L903,"D+")</f>
        <v>0</v>
      </c>
      <c r="U905">
        <f>COUNTIF(L895:L903,"D")</f>
        <v>1</v>
      </c>
      <c r="V905">
        <f>COUNTIF(L895:L903,"F")</f>
        <v>0</v>
      </c>
    </row>
    <row r="918" spans="1:15" x14ac:dyDescent="0.3">
      <c r="A918" s="38" t="s">
        <v>0</v>
      </c>
      <c r="B918" s="39"/>
      <c r="C918" s="39"/>
      <c r="D918" s="39"/>
      <c r="E918" s="39"/>
      <c r="F918" s="39"/>
      <c r="G918" s="39"/>
      <c r="H918" s="70"/>
      <c r="I918" s="70"/>
      <c r="J918" s="39"/>
      <c r="K918" s="39"/>
      <c r="L918" s="39"/>
    </row>
    <row r="919" spans="1:15" x14ac:dyDescent="0.3">
      <c r="A919" s="14" t="s">
        <v>66</v>
      </c>
      <c r="B919" s="14"/>
      <c r="C919" s="14"/>
      <c r="D919" s="14"/>
      <c r="E919" s="14"/>
      <c r="F919" s="14"/>
      <c r="G919" s="14"/>
      <c r="H919" s="14"/>
      <c r="I919" s="14"/>
      <c r="J919" s="14"/>
      <c r="K919" s="14"/>
    </row>
    <row r="920" spans="1:15" x14ac:dyDescent="0.3">
      <c r="A920" s="471" t="s">
        <v>362</v>
      </c>
      <c r="B920" s="463"/>
      <c r="C920" s="463"/>
      <c r="D920" s="2"/>
      <c r="E920" s="2"/>
      <c r="F920" s="2"/>
      <c r="G920" s="2"/>
      <c r="H920" s="2"/>
      <c r="I920" s="2"/>
      <c r="J920" s="2"/>
      <c r="K920" s="2"/>
      <c r="L920" s="1"/>
      <c r="M920" s="16"/>
      <c r="N920" s="16"/>
      <c r="O920" s="13"/>
    </row>
    <row r="921" spans="1:15" x14ac:dyDescent="0.3">
      <c r="A921" s="38" t="s">
        <v>1</v>
      </c>
      <c r="B921" s="462" t="s">
        <v>484</v>
      </c>
      <c r="C921" s="462"/>
      <c r="D921" s="38"/>
      <c r="E921" s="38"/>
      <c r="F921" s="38"/>
      <c r="G921" s="38"/>
      <c r="H921" s="68"/>
      <c r="I921" s="68"/>
      <c r="J921" s="38"/>
      <c r="K921" s="38"/>
      <c r="L921" s="39"/>
    </row>
    <row r="922" spans="1:15" x14ac:dyDescent="0.3">
      <c r="A922" s="38" t="s">
        <v>3</v>
      </c>
      <c r="B922" s="462" t="s">
        <v>1519</v>
      </c>
      <c r="C922" s="462"/>
      <c r="D922" s="38"/>
      <c r="E922" s="38"/>
      <c r="F922" s="38"/>
      <c r="G922" s="38"/>
      <c r="H922" s="68"/>
      <c r="I922" s="68"/>
      <c r="J922" s="38"/>
      <c r="K922" s="38"/>
      <c r="L922" s="39"/>
    </row>
    <row r="923" spans="1:15" x14ac:dyDescent="0.3">
      <c r="A923" s="38" t="s">
        <v>4</v>
      </c>
      <c r="B923" s="462" t="s">
        <v>485</v>
      </c>
      <c r="C923" s="462"/>
      <c r="D923" s="38"/>
      <c r="E923" s="38"/>
      <c r="F923" s="38"/>
      <c r="G923" s="38"/>
      <c r="H923" s="68"/>
      <c r="I923" s="68"/>
      <c r="J923" s="38"/>
      <c r="K923" s="38"/>
      <c r="L923" s="39"/>
    </row>
    <row r="924" spans="1:15" x14ac:dyDescent="0.3">
      <c r="A924" s="38" t="s">
        <v>5</v>
      </c>
      <c r="B924" s="463">
        <v>3</v>
      </c>
      <c r="C924" s="463"/>
      <c r="D924" s="38"/>
      <c r="E924" s="38"/>
      <c r="F924" s="38"/>
      <c r="G924" s="38"/>
      <c r="H924" s="68"/>
      <c r="I924" s="68"/>
      <c r="J924" s="38"/>
      <c r="K924" s="38"/>
      <c r="L924" s="39"/>
    </row>
    <row r="925" spans="1:15" x14ac:dyDescent="0.3">
      <c r="A925" s="38" t="s">
        <v>6</v>
      </c>
      <c r="B925" s="462" t="s">
        <v>1068</v>
      </c>
      <c r="C925" s="462"/>
      <c r="D925" s="38"/>
      <c r="E925" s="38"/>
      <c r="F925" s="38"/>
      <c r="G925" s="38"/>
      <c r="H925" s="68"/>
      <c r="I925" s="68"/>
      <c r="J925" s="38"/>
      <c r="K925" s="38"/>
      <c r="L925" s="39"/>
    </row>
    <row r="926" spans="1:15" x14ac:dyDescent="0.3">
      <c r="A926" s="38" t="s">
        <v>68</v>
      </c>
      <c r="B926" s="465" t="s">
        <v>540</v>
      </c>
      <c r="C926" s="465"/>
      <c r="D926" s="38"/>
      <c r="E926" s="38"/>
      <c r="F926" s="38"/>
      <c r="G926" s="38"/>
      <c r="H926" s="68"/>
      <c r="I926" s="68"/>
      <c r="J926" s="38"/>
      <c r="K926" s="38"/>
    </row>
    <row r="927" spans="1:15" x14ac:dyDescent="0.3">
      <c r="A927" s="44"/>
      <c r="B927" s="14"/>
      <c r="C927" s="14"/>
      <c r="D927" s="14"/>
      <c r="E927" s="14"/>
      <c r="F927" s="14"/>
      <c r="G927" s="14"/>
      <c r="H927" s="14"/>
      <c r="I927" s="14"/>
      <c r="J927" s="14"/>
      <c r="K927" s="14"/>
    </row>
    <row r="928" spans="1:15" ht="60" x14ac:dyDescent="0.3">
      <c r="A928" s="42" t="s">
        <v>8</v>
      </c>
      <c r="B928" s="42" t="s">
        <v>9</v>
      </c>
      <c r="C928" s="42" t="s">
        <v>10</v>
      </c>
      <c r="D928" s="43" t="s">
        <v>11</v>
      </c>
      <c r="E928" s="43" t="s">
        <v>12</v>
      </c>
      <c r="F928" s="43" t="s">
        <v>13</v>
      </c>
      <c r="G928" s="43" t="s">
        <v>14</v>
      </c>
      <c r="H928" s="43" t="s">
        <v>208</v>
      </c>
      <c r="I928" s="43" t="s">
        <v>209</v>
      </c>
      <c r="J928" s="43" t="s">
        <v>15</v>
      </c>
      <c r="K928" s="43" t="s">
        <v>91</v>
      </c>
      <c r="L928" s="14" t="s">
        <v>17</v>
      </c>
      <c r="M928" s="14" t="s">
        <v>18</v>
      </c>
      <c r="N928" s="14" t="s">
        <v>19</v>
      </c>
    </row>
    <row r="929" spans="1:22" x14ac:dyDescent="0.3">
      <c r="A929" s="1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N929" t="s">
        <v>20</v>
      </c>
      <c r="O929">
        <f>COUNT(G930:G938)</f>
        <v>9</v>
      </c>
    </row>
    <row r="930" spans="1:22" x14ac:dyDescent="0.3">
      <c r="A930" s="12">
        <v>1</v>
      </c>
      <c r="B930" s="12" t="s">
        <v>148</v>
      </c>
      <c r="C930" s="12" t="s">
        <v>96</v>
      </c>
      <c r="D930" s="12" t="s">
        <v>1520</v>
      </c>
      <c r="E930" s="12">
        <v>9</v>
      </c>
      <c r="F930" s="12">
        <v>23</v>
      </c>
      <c r="G930" s="12">
        <f>SUM(E930:F930)</f>
        <v>32</v>
      </c>
      <c r="H930" s="12"/>
      <c r="I930" s="12"/>
      <c r="J930" s="12">
        <v>37</v>
      </c>
      <c r="K930" s="12">
        <f>SUM(G930:J930)</f>
        <v>69</v>
      </c>
      <c r="L930" t="str">
        <f>IF(K930&gt;=80,"A",IF(K930&gt;=70,"B+",IF(K930&gt;=60,"B",IF(K930&gt;=55,"C+",IF(K930&gt;=50,"C",IF(K930&gt;=45,"D+",IF(K930&gt;=40,"D","F")))))))</f>
        <v>B</v>
      </c>
      <c r="M930" t="str">
        <f>IF(K930&gt;=50,"Passed","Failed")</f>
        <v>Passed</v>
      </c>
      <c r="N930" t="s">
        <v>21</v>
      </c>
      <c r="O930">
        <f>COUNT(J930:J938)</f>
        <v>9</v>
      </c>
    </row>
    <row r="931" spans="1:22" x14ac:dyDescent="0.3">
      <c r="A931" s="12">
        <v>2</v>
      </c>
      <c r="B931" s="12" t="s">
        <v>153</v>
      </c>
      <c r="C931" s="12" t="s">
        <v>101</v>
      </c>
      <c r="D931" s="12" t="s">
        <v>1526</v>
      </c>
      <c r="E931" s="12">
        <v>8</v>
      </c>
      <c r="F931" s="12">
        <v>23</v>
      </c>
      <c r="G931" s="12">
        <f t="shared" ref="G931:G938" si="105">SUM(E931:F931)</f>
        <v>31</v>
      </c>
      <c r="H931" s="12"/>
      <c r="I931" s="12"/>
      <c r="J931" s="12">
        <v>33</v>
      </c>
      <c r="K931" s="12">
        <f t="shared" ref="K931:K938" si="106">SUM(G931:J931)</f>
        <v>64</v>
      </c>
      <c r="L931" t="str">
        <f t="shared" ref="L931:L935" si="107">IF(K931&gt;=80,"A",IF(K931&gt;=70,"B+",IF(K931&gt;=60,"B",IF(K931&gt;=55,"C+",IF(K931&gt;=50,"C",IF(K931&gt;=45,"D+",IF(K931&gt;=40,"D","F")))))))</f>
        <v>B</v>
      </c>
      <c r="M931" t="str">
        <f t="shared" ref="M931:M935" si="108">IF(K931&gt;=50,"Passed","Failed")</f>
        <v>Passed</v>
      </c>
      <c r="N931" t="s">
        <v>22</v>
      </c>
      <c r="O931">
        <f>O929-O930</f>
        <v>0</v>
      </c>
    </row>
    <row r="932" spans="1:22" x14ac:dyDescent="0.3">
      <c r="A932" s="12">
        <v>3</v>
      </c>
      <c r="B932" s="12" t="s">
        <v>154</v>
      </c>
      <c r="C932" s="12" t="s">
        <v>102</v>
      </c>
      <c r="D932" s="12" t="s">
        <v>1522</v>
      </c>
      <c r="E932" s="12">
        <v>9</v>
      </c>
      <c r="F932" s="12">
        <v>24</v>
      </c>
      <c r="G932" s="12">
        <f t="shared" si="105"/>
        <v>33</v>
      </c>
      <c r="H932" s="12"/>
      <c r="I932" s="12"/>
      <c r="J932" s="12">
        <v>34</v>
      </c>
      <c r="K932" s="12">
        <f t="shared" si="106"/>
        <v>67</v>
      </c>
      <c r="L932" t="str">
        <f>IF(K932&gt;=80,"A",IF(K932&gt;=70,"B+",IF(K932&gt;=60,"B",IF(K932&gt;=55,"C+",IF(K932&gt;=50,"C",IF(K932&gt;=45,"D+",IF(K932&gt;=40,"D","F")))))))</f>
        <v>B</v>
      </c>
      <c r="M932" t="str">
        <f>IF(K932&gt;=50,"Passed","Failed")</f>
        <v>Passed</v>
      </c>
      <c r="N932" t="s">
        <v>23</v>
      </c>
      <c r="O932">
        <f>COUNTIF(M930:M938,"Passed")</f>
        <v>9</v>
      </c>
    </row>
    <row r="933" spans="1:22" x14ac:dyDescent="0.3">
      <c r="A933" s="12">
        <v>4</v>
      </c>
      <c r="B933" s="12" t="s">
        <v>162</v>
      </c>
      <c r="C933" s="12" t="s">
        <v>112</v>
      </c>
      <c r="D933" s="12" t="s">
        <v>1527</v>
      </c>
      <c r="E933" s="12">
        <v>10</v>
      </c>
      <c r="F933" s="12">
        <v>23</v>
      </c>
      <c r="G933" s="12">
        <f t="shared" si="105"/>
        <v>33</v>
      </c>
      <c r="H933" s="12"/>
      <c r="I933" s="12"/>
      <c r="J933" s="12">
        <v>30</v>
      </c>
      <c r="K933" s="12">
        <f t="shared" si="106"/>
        <v>63</v>
      </c>
      <c r="L933" t="str">
        <f t="shared" si="107"/>
        <v>B</v>
      </c>
      <c r="M933" t="str">
        <f t="shared" si="108"/>
        <v>Passed</v>
      </c>
      <c r="N933" t="s">
        <v>24</v>
      </c>
      <c r="O933">
        <f>O932/O930%</f>
        <v>100</v>
      </c>
    </row>
    <row r="934" spans="1:22" x14ac:dyDescent="0.3">
      <c r="A934" s="12">
        <v>5</v>
      </c>
      <c r="B934" s="12" t="s">
        <v>164</v>
      </c>
      <c r="C934" s="12" t="s">
        <v>114</v>
      </c>
      <c r="D934" s="12" t="s">
        <v>1524</v>
      </c>
      <c r="E934" s="12">
        <v>10</v>
      </c>
      <c r="F934" s="12">
        <v>25</v>
      </c>
      <c r="G934" s="12">
        <f t="shared" si="105"/>
        <v>35</v>
      </c>
      <c r="H934" s="12"/>
      <c r="I934" s="12"/>
      <c r="J934" s="12">
        <v>30</v>
      </c>
      <c r="K934" s="12">
        <f t="shared" si="106"/>
        <v>65</v>
      </c>
      <c r="L934" t="str">
        <f t="shared" si="107"/>
        <v>B</v>
      </c>
      <c r="M934" t="str">
        <f t="shared" si="108"/>
        <v>Passed</v>
      </c>
      <c r="N934" t="s">
        <v>25</v>
      </c>
      <c r="O934">
        <f>COUNTIF(M930:M938,"failed")</f>
        <v>0</v>
      </c>
    </row>
    <row r="935" spans="1:22" x14ac:dyDescent="0.3">
      <c r="A935" s="12">
        <v>6</v>
      </c>
      <c r="B935" s="60" t="s">
        <v>165</v>
      </c>
      <c r="C935" s="12" t="s">
        <v>116</v>
      </c>
      <c r="D935" s="12" t="s">
        <v>1523</v>
      </c>
      <c r="E935" s="12">
        <v>10</v>
      </c>
      <c r="F935" s="12">
        <v>25</v>
      </c>
      <c r="G935" s="12">
        <f t="shared" si="105"/>
        <v>35</v>
      </c>
      <c r="H935" s="12"/>
      <c r="I935" s="12"/>
      <c r="J935" s="12">
        <v>49</v>
      </c>
      <c r="K935" s="12">
        <f t="shared" si="106"/>
        <v>84</v>
      </c>
      <c r="L935" t="str">
        <f t="shared" si="107"/>
        <v>A</v>
      </c>
      <c r="M935" t="str">
        <f t="shared" si="108"/>
        <v>Passed</v>
      </c>
      <c r="N935" t="s">
        <v>26</v>
      </c>
      <c r="O935">
        <f>O934/O930%</f>
        <v>0</v>
      </c>
    </row>
    <row r="936" spans="1:22" x14ac:dyDescent="0.3">
      <c r="A936" s="12">
        <v>7</v>
      </c>
      <c r="B936" s="12" t="s">
        <v>206</v>
      </c>
      <c r="C936" s="12" t="s">
        <v>123</v>
      </c>
      <c r="D936" s="12" t="s">
        <v>1521</v>
      </c>
      <c r="E936" s="12">
        <v>10</v>
      </c>
      <c r="F936" s="12">
        <v>25</v>
      </c>
      <c r="G936" s="12">
        <f t="shared" si="105"/>
        <v>35</v>
      </c>
      <c r="H936" s="12"/>
      <c r="I936" s="12"/>
      <c r="J936" s="12">
        <v>34</v>
      </c>
      <c r="K936" s="12">
        <f t="shared" si="106"/>
        <v>69</v>
      </c>
      <c r="L936" t="str">
        <f t="shared" ref="L936:L938" si="109">IF(K936&gt;=80,"A",IF(K936&gt;=70,"B+",IF(K936&gt;=60,"B",IF(K936&gt;=55,"C+",IF(K936&gt;=50,"C",IF(K936&gt;=45,"D+",IF(K936&gt;=40,"D","F")))))))</f>
        <v>B</v>
      </c>
      <c r="M936" t="str">
        <f t="shared" ref="M936:M938" si="110">IF(K936&gt;=50,"Passed","Failed")</f>
        <v>Passed</v>
      </c>
      <c r="N936" t="s">
        <v>27</v>
      </c>
      <c r="O936">
        <f>AVERAGE(K930:K938)</f>
        <v>68.166666666666671</v>
      </c>
    </row>
    <row r="937" spans="1:22" x14ac:dyDescent="0.3">
      <c r="A937" s="12">
        <v>8</v>
      </c>
      <c r="B937" s="12" t="s">
        <v>202</v>
      </c>
      <c r="C937" s="12" t="s">
        <v>135</v>
      </c>
      <c r="D937" s="12" t="s">
        <v>1525</v>
      </c>
      <c r="E937" s="12">
        <v>7.5</v>
      </c>
      <c r="F937" s="12">
        <v>24</v>
      </c>
      <c r="G937" s="12">
        <f t="shared" si="105"/>
        <v>31.5</v>
      </c>
      <c r="H937" s="12"/>
      <c r="I937" s="12"/>
      <c r="J937" s="12">
        <v>35</v>
      </c>
      <c r="K937" s="241">
        <f t="shared" si="106"/>
        <v>66.5</v>
      </c>
      <c r="L937" t="str">
        <f t="shared" si="109"/>
        <v>B</v>
      </c>
      <c r="M937" t="str">
        <f t="shared" si="110"/>
        <v>Passed</v>
      </c>
    </row>
    <row r="938" spans="1:22" x14ac:dyDescent="0.3">
      <c r="A938" s="12">
        <v>9</v>
      </c>
      <c r="B938" s="12" t="s">
        <v>1249</v>
      </c>
      <c r="C938" s="12" t="s">
        <v>422</v>
      </c>
      <c r="D938" s="12" t="s">
        <v>1528</v>
      </c>
      <c r="E938" s="12">
        <v>8</v>
      </c>
      <c r="F938" s="12">
        <v>25</v>
      </c>
      <c r="G938" s="12">
        <f t="shared" si="105"/>
        <v>33</v>
      </c>
      <c r="H938" s="12"/>
      <c r="I938" s="12"/>
      <c r="J938" s="12">
        <v>33</v>
      </c>
      <c r="K938" s="12">
        <f t="shared" si="106"/>
        <v>66</v>
      </c>
      <c r="L938" t="str">
        <f t="shared" si="109"/>
        <v>B</v>
      </c>
      <c r="M938" t="str">
        <f t="shared" si="110"/>
        <v>Passed</v>
      </c>
    </row>
    <row r="939" spans="1:22" x14ac:dyDescent="0.3"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 t="s">
        <v>33</v>
      </c>
      <c r="U939" t="s">
        <v>34</v>
      </c>
      <c r="V939" t="s">
        <v>35</v>
      </c>
    </row>
    <row r="940" spans="1:22" x14ac:dyDescent="0.3">
      <c r="O940">
        <f>COUNTIF(L930:L938,"A")</f>
        <v>1</v>
      </c>
      <c r="P940">
        <f>COUNTIF(L930:L938,"B+")</f>
        <v>0</v>
      </c>
      <c r="Q940">
        <f>COUNTIF(L930:L938,"B")</f>
        <v>8</v>
      </c>
      <c r="R940">
        <f>COUNTIF(L930:L938,"C+")</f>
        <v>0</v>
      </c>
      <c r="S940">
        <f>COUNTIF(L930:L938,"C")</f>
        <v>0</v>
      </c>
      <c r="T940">
        <f>COUNTIF(L930:L938,"D+")</f>
        <v>0</v>
      </c>
      <c r="U940">
        <f>COUNTIF(L930:L938,"D")</f>
        <v>0</v>
      </c>
      <c r="V940">
        <f>COUNTIF(L930:L938,"F")</f>
        <v>0</v>
      </c>
    </row>
    <row r="944" spans="1:22" x14ac:dyDescent="0.3">
      <c r="E944" s="55"/>
    </row>
    <row r="951" spans="1:15" x14ac:dyDescent="0.3">
      <c r="A951" s="38" t="s">
        <v>0</v>
      </c>
      <c r="B951" s="39"/>
      <c r="C951" s="39"/>
      <c r="D951" s="39"/>
      <c r="E951" s="39"/>
      <c r="F951" s="39"/>
      <c r="G951" s="39"/>
      <c r="H951" s="70"/>
      <c r="I951" s="70"/>
      <c r="J951" s="39"/>
      <c r="K951" s="39"/>
      <c r="L951" s="39"/>
    </row>
    <row r="952" spans="1:15" x14ac:dyDescent="0.3">
      <c r="A952" s="48" t="s">
        <v>66</v>
      </c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56"/>
    </row>
    <row r="953" spans="1:15" x14ac:dyDescent="0.3">
      <c r="A953" s="471" t="s">
        <v>362</v>
      </c>
      <c r="B953" s="463"/>
      <c r="C953" s="463"/>
      <c r="D953" s="2"/>
      <c r="E953" s="2"/>
      <c r="F953" s="2"/>
      <c r="G953" s="2"/>
      <c r="H953" s="2"/>
      <c r="I953" s="2"/>
      <c r="J953" s="2"/>
      <c r="K953" s="2"/>
      <c r="L953" s="1"/>
      <c r="M953" s="16"/>
      <c r="N953" s="16"/>
      <c r="O953" s="13"/>
    </row>
    <row r="954" spans="1:15" x14ac:dyDescent="0.3">
      <c r="A954" s="38" t="s">
        <v>1</v>
      </c>
      <c r="B954" s="462" t="s">
        <v>48</v>
      </c>
      <c r="C954" s="462"/>
      <c r="D954" s="38"/>
      <c r="E954" s="38"/>
      <c r="F954" s="38"/>
      <c r="G954" s="38"/>
      <c r="H954" s="68"/>
      <c r="I954" s="68"/>
      <c r="J954" s="38"/>
      <c r="K954" s="38"/>
      <c r="L954" s="39"/>
    </row>
    <row r="955" spans="1:15" x14ac:dyDescent="0.3">
      <c r="A955" s="46" t="s">
        <v>3</v>
      </c>
      <c r="B955" s="462" t="s">
        <v>834</v>
      </c>
      <c r="C955" s="462"/>
      <c r="D955" s="46"/>
      <c r="E955" s="46"/>
      <c r="F955" s="46"/>
      <c r="G955" s="46"/>
      <c r="H955" s="69"/>
      <c r="I955" s="69"/>
      <c r="J955" s="46"/>
      <c r="K955" s="46"/>
      <c r="L955" s="15"/>
    </row>
    <row r="956" spans="1:15" x14ac:dyDescent="0.3">
      <c r="A956" s="38" t="s">
        <v>4</v>
      </c>
      <c r="B956" s="462" t="s">
        <v>486</v>
      </c>
      <c r="C956" s="462"/>
      <c r="D956" s="38"/>
      <c r="E956" s="38"/>
      <c r="F956" s="38"/>
      <c r="G956" s="38"/>
      <c r="H956" s="68"/>
      <c r="I956" s="68"/>
      <c r="J956" s="38"/>
      <c r="K956" s="38"/>
      <c r="L956" s="39"/>
    </row>
    <row r="957" spans="1:15" x14ac:dyDescent="0.3">
      <c r="A957" s="38" t="s">
        <v>5</v>
      </c>
      <c r="B957" s="463">
        <v>3</v>
      </c>
      <c r="C957" s="463"/>
      <c r="D957" s="38"/>
      <c r="E957" s="38"/>
      <c r="F957" s="38"/>
      <c r="G957" s="38"/>
      <c r="H957" s="68"/>
      <c r="I957" s="68"/>
      <c r="J957" s="38"/>
      <c r="K957" s="38"/>
      <c r="L957" s="39"/>
    </row>
    <row r="958" spans="1:15" x14ac:dyDescent="0.3">
      <c r="A958" s="38" t="s">
        <v>6</v>
      </c>
      <c r="B958" s="462" t="s">
        <v>833</v>
      </c>
      <c r="C958" s="462"/>
      <c r="D958" s="38"/>
      <c r="E958" s="38"/>
      <c r="F958" s="38"/>
      <c r="G958" s="38"/>
      <c r="H958" s="68"/>
      <c r="I958" s="68"/>
      <c r="J958" s="38"/>
      <c r="K958" s="38"/>
      <c r="L958" s="39"/>
    </row>
    <row r="959" spans="1:15" x14ac:dyDescent="0.3">
      <c r="A959" s="38" t="s">
        <v>68</v>
      </c>
      <c r="B959" s="465"/>
      <c r="C959" s="465"/>
      <c r="D959" s="38"/>
      <c r="E959" s="38"/>
      <c r="F959" s="38"/>
      <c r="G959" s="38"/>
      <c r="H959" s="68"/>
      <c r="I959" s="68"/>
      <c r="J959" s="38"/>
      <c r="K959" s="38"/>
    </row>
    <row r="960" spans="1:15" x14ac:dyDescent="0.3">
      <c r="A960" s="44"/>
      <c r="B960" s="14"/>
      <c r="C960" s="14"/>
      <c r="D960" s="14"/>
      <c r="E960" s="14"/>
      <c r="F960" s="14"/>
      <c r="G960" s="14"/>
      <c r="H960" s="14"/>
      <c r="I960" s="14"/>
      <c r="J960" s="14"/>
      <c r="K960" s="14"/>
    </row>
    <row r="961" spans="1:22" ht="60" x14ac:dyDescent="0.3">
      <c r="A961" s="42" t="s">
        <v>8</v>
      </c>
      <c r="B961" s="42" t="s">
        <v>9</v>
      </c>
      <c r="C961" s="42" t="s">
        <v>10</v>
      </c>
      <c r="D961" s="43" t="s">
        <v>11</v>
      </c>
      <c r="E961" s="43" t="s">
        <v>12</v>
      </c>
      <c r="F961" s="43" t="s">
        <v>13</v>
      </c>
      <c r="G961" s="43" t="s">
        <v>14</v>
      </c>
      <c r="H961" s="43" t="s">
        <v>208</v>
      </c>
      <c r="I961" s="43" t="s">
        <v>209</v>
      </c>
      <c r="J961" s="43" t="s">
        <v>15</v>
      </c>
      <c r="K961" s="43" t="s">
        <v>16</v>
      </c>
      <c r="L961" s="14" t="s">
        <v>17</v>
      </c>
      <c r="M961" s="14" t="s">
        <v>18</v>
      </c>
      <c r="N961" s="14" t="s">
        <v>19</v>
      </c>
    </row>
    <row r="962" spans="1:22" x14ac:dyDescent="0.3">
      <c r="A962" s="1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N962" t="s">
        <v>20</v>
      </c>
      <c r="O962">
        <f>COUNT(G963:G971)</f>
        <v>9</v>
      </c>
    </row>
    <row r="963" spans="1:22" x14ac:dyDescent="0.3">
      <c r="A963" s="12">
        <v>1</v>
      </c>
      <c r="B963" s="12" t="s">
        <v>148</v>
      </c>
      <c r="C963" s="12" t="s">
        <v>96</v>
      </c>
      <c r="D963" s="12" t="s">
        <v>1331</v>
      </c>
      <c r="E963" s="12">
        <v>9</v>
      </c>
      <c r="F963" s="12">
        <v>15</v>
      </c>
      <c r="G963" s="340">
        <v>26</v>
      </c>
      <c r="H963" s="12"/>
      <c r="I963" s="12"/>
      <c r="J963" s="12">
        <v>24</v>
      </c>
      <c r="K963" s="12">
        <f>SUM(G963:J963)</f>
        <v>50</v>
      </c>
      <c r="L963" t="str">
        <f t="shared" ref="L963:L968" si="111">IF(K963&gt;=80,"A",IF(K963&gt;=70,"B+",IF(K963&gt;=60,"B",IF(K963&gt;=55,"C+",IF(K963&gt;=50,"C",IF(K963&gt;=45,"D+",IF(K963&gt;=40,"D","F")))))))</f>
        <v>C</v>
      </c>
      <c r="M963" t="str">
        <f t="shared" ref="M963:M968" si="112">IF(K963&gt;=50,"Passed","Failed")</f>
        <v>Passed</v>
      </c>
      <c r="N963" t="s">
        <v>21</v>
      </c>
      <c r="O963">
        <f>COUNT(J963:J971)</f>
        <v>9</v>
      </c>
    </row>
    <row r="964" spans="1:22" x14ac:dyDescent="0.3">
      <c r="A964" s="12">
        <v>2</v>
      </c>
      <c r="B964" s="12" t="s">
        <v>153</v>
      </c>
      <c r="C964" s="12" t="s">
        <v>101</v>
      </c>
      <c r="D964" s="12" t="s">
        <v>1336</v>
      </c>
      <c r="E964" s="12">
        <v>8</v>
      </c>
      <c r="F964" s="12">
        <v>20</v>
      </c>
      <c r="G964" s="12">
        <f t="shared" ref="G964:G971" si="113">SUM(E964:F964)</f>
        <v>28</v>
      </c>
      <c r="H964" s="12"/>
      <c r="I964" s="12"/>
      <c r="J964" s="12">
        <v>36</v>
      </c>
      <c r="K964" s="12">
        <f t="shared" ref="K964:K971" si="114">SUM(G964:J964)</f>
        <v>64</v>
      </c>
      <c r="L964" t="str">
        <f t="shared" si="111"/>
        <v>B</v>
      </c>
      <c r="M964" t="str">
        <f t="shared" si="112"/>
        <v>Passed</v>
      </c>
      <c r="N964" t="s">
        <v>22</v>
      </c>
      <c r="O964">
        <f>O962-O963</f>
        <v>0</v>
      </c>
    </row>
    <row r="965" spans="1:22" x14ac:dyDescent="0.3">
      <c r="A965" s="12">
        <v>3</v>
      </c>
      <c r="B965" s="12" t="s">
        <v>154</v>
      </c>
      <c r="C965" s="12" t="s">
        <v>102</v>
      </c>
      <c r="D965" s="12" t="s">
        <v>1333</v>
      </c>
      <c r="E965" s="12">
        <v>9</v>
      </c>
      <c r="F965" s="12">
        <v>20</v>
      </c>
      <c r="G965" s="12">
        <f t="shared" si="113"/>
        <v>29</v>
      </c>
      <c r="H965" s="12"/>
      <c r="I965" s="12"/>
      <c r="J965" s="12">
        <v>26</v>
      </c>
      <c r="K965" s="12">
        <f t="shared" si="114"/>
        <v>55</v>
      </c>
      <c r="L965" t="str">
        <f t="shared" si="111"/>
        <v>C+</v>
      </c>
      <c r="M965" t="str">
        <f t="shared" si="112"/>
        <v>Passed</v>
      </c>
      <c r="N965" t="s">
        <v>23</v>
      </c>
      <c r="O965">
        <f>COUNTIF(M963:M971,"Passed")</f>
        <v>9</v>
      </c>
    </row>
    <row r="966" spans="1:22" x14ac:dyDescent="0.3">
      <c r="A966" s="12">
        <v>4</v>
      </c>
      <c r="B966" s="12" t="s">
        <v>162</v>
      </c>
      <c r="C966" s="12" t="s">
        <v>112</v>
      </c>
      <c r="D966" s="12" t="s">
        <v>1335</v>
      </c>
      <c r="E966" s="12">
        <v>10</v>
      </c>
      <c r="F966" s="12">
        <v>23</v>
      </c>
      <c r="G966" s="12">
        <f t="shared" si="113"/>
        <v>33</v>
      </c>
      <c r="H966" s="12"/>
      <c r="I966" s="12"/>
      <c r="J966" s="12">
        <v>28</v>
      </c>
      <c r="K966" s="12">
        <f t="shared" si="114"/>
        <v>61</v>
      </c>
      <c r="L966" t="str">
        <f t="shared" si="111"/>
        <v>B</v>
      </c>
      <c r="M966" t="str">
        <f t="shared" si="112"/>
        <v>Passed</v>
      </c>
      <c r="N966" t="s">
        <v>24</v>
      </c>
      <c r="O966">
        <f>O965/O963%</f>
        <v>100</v>
      </c>
    </row>
    <row r="967" spans="1:22" x14ac:dyDescent="0.3">
      <c r="A967" s="12">
        <v>5</v>
      </c>
      <c r="B967" s="12" t="s">
        <v>164</v>
      </c>
      <c r="C967" s="12" t="s">
        <v>114</v>
      </c>
      <c r="D967" s="12" t="s">
        <v>1334</v>
      </c>
      <c r="E967" s="12">
        <v>10</v>
      </c>
      <c r="F967" s="12">
        <v>20</v>
      </c>
      <c r="G967" s="12">
        <f t="shared" si="113"/>
        <v>30</v>
      </c>
      <c r="H967" s="12"/>
      <c r="I967" s="12"/>
      <c r="J967" s="12">
        <v>37</v>
      </c>
      <c r="K967" s="12">
        <f t="shared" si="114"/>
        <v>67</v>
      </c>
      <c r="L967" t="str">
        <f t="shared" si="111"/>
        <v>B</v>
      </c>
      <c r="M967" t="str">
        <f t="shared" si="112"/>
        <v>Passed</v>
      </c>
      <c r="N967" t="s">
        <v>25</v>
      </c>
      <c r="O967">
        <f>COUNTIF(M963:M971,"failed")</f>
        <v>0</v>
      </c>
    </row>
    <row r="968" spans="1:22" x14ac:dyDescent="0.3">
      <c r="A968" s="12">
        <v>6</v>
      </c>
      <c r="B968" s="60" t="s">
        <v>165</v>
      </c>
      <c r="C968" s="12" t="s">
        <v>116</v>
      </c>
      <c r="D968" s="12" t="s">
        <v>1338</v>
      </c>
      <c r="E968" s="12">
        <v>10</v>
      </c>
      <c r="F968" s="12">
        <v>26</v>
      </c>
      <c r="G968" s="12">
        <f t="shared" si="113"/>
        <v>36</v>
      </c>
      <c r="H968" s="12"/>
      <c r="I968" s="12"/>
      <c r="J968" s="12">
        <v>43</v>
      </c>
      <c r="K968" s="12">
        <f t="shared" si="114"/>
        <v>79</v>
      </c>
      <c r="L968" t="str">
        <f t="shared" si="111"/>
        <v>B+</v>
      </c>
      <c r="M968" t="str">
        <f t="shared" si="112"/>
        <v>Passed</v>
      </c>
      <c r="N968" t="s">
        <v>26</v>
      </c>
      <c r="O968" s="179">
        <f>O967/O963%</f>
        <v>0</v>
      </c>
    </row>
    <row r="969" spans="1:22" x14ac:dyDescent="0.3">
      <c r="A969" s="12">
        <v>7</v>
      </c>
      <c r="B969" s="12" t="s">
        <v>206</v>
      </c>
      <c r="C969" s="12" t="s">
        <v>123</v>
      </c>
      <c r="D969" s="12" t="s">
        <v>1332</v>
      </c>
      <c r="E969" s="12">
        <v>10</v>
      </c>
      <c r="F969" s="12">
        <v>20</v>
      </c>
      <c r="G969" s="12">
        <f t="shared" si="113"/>
        <v>30</v>
      </c>
      <c r="H969" s="12"/>
      <c r="I969" s="12"/>
      <c r="J969" s="12">
        <v>34</v>
      </c>
      <c r="K969" s="12">
        <f t="shared" si="114"/>
        <v>64</v>
      </c>
      <c r="L969" t="str">
        <f t="shared" ref="L969:L971" si="115">IF(K969&gt;=80,"A",IF(K969&gt;=70,"B+",IF(K969&gt;=60,"B",IF(K969&gt;=55,"C+",IF(K969&gt;=50,"C",IF(K969&gt;=45,"D+",IF(K969&gt;=40,"D","F")))))))</f>
        <v>B</v>
      </c>
      <c r="M969" t="str">
        <f t="shared" ref="M969:M971" si="116">IF(K969&gt;=50,"Passed","Failed")</f>
        <v>Passed</v>
      </c>
      <c r="N969" t="s">
        <v>27</v>
      </c>
      <c r="O969" s="179">
        <f>AVERAGE(K963:K971)</f>
        <v>62.5</v>
      </c>
    </row>
    <row r="970" spans="1:22" x14ac:dyDescent="0.3">
      <c r="A970" s="12">
        <v>8</v>
      </c>
      <c r="B970" s="12" t="s">
        <v>202</v>
      </c>
      <c r="C970" s="12" t="s">
        <v>135</v>
      </c>
      <c r="D970" s="12" t="s">
        <v>1337</v>
      </c>
      <c r="E970" s="12">
        <v>7.5</v>
      </c>
      <c r="F970" s="12">
        <v>25</v>
      </c>
      <c r="G970" s="12">
        <f t="shared" si="113"/>
        <v>32.5</v>
      </c>
      <c r="H970" s="12"/>
      <c r="I970" s="12"/>
      <c r="J970" s="12">
        <v>31</v>
      </c>
      <c r="K970" s="241">
        <f t="shared" si="114"/>
        <v>63.5</v>
      </c>
      <c r="L970" t="str">
        <f t="shared" si="115"/>
        <v>B</v>
      </c>
      <c r="M970" t="str">
        <f t="shared" si="116"/>
        <v>Passed</v>
      </c>
    </row>
    <row r="971" spans="1:22" x14ac:dyDescent="0.3">
      <c r="A971" s="12">
        <v>9</v>
      </c>
      <c r="B971" s="12" t="s">
        <v>1249</v>
      </c>
      <c r="C971" s="12" t="s">
        <v>422</v>
      </c>
      <c r="D971" s="12" t="s">
        <v>1339</v>
      </c>
      <c r="E971" s="12">
        <v>8</v>
      </c>
      <c r="F971" s="12">
        <v>25</v>
      </c>
      <c r="G971" s="12">
        <f t="shared" si="113"/>
        <v>33</v>
      </c>
      <c r="H971" s="12"/>
      <c r="I971" s="12"/>
      <c r="J971" s="12">
        <v>26</v>
      </c>
      <c r="K971" s="12">
        <f t="shared" si="114"/>
        <v>59</v>
      </c>
      <c r="L971" t="str">
        <f t="shared" si="115"/>
        <v>C+</v>
      </c>
      <c r="M971" t="str">
        <f t="shared" si="116"/>
        <v>Passed</v>
      </c>
    </row>
    <row r="972" spans="1:22" x14ac:dyDescent="0.3">
      <c r="O972" t="s">
        <v>28</v>
      </c>
      <c r="P972" t="s">
        <v>29</v>
      </c>
      <c r="Q972" t="s">
        <v>30</v>
      </c>
      <c r="R972" t="s">
        <v>31</v>
      </c>
      <c r="S972" t="s">
        <v>32</v>
      </c>
      <c r="T972" t="s">
        <v>33</v>
      </c>
      <c r="U972" t="s">
        <v>34</v>
      </c>
      <c r="V972" t="s">
        <v>35</v>
      </c>
    </row>
    <row r="973" spans="1:22" x14ac:dyDescent="0.3">
      <c r="O973">
        <f>COUNTIF(L963:L971,"A")</f>
        <v>0</v>
      </c>
      <c r="P973">
        <f>COUNTIF(L963:L971,"B+")</f>
        <v>1</v>
      </c>
      <c r="Q973">
        <f>COUNTIF(L963:L971,"B")</f>
        <v>5</v>
      </c>
      <c r="R973">
        <f>COUNTIF(L963:L971,"C+")</f>
        <v>2</v>
      </c>
      <c r="S973">
        <f>COUNTIF(L963:L971,"C")</f>
        <v>1</v>
      </c>
      <c r="T973">
        <f>COUNTIF(L963:L971,"D+")</f>
        <v>0</v>
      </c>
      <c r="U973">
        <f>COUNTIF(L963:L971,"D")</f>
        <v>0</v>
      </c>
      <c r="V973">
        <f>COUNTIF(L963:L971,"F")</f>
        <v>0</v>
      </c>
    </row>
    <row r="985" spans="1:15" x14ac:dyDescent="0.3">
      <c r="A985" s="38" t="s">
        <v>0</v>
      </c>
      <c r="B985" s="39"/>
      <c r="C985" s="39"/>
      <c r="D985" s="39"/>
      <c r="E985" s="39"/>
      <c r="F985" s="39"/>
      <c r="G985" s="39"/>
      <c r="H985" s="70"/>
      <c r="I985" s="70"/>
      <c r="J985" s="39"/>
      <c r="K985" s="39"/>
      <c r="L985" s="39"/>
    </row>
    <row r="986" spans="1:15" x14ac:dyDescent="0.3">
      <c r="A986" s="48" t="s">
        <v>66</v>
      </c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56"/>
    </row>
    <row r="987" spans="1:15" x14ac:dyDescent="0.3">
      <c r="A987" s="471" t="s">
        <v>362</v>
      </c>
      <c r="B987" s="463"/>
      <c r="C987" s="463"/>
      <c r="D987" s="2"/>
      <c r="E987" s="2"/>
      <c r="F987" s="2"/>
      <c r="G987" s="2"/>
      <c r="H987" s="2"/>
      <c r="I987" s="2"/>
      <c r="J987" s="2"/>
      <c r="K987" s="2"/>
      <c r="L987" s="1"/>
      <c r="M987" s="16"/>
      <c r="N987" s="16"/>
      <c r="O987" s="13"/>
    </row>
    <row r="988" spans="1:15" x14ac:dyDescent="0.3">
      <c r="A988" s="38" t="s">
        <v>1</v>
      </c>
      <c r="B988" s="462" t="s">
        <v>197</v>
      </c>
      <c r="C988" s="462"/>
      <c r="D988" s="38"/>
      <c r="E988" s="38"/>
      <c r="F988" s="38"/>
      <c r="G988" s="38"/>
      <c r="H988" s="68"/>
      <c r="I988" s="68"/>
      <c r="J988" s="38"/>
      <c r="K988" s="38"/>
      <c r="L988" s="39"/>
    </row>
    <row r="989" spans="1:15" x14ac:dyDescent="0.3">
      <c r="A989" s="46" t="s">
        <v>3</v>
      </c>
      <c r="B989" s="462" t="s">
        <v>187</v>
      </c>
      <c r="C989" s="462"/>
      <c r="D989" s="46"/>
      <c r="E989" s="46"/>
      <c r="F989" s="46"/>
      <c r="G989" s="46"/>
      <c r="H989" s="69"/>
      <c r="I989" s="69"/>
      <c r="J989" s="46"/>
      <c r="K989" s="46"/>
      <c r="L989" s="15"/>
    </row>
    <row r="990" spans="1:15" x14ac:dyDescent="0.3">
      <c r="A990" s="38" t="s">
        <v>4</v>
      </c>
      <c r="B990" s="462" t="s">
        <v>188</v>
      </c>
      <c r="C990" s="462"/>
      <c r="D990" s="38"/>
      <c r="E990" s="38"/>
      <c r="F990" s="38"/>
      <c r="G990" s="38"/>
      <c r="H990" s="68"/>
      <c r="I990" s="68"/>
      <c r="J990" s="38"/>
      <c r="K990" s="38"/>
      <c r="L990" s="39"/>
    </row>
    <row r="991" spans="1:15" x14ac:dyDescent="0.3">
      <c r="A991" s="38" t="s">
        <v>5</v>
      </c>
      <c r="B991" s="463">
        <v>3</v>
      </c>
      <c r="C991" s="463"/>
      <c r="D991" s="38"/>
      <c r="E991" s="38"/>
      <c r="F991" s="38"/>
      <c r="G991" s="38"/>
      <c r="H991" s="68"/>
      <c r="I991" s="68"/>
      <c r="J991" s="38"/>
      <c r="K991" s="38"/>
      <c r="L991" s="39"/>
    </row>
    <row r="992" spans="1:15" x14ac:dyDescent="0.3">
      <c r="A992" s="38" t="s">
        <v>6</v>
      </c>
      <c r="B992" s="462" t="s">
        <v>430</v>
      </c>
      <c r="C992" s="462"/>
      <c r="D992" s="38"/>
      <c r="E992" s="38"/>
      <c r="F992" s="38"/>
      <c r="G992" s="38"/>
      <c r="H992" s="68"/>
      <c r="I992" s="68"/>
      <c r="J992" s="38"/>
      <c r="K992" s="38"/>
      <c r="L992" s="39"/>
    </row>
    <row r="993" spans="1:22" x14ac:dyDescent="0.3">
      <c r="A993" s="38" t="s">
        <v>68</v>
      </c>
      <c r="B993" s="465"/>
      <c r="C993" s="465"/>
      <c r="D993" s="38"/>
      <c r="E993" s="38"/>
      <c r="F993" s="38"/>
      <c r="G993" s="38"/>
      <c r="H993" s="68"/>
      <c r="I993" s="68"/>
      <c r="J993" s="38"/>
      <c r="K993" s="38"/>
    </row>
    <row r="994" spans="1:22" x14ac:dyDescent="0.3">
      <c r="A994" s="44"/>
      <c r="B994" s="14"/>
      <c r="C994" s="14"/>
      <c r="D994" s="14"/>
      <c r="E994" s="14"/>
      <c r="F994" s="14"/>
      <c r="G994" s="14"/>
      <c r="H994" s="14"/>
      <c r="I994" s="14"/>
      <c r="J994" s="14"/>
      <c r="K994" s="14"/>
    </row>
    <row r="995" spans="1:22" ht="60" x14ac:dyDescent="0.3">
      <c r="A995" s="42" t="s">
        <v>8</v>
      </c>
      <c r="B995" s="42" t="s">
        <v>9</v>
      </c>
      <c r="C995" s="42" t="s">
        <v>10</v>
      </c>
      <c r="D995" s="43" t="s">
        <v>11</v>
      </c>
      <c r="E995" s="43" t="s">
        <v>12</v>
      </c>
      <c r="F995" s="43" t="s">
        <v>13</v>
      </c>
      <c r="G995" s="43" t="s">
        <v>14</v>
      </c>
      <c r="H995" s="43" t="s">
        <v>208</v>
      </c>
      <c r="I995" s="43" t="s">
        <v>209</v>
      </c>
      <c r="J995" s="43" t="s">
        <v>15</v>
      </c>
      <c r="K995" s="43" t="s">
        <v>16</v>
      </c>
      <c r="L995" t="s">
        <v>17</v>
      </c>
      <c r="M995" t="s">
        <v>18</v>
      </c>
      <c r="N995" t="s">
        <v>19</v>
      </c>
    </row>
    <row r="996" spans="1:22" x14ac:dyDescent="0.3">
      <c r="A996" s="1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N996" t="s">
        <v>20</v>
      </c>
      <c r="O996">
        <f>COUNT(G997:G1006)</f>
        <v>10</v>
      </c>
    </row>
    <row r="997" spans="1:22" x14ac:dyDescent="0.3">
      <c r="A997" s="12">
        <v>1</v>
      </c>
      <c r="B997" s="12" t="s">
        <v>150</v>
      </c>
      <c r="C997" s="12" t="s">
        <v>98</v>
      </c>
      <c r="D997" s="12" t="s">
        <v>1535</v>
      </c>
      <c r="E997" s="12">
        <v>10</v>
      </c>
      <c r="F997" s="12">
        <v>21</v>
      </c>
      <c r="G997" s="12">
        <f>SUM(E997:F997)</f>
        <v>31</v>
      </c>
      <c r="H997" s="12"/>
      <c r="I997" s="12"/>
      <c r="J997" s="12">
        <v>35</v>
      </c>
      <c r="K997" s="12">
        <f>SUM(G997:J997)</f>
        <v>66</v>
      </c>
      <c r="L997" t="str">
        <f t="shared" ref="L997:L1005" si="117">IF(K997&gt;=80,"A",IF(K997&gt;=70,"B+",IF(K997&gt;=60,"B",IF(K997&gt;=55,"C+",IF(K997&gt;=50,"C",IF(K997&gt;=45,"D+",IF(K997&gt;=40,"D","F")))))))</f>
        <v>B</v>
      </c>
      <c r="M997" t="str">
        <f t="shared" ref="M997:M1005" si="118">IF(K997&gt;=50,"Passed","Failed")</f>
        <v>Passed</v>
      </c>
      <c r="N997" t="s">
        <v>21</v>
      </c>
      <c r="O997">
        <f>COUNT(J997:J1006)</f>
        <v>10</v>
      </c>
    </row>
    <row r="998" spans="1:22" x14ac:dyDescent="0.3">
      <c r="A998" s="12">
        <v>2</v>
      </c>
      <c r="B998" s="12" t="s">
        <v>151</v>
      </c>
      <c r="C998" s="12" t="s">
        <v>99</v>
      </c>
      <c r="D998" s="12" t="s">
        <v>1533</v>
      </c>
      <c r="E998" s="12">
        <v>7.5</v>
      </c>
      <c r="F998" s="12">
        <v>24</v>
      </c>
      <c r="G998" s="12">
        <f t="shared" ref="G998:G1006" si="119">SUM(E998:F998)</f>
        <v>31.5</v>
      </c>
      <c r="H998" s="12"/>
      <c r="I998" s="12"/>
      <c r="J998" s="12">
        <v>51</v>
      </c>
      <c r="K998" s="241">
        <f t="shared" ref="K998:K1006" si="120">SUM(G998:J998)</f>
        <v>82.5</v>
      </c>
      <c r="L998" t="str">
        <f t="shared" si="117"/>
        <v>A</v>
      </c>
      <c r="M998" t="str">
        <f t="shared" si="118"/>
        <v>Passed</v>
      </c>
      <c r="N998" t="s">
        <v>22</v>
      </c>
      <c r="O998">
        <f>O996-O997</f>
        <v>0</v>
      </c>
    </row>
    <row r="999" spans="1:22" x14ac:dyDescent="0.3">
      <c r="A999" s="12">
        <v>3</v>
      </c>
      <c r="B999" s="12" t="s">
        <v>157</v>
      </c>
      <c r="C999" s="12" t="s">
        <v>106</v>
      </c>
      <c r="D999" s="12" t="s">
        <v>1531</v>
      </c>
      <c r="E999" s="12">
        <v>10</v>
      </c>
      <c r="F999" s="12">
        <v>22</v>
      </c>
      <c r="G999" s="12">
        <f t="shared" si="119"/>
        <v>32</v>
      </c>
      <c r="H999" s="12"/>
      <c r="I999" s="12"/>
      <c r="J999" s="12">
        <v>40</v>
      </c>
      <c r="K999" s="12">
        <f t="shared" si="120"/>
        <v>72</v>
      </c>
      <c r="L999" t="str">
        <f t="shared" si="117"/>
        <v>B+</v>
      </c>
      <c r="M999" t="str">
        <f t="shared" si="118"/>
        <v>Passed</v>
      </c>
      <c r="N999" t="s">
        <v>23</v>
      </c>
      <c r="O999">
        <f>COUNTIF(M997:M1006,"Passed")</f>
        <v>9</v>
      </c>
    </row>
    <row r="1000" spans="1:22" x14ac:dyDescent="0.3">
      <c r="A1000" s="12">
        <v>4</v>
      </c>
      <c r="B1000" s="12" t="s">
        <v>158</v>
      </c>
      <c r="C1000" s="12" t="s">
        <v>107</v>
      </c>
      <c r="D1000" s="12" t="s">
        <v>1534</v>
      </c>
      <c r="E1000" s="12">
        <v>9</v>
      </c>
      <c r="F1000" s="12">
        <v>26</v>
      </c>
      <c r="G1000" s="12">
        <f t="shared" si="119"/>
        <v>35</v>
      </c>
      <c r="H1000" s="12"/>
      <c r="I1000" s="12"/>
      <c r="J1000" s="12">
        <v>41</v>
      </c>
      <c r="K1000" s="12">
        <f t="shared" si="120"/>
        <v>76</v>
      </c>
      <c r="L1000" t="str">
        <f t="shared" si="117"/>
        <v>B+</v>
      </c>
      <c r="M1000" t="str">
        <f t="shared" si="118"/>
        <v>Passed</v>
      </c>
      <c r="N1000" t="s">
        <v>24</v>
      </c>
      <c r="O1000" s="179">
        <f>O999/O997%</f>
        <v>90</v>
      </c>
    </row>
    <row r="1001" spans="1:22" x14ac:dyDescent="0.3">
      <c r="A1001" s="12">
        <v>5</v>
      </c>
      <c r="B1001" s="12" t="s">
        <v>159</v>
      </c>
      <c r="C1001" s="12" t="s">
        <v>108</v>
      </c>
      <c r="D1001" s="12" t="s">
        <v>1532</v>
      </c>
      <c r="E1001" s="12">
        <v>9</v>
      </c>
      <c r="F1001" s="12">
        <v>20</v>
      </c>
      <c r="G1001" s="12">
        <f t="shared" si="119"/>
        <v>29</v>
      </c>
      <c r="H1001" s="12"/>
      <c r="I1001" s="12"/>
      <c r="J1001" s="12">
        <v>53</v>
      </c>
      <c r="K1001" s="12">
        <f t="shared" si="120"/>
        <v>82</v>
      </c>
      <c r="L1001" t="str">
        <f t="shared" si="117"/>
        <v>A</v>
      </c>
      <c r="M1001" t="str">
        <f t="shared" si="118"/>
        <v>Passed</v>
      </c>
      <c r="N1001" t="s">
        <v>25</v>
      </c>
      <c r="O1001">
        <f>COUNTIF(M997:M1006,"failed")</f>
        <v>1</v>
      </c>
    </row>
    <row r="1002" spans="1:22" x14ac:dyDescent="0.3">
      <c r="A1002" s="12">
        <v>6</v>
      </c>
      <c r="B1002" s="12" t="s">
        <v>167</v>
      </c>
      <c r="C1002" s="12" t="s">
        <v>118</v>
      </c>
      <c r="D1002" s="12" t="s">
        <v>1536</v>
      </c>
      <c r="E1002" s="12">
        <v>8</v>
      </c>
      <c r="F1002" s="12">
        <v>25</v>
      </c>
      <c r="G1002" s="12">
        <f t="shared" si="119"/>
        <v>33</v>
      </c>
      <c r="H1002" s="12"/>
      <c r="I1002" s="12"/>
      <c r="J1002" s="12">
        <v>43</v>
      </c>
      <c r="K1002" s="12">
        <f t="shared" si="120"/>
        <v>76</v>
      </c>
      <c r="L1002" t="str">
        <f t="shared" si="117"/>
        <v>B+</v>
      </c>
      <c r="M1002" t="str">
        <f t="shared" si="118"/>
        <v>Passed</v>
      </c>
      <c r="N1002" t="s">
        <v>26</v>
      </c>
      <c r="O1002" s="179">
        <f>O1001/O997%</f>
        <v>10</v>
      </c>
    </row>
    <row r="1003" spans="1:22" x14ac:dyDescent="0.3">
      <c r="A1003" s="12">
        <v>7</v>
      </c>
      <c r="B1003" s="12" t="s">
        <v>171</v>
      </c>
      <c r="C1003" s="12" t="s">
        <v>125</v>
      </c>
      <c r="D1003" s="12" t="s">
        <v>1530</v>
      </c>
      <c r="E1003" s="12">
        <v>8</v>
      </c>
      <c r="F1003" s="12">
        <v>12</v>
      </c>
      <c r="G1003" s="12">
        <f t="shared" si="119"/>
        <v>20</v>
      </c>
      <c r="H1003" s="12"/>
      <c r="I1003" s="12"/>
      <c r="J1003" s="12">
        <v>20</v>
      </c>
      <c r="K1003" s="12">
        <f t="shared" si="120"/>
        <v>40</v>
      </c>
      <c r="L1003" t="str">
        <f t="shared" si="117"/>
        <v>D</v>
      </c>
      <c r="M1003" t="str">
        <f t="shared" si="118"/>
        <v>Failed</v>
      </c>
      <c r="N1003" t="s">
        <v>27</v>
      </c>
      <c r="O1003" s="179">
        <f>AVERAGE(K997:K1006)</f>
        <v>72.650000000000006</v>
      </c>
    </row>
    <row r="1004" spans="1:22" x14ac:dyDescent="0.3">
      <c r="A1004" s="12">
        <v>8</v>
      </c>
      <c r="B1004" s="12" t="s">
        <v>174</v>
      </c>
      <c r="C1004" s="12" t="s">
        <v>128</v>
      </c>
      <c r="D1004" s="12" t="s">
        <v>1537</v>
      </c>
      <c r="E1004" s="12">
        <v>8</v>
      </c>
      <c r="F1004" s="12">
        <v>22</v>
      </c>
      <c r="G1004" s="12">
        <f t="shared" si="119"/>
        <v>30</v>
      </c>
      <c r="H1004" s="12"/>
      <c r="I1004" s="12"/>
      <c r="J1004" s="12">
        <v>42</v>
      </c>
      <c r="K1004" s="12">
        <f t="shared" si="120"/>
        <v>72</v>
      </c>
      <c r="L1004" t="str">
        <f t="shared" si="117"/>
        <v>B+</v>
      </c>
      <c r="M1004" t="str">
        <f t="shared" si="118"/>
        <v>Passed</v>
      </c>
    </row>
    <row r="1005" spans="1:22" x14ac:dyDescent="0.3">
      <c r="A1005" s="50">
        <v>9</v>
      </c>
      <c r="B1005" s="12" t="s">
        <v>220</v>
      </c>
      <c r="C1005" s="12" t="s">
        <v>130</v>
      </c>
      <c r="D1005" s="12" t="s">
        <v>1529</v>
      </c>
      <c r="E1005" s="12">
        <v>8</v>
      </c>
      <c r="F1005" s="12">
        <v>27</v>
      </c>
      <c r="G1005" s="12">
        <f t="shared" si="119"/>
        <v>35</v>
      </c>
      <c r="H1005" s="12"/>
      <c r="I1005" s="12"/>
      <c r="J1005" s="12">
        <v>43</v>
      </c>
      <c r="K1005" s="12">
        <f t="shared" si="120"/>
        <v>78</v>
      </c>
      <c r="L1005" t="str">
        <f t="shared" si="117"/>
        <v>B+</v>
      </c>
      <c r="M1005" t="str">
        <f t="shared" si="118"/>
        <v>Passed</v>
      </c>
    </row>
    <row r="1006" spans="1:22" x14ac:dyDescent="0.3">
      <c r="A1006" s="12">
        <v>10</v>
      </c>
      <c r="B1006" s="12" t="s">
        <v>166</v>
      </c>
      <c r="C1006" s="12" t="s">
        <v>117</v>
      </c>
      <c r="D1006" s="12" t="s">
        <v>1538</v>
      </c>
      <c r="E1006" s="12">
        <v>10</v>
      </c>
      <c r="F1006" s="12">
        <v>19</v>
      </c>
      <c r="G1006" s="12">
        <f t="shared" si="119"/>
        <v>29</v>
      </c>
      <c r="H1006" s="12"/>
      <c r="I1006" s="12"/>
      <c r="J1006" s="12">
        <v>53</v>
      </c>
      <c r="K1006" s="12">
        <f t="shared" si="120"/>
        <v>82</v>
      </c>
      <c r="L1006" t="str">
        <f t="shared" ref="L1006" si="121">IF(K1006&gt;=80,"A",IF(K1006&gt;=70,"B+",IF(K1006&gt;=60,"B",IF(K1006&gt;=55,"C+",IF(K1006&gt;=50,"C",IF(K1006&gt;=45,"D+",IF(K1006&gt;=40,"D","F")))))))</f>
        <v>A</v>
      </c>
      <c r="M1006" t="str">
        <f t="shared" ref="M1006" si="122">IF(K1006&gt;=50,"Passed","Failed")</f>
        <v>Passed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 t="s">
        <v>33</v>
      </c>
      <c r="U1006" t="s">
        <v>34</v>
      </c>
      <c r="V1006" t="s">
        <v>35</v>
      </c>
    </row>
    <row r="1007" spans="1:22" x14ac:dyDescent="0.3">
      <c r="O1007">
        <f>COUNTIF(L997:L1006,"A")</f>
        <v>3</v>
      </c>
      <c r="P1007">
        <f>COUNTIF(L997:L1006,"B+")</f>
        <v>5</v>
      </c>
      <c r="Q1007">
        <f>COUNTIF(L997:L1006,"B")</f>
        <v>1</v>
      </c>
      <c r="R1007">
        <f>COUNTIF(L997:L1006,"C+")</f>
        <v>0</v>
      </c>
      <c r="S1007">
        <f>COUNTIF(L997:L1006,"C")</f>
        <v>0</v>
      </c>
      <c r="T1007">
        <f>COUNTIF(L997:L1006,"D+")</f>
        <v>0</v>
      </c>
      <c r="U1007">
        <f>COUNTIF(L997:L1006,"D")</f>
        <v>1</v>
      </c>
      <c r="V1007">
        <f>COUNTIF(L997:L1006,"F")</f>
        <v>0</v>
      </c>
    </row>
    <row r="1017" spans="1:15" x14ac:dyDescent="0.3">
      <c r="A1017" s="38" t="s">
        <v>0</v>
      </c>
      <c r="B1017" s="39"/>
      <c r="C1017" s="39"/>
      <c r="D1017" s="39"/>
      <c r="E1017" s="39"/>
      <c r="F1017" s="39"/>
      <c r="G1017" s="39"/>
      <c r="H1017" s="70"/>
      <c r="I1017" s="70"/>
      <c r="J1017" s="39"/>
      <c r="K1017" s="39"/>
      <c r="L1017" s="39"/>
    </row>
    <row r="1018" spans="1:15" x14ac:dyDescent="0.3">
      <c r="A1018" s="48" t="s">
        <v>66</v>
      </c>
      <c r="B1018" s="48"/>
      <c r="C1018" s="48"/>
      <c r="D1018" s="48"/>
      <c r="E1018" s="48"/>
      <c r="F1018" s="48"/>
      <c r="G1018" s="48"/>
      <c r="H1018" s="48"/>
      <c r="I1018" s="48"/>
      <c r="J1018" s="48"/>
      <c r="K1018" s="48"/>
      <c r="L1018" s="56"/>
    </row>
    <row r="1019" spans="1:15" x14ac:dyDescent="0.3">
      <c r="A1019" s="471" t="s">
        <v>362</v>
      </c>
      <c r="B1019" s="463"/>
      <c r="C1019" s="463"/>
      <c r="D1019" s="2"/>
      <c r="E1019" s="2"/>
      <c r="F1019" s="2"/>
      <c r="G1019" s="2"/>
      <c r="H1019" s="2"/>
      <c r="I1019" s="2"/>
      <c r="J1019" s="2"/>
      <c r="K1019" s="2"/>
      <c r="L1019" s="1"/>
      <c r="M1019" s="16"/>
      <c r="N1019" s="16"/>
      <c r="O1019" s="13"/>
    </row>
    <row r="1020" spans="1:15" x14ac:dyDescent="0.3">
      <c r="A1020" s="38" t="s">
        <v>1</v>
      </c>
      <c r="B1020" s="462" t="s">
        <v>198</v>
      </c>
      <c r="C1020" s="462"/>
      <c r="D1020" s="38"/>
      <c r="E1020" s="38"/>
      <c r="F1020" s="38"/>
      <c r="G1020" s="38"/>
      <c r="H1020" s="68"/>
      <c r="I1020" s="68"/>
      <c r="J1020" s="38"/>
      <c r="K1020" s="38"/>
      <c r="L1020" s="39"/>
    </row>
    <row r="1021" spans="1:15" x14ac:dyDescent="0.3">
      <c r="A1021" s="46" t="s">
        <v>3</v>
      </c>
      <c r="B1021" s="462" t="s">
        <v>189</v>
      </c>
      <c r="C1021" s="462"/>
      <c r="D1021" s="46"/>
      <c r="E1021" s="46"/>
      <c r="F1021" s="46"/>
      <c r="G1021" s="46"/>
      <c r="H1021" s="69"/>
      <c r="I1021" s="69"/>
      <c r="J1021" s="46"/>
      <c r="K1021" s="46"/>
      <c r="L1021" s="15"/>
    </row>
    <row r="1022" spans="1:15" x14ac:dyDescent="0.3">
      <c r="A1022" s="38" t="s">
        <v>4</v>
      </c>
      <c r="B1022" s="462" t="s">
        <v>190</v>
      </c>
      <c r="C1022" s="462"/>
      <c r="D1022" s="38"/>
      <c r="E1022" s="38"/>
      <c r="F1022" s="38"/>
      <c r="G1022" s="38"/>
      <c r="H1022" s="68"/>
      <c r="I1022" s="68"/>
      <c r="J1022" s="38"/>
      <c r="K1022" s="38"/>
      <c r="L1022" s="39"/>
    </row>
    <row r="1023" spans="1:15" x14ac:dyDescent="0.3">
      <c r="A1023" s="38" t="s">
        <v>5</v>
      </c>
      <c r="B1023" s="463">
        <v>3</v>
      </c>
      <c r="C1023" s="463"/>
      <c r="D1023" s="38"/>
      <c r="E1023" s="38"/>
      <c r="F1023" s="38"/>
      <c r="G1023" s="38"/>
      <c r="H1023" s="68"/>
      <c r="I1023" s="68"/>
      <c r="J1023" s="38"/>
      <c r="K1023" s="38"/>
      <c r="L1023" s="39"/>
    </row>
    <row r="1024" spans="1:15" x14ac:dyDescent="0.3">
      <c r="A1024" s="38" t="s">
        <v>6</v>
      </c>
      <c r="B1024" s="462" t="s">
        <v>1932</v>
      </c>
      <c r="C1024" s="462"/>
      <c r="D1024" s="38"/>
      <c r="E1024" s="38"/>
      <c r="F1024" s="38"/>
      <c r="G1024" s="38"/>
      <c r="H1024" s="68"/>
      <c r="I1024" s="68"/>
      <c r="J1024" s="38"/>
      <c r="K1024" s="38"/>
      <c r="L1024" s="39"/>
    </row>
    <row r="1025" spans="1:22" x14ac:dyDescent="0.3">
      <c r="A1025" s="38" t="s">
        <v>68</v>
      </c>
      <c r="B1025" s="465" t="s">
        <v>540</v>
      </c>
      <c r="C1025" s="465"/>
      <c r="D1025" s="38"/>
      <c r="E1025" s="38"/>
      <c r="F1025" s="38"/>
      <c r="G1025" s="38"/>
      <c r="H1025" s="68"/>
      <c r="I1025" s="68"/>
      <c r="J1025" s="38"/>
      <c r="K1025" s="38"/>
    </row>
    <row r="1026" spans="1:22" x14ac:dyDescent="0.3">
      <c r="A1026" s="44"/>
      <c r="B1026" s="14"/>
      <c r="C1026" s="14"/>
      <c r="D1026" s="14"/>
      <c r="E1026" s="14"/>
      <c r="F1026" s="14"/>
      <c r="G1026" s="14"/>
      <c r="H1026" s="14"/>
      <c r="I1026" s="14"/>
      <c r="J1026" s="14"/>
      <c r="K1026" s="14"/>
    </row>
    <row r="1027" spans="1:22" ht="60" x14ac:dyDescent="0.3">
      <c r="A1027" s="42" t="s">
        <v>8</v>
      </c>
      <c r="B1027" s="42" t="s">
        <v>9</v>
      </c>
      <c r="C1027" s="42" t="s">
        <v>10</v>
      </c>
      <c r="D1027" s="43" t="s">
        <v>11</v>
      </c>
      <c r="E1027" s="43" t="s">
        <v>12</v>
      </c>
      <c r="F1027" s="43" t="s">
        <v>13</v>
      </c>
      <c r="G1027" s="43" t="s">
        <v>14</v>
      </c>
      <c r="H1027" s="43" t="s">
        <v>208</v>
      </c>
      <c r="I1027" s="43" t="s">
        <v>209</v>
      </c>
      <c r="J1027" s="43" t="s">
        <v>15</v>
      </c>
      <c r="K1027" s="43" t="s">
        <v>16</v>
      </c>
      <c r="L1027" t="s">
        <v>17</v>
      </c>
      <c r="M1027" t="s">
        <v>18</v>
      </c>
      <c r="N1027" t="s">
        <v>19</v>
      </c>
    </row>
    <row r="1028" spans="1:22" x14ac:dyDescent="0.3">
      <c r="A1028" s="1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N1028" t="s">
        <v>20</v>
      </c>
      <c r="O1028">
        <f>COUNT(G1029:G1038)</f>
        <v>10</v>
      </c>
    </row>
    <row r="1029" spans="1:22" x14ac:dyDescent="0.3">
      <c r="A1029" s="12">
        <v>1</v>
      </c>
      <c r="B1029" s="12" t="s">
        <v>150</v>
      </c>
      <c r="C1029" s="12" t="s">
        <v>98</v>
      </c>
      <c r="D1029" s="12" t="s">
        <v>1364</v>
      </c>
      <c r="E1029" s="12">
        <v>10</v>
      </c>
      <c r="F1029" s="12">
        <v>24</v>
      </c>
      <c r="G1029" s="12">
        <f>SUM(E1029:F1029)</f>
        <v>34</v>
      </c>
      <c r="H1029" s="12"/>
      <c r="I1029" s="12"/>
      <c r="J1029" s="12">
        <v>27</v>
      </c>
      <c r="K1029" s="12">
        <f>SUM(G1029:J1029)</f>
        <v>61</v>
      </c>
      <c r="L1029" t="str">
        <f t="shared" ref="L1029:L1037" si="123">IF(K1029&gt;=80,"A",IF(K1029&gt;=70,"B+",IF(K1029&gt;=60,"B",IF(K1029&gt;=55,"C+",IF(K1029&gt;=50,"C",IF(K1029&gt;=45,"D+",IF(K1029&gt;=40,"D","F")))))))</f>
        <v>B</v>
      </c>
      <c r="M1029" t="str">
        <f t="shared" ref="M1029:M1037" si="124">IF(K1029&gt;=50,"Passed","Failed")</f>
        <v>Passed</v>
      </c>
      <c r="N1029" t="s">
        <v>21</v>
      </c>
      <c r="O1029">
        <f>COUNT(J1029:J1038)</f>
        <v>10</v>
      </c>
    </row>
    <row r="1030" spans="1:22" x14ac:dyDescent="0.3">
      <c r="A1030" s="12">
        <v>2</v>
      </c>
      <c r="B1030" s="12" t="s">
        <v>151</v>
      </c>
      <c r="C1030" s="12" t="s">
        <v>99</v>
      </c>
      <c r="D1030" s="12" t="s">
        <v>1362</v>
      </c>
      <c r="E1030" s="12">
        <v>7.5</v>
      </c>
      <c r="F1030" s="12">
        <v>24</v>
      </c>
      <c r="G1030" s="12">
        <f t="shared" ref="G1030:G1038" si="125">SUM(E1030:F1030)</f>
        <v>31.5</v>
      </c>
      <c r="H1030" s="12"/>
      <c r="I1030" s="12"/>
      <c r="J1030" s="12">
        <v>33</v>
      </c>
      <c r="K1030" s="12">
        <f t="shared" ref="K1030:K1038" si="126">SUM(G1030:J1030)</f>
        <v>64.5</v>
      </c>
      <c r="L1030" t="str">
        <f t="shared" si="123"/>
        <v>B</v>
      </c>
      <c r="M1030" t="str">
        <f t="shared" si="124"/>
        <v>Passed</v>
      </c>
      <c r="N1030" t="s">
        <v>22</v>
      </c>
      <c r="O1030">
        <f>O1028-O1029</f>
        <v>0</v>
      </c>
    </row>
    <row r="1031" spans="1:22" x14ac:dyDescent="0.3">
      <c r="A1031" s="12">
        <v>3</v>
      </c>
      <c r="B1031" s="12" t="s">
        <v>157</v>
      </c>
      <c r="C1031" s="12" t="s">
        <v>106</v>
      </c>
      <c r="D1031" s="12" t="s">
        <v>1363</v>
      </c>
      <c r="E1031" s="12">
        <v>10</v>
      </c>
      <c r="F1031" s="12">
        <v>20</v>
      </c>
      <c r="G1031" s="12">
        <f t="shared" si="125"/>
        <v>30</v>
      </c>
      <c r="H1031" s="12"/>
      <c r="I1031" s="12"/>
      <c r="J1031" s="12">
        <v>40</v>
      </c>
      <c r="K1031" s="12">
        <f t="shared" si="126"/>
        <v>70</v>
      </c>
      <c r="L1031" t="str">
        <f t="shared" si="123"/>
        <v>B+</v>
      </c>
      <c r="M1031" t="str">
        <f t="shared" si="124"/>
        <v>Passed</v>
      </c>
      <c r="N1031" t="s">
        <v>23</v>
      </c>
      <c r="O1031">
        <f>COUNTIF(M1029:M1038,"Passed")</f>
        <v>9</v>
      </c>
    </row>
    <row r="1032" spans="1:22" x14ac:dyDescent="0.3">
      <c r="A1032" s="12">
        <v>4</v>
      </c>
      <c r="B1032" s="12" t="s">
        <v>158</v>
      </c>
      <c r="C1032" s="12" t="s">
        <v>107</v>
      </c>
      <c r="D1032" s="12" t="s">
        <v>1370</v>
      </c>
      <c r="E1032" s="12">
        <v>10</v>
      </c>
      <c r="F1032" s="12">
        <v>25</v>
      </c>
      <c r="G1032" s="12">
        <f t="shared" si="125"/>
        <v>35</v>
      </c>
      <c r="H1032" s="12"/>
      <c r="I1032" s="12"/>
      <c r="J1032" s="12">
        <v>50</v>
      </c>
      <c r="K1032" s="12">
        <f t="shared" si="126"/>
        <v>85</v>
      </c>
      <c r="L1032" t="str">
        <f t="shared" ref="L1032" si="127">IF(K1032&gt;=80,"A",IF(K1032&gt;=70,"B+",IF(K1032&gt;=60,"B",IF(K1032&gt;=55,"C+",IF(K1032&gt;=50,"C",IF(K1032&gt;=45,"D+",IF(K1032&gt;=40,"D","F")))))))</f>
        <v>A</v>
      </c>
      <c r="M1032" t="str">
        <f t="shared" ref="M1032" si="128">IF(K1032&gt;=50,"Passed","Failed")</f>
        <v>Passed</v>
      </c>
      <c r="N1032" t="s">
        <v>24</v>
      </c>
      <c r="O1032">
        <f>O1031/O1029%</f>
        <v>90</v>
      </c>
    </row>
    <row r="1033" spans="1:22" x14ac:dyDescent="0.3">
      <c r="A1033" s="12">
        <v>5</v>
      </c>
      <c r="B1033" s="12" t="s">
        <v>159</v>
      </c>
      <c r="C1033" s="12" t="s">
        <v>108</v>
      </c>
      <c r="D1033" s="12" t="s">
        <v>1369</v>
      </c>
      <c r="E1033" s="12">
        <v>10</v>
      </c>
      <c r="F1033" s="12">
        <v>30</v>
      </c>
      <c r="G1033" s="12">
        <f t="shared" si="125"/>
        <v>40</v>
      </c>
      <c r="H1033" s="12"/>
      <c r="I1033" s="12"/>
      <c r="J1033" s="12">
        <v>48</v>
      </c>
      <c r="K1033" s="12">
        <f t="shared" si="126"/>
        <v>88</v>
      </c>
      <c r="L1033" t="str">
        <f t="shared" si="123"/>
        <v>A</v>
      </c>
      <c r="M1033" t="str">
        <f t="shared" si="124"/>
        <v>Passed</v>
      </c>
      <c r="N1033" t="s">
        <v>25</v>
      </c>
      <c r="O1033">
        <f>COUNTIF(M1029:M1038,"failed")</f>
        <v>1</v>
      </c>
    </row>
    <row r="1034" spans="1:22" x14ac:dyDescent="0.3">
      <c r="A1034" s="12">
        <v>6</v>
      </c>
      <c r="B1034" s="12" t="s">
        <v>167</v>
      </c>
      <c r="C1034" s="12" t="s">
        <v>118</v>
      </c>
      <c r="D1034" s="12" t="s">
        <v>1367</v>
      </c>
      <c r="E1034" s="12">
        <v>10</v>
      </c>
      <c r="F1034" s="12">
        <v>20</v>
      </c>
      <c r="G1034" s="12">
        <f t="shared" si="125"/>
        <v>30</v>
      </c>
      <c r="H1034" s="12"/>
      <c r="I1034" s="12"/>
      <c r="J1034" s="12">
        <v>33</v>
      </c>
      <c r="K1034" s="12">
        <f t="shared" si="126"/>
        <v>63</v>
      </c>
      <c r="L1034" t="str">
        <f t="shared" si="123"/>
        <v>B</v>
      </c>
      <c r="M1034" t="str">
        <f t="shared" si="124"/>
        <v>Passed</v>
      </c>
      <c r="N1034" t="s">
        <v>26</v>
      </c>
      <c r="O1034">
        <f>O1033/O1029%</f>
        <v>10</v>
      </c>
    </row>
    <row r="1035" spans="1:22" x14ac:dyDescent="0.3">
      <c r="A1035" s="12">
        <v>7</v>
      </c>
      <c r="B1035" s="12" t="s">
        <v>171</v>
      </c>
      <c r="C1035" s="12" t="s">
        <v>125</v>
      </c>
      <c r="D1035" s="12" t="s">
        <v>1365</v>
      </c>
      <c r="E1035" s="12">
        <v>8</v>
      </c>
      <c r="F1035" s="12">
        <v>9</v>
      </c>
      <c r="G1035" s="12">
        <f t="shared" si="125"/>
        <v>17</v>
      </c>
      <c r="H1035" s="12"/>
      <c r="I1035" s="12"/>
      <c r="J1035" s="12">
        <v>11</v>
      </c>
      <c r="K1035" s="12">
        <f t="shared" si="126"/>
        <v>28</v>
      </c>
      <c r="L1035" t="str">
        <f t="shared" si="123"/>
        <v>F</v>
      </c>
      <c r="M1035" t="str">
        <f t="shared" si="124"/>
        <v>Failed</v>
      </c>
      <c r="N1035" t="s">
        <v>27</v>
      </c>
      <c r="O1035" s="179">
        <f>AVERAGE(K1029:K1038)</f>
        <v>68.349999999999994</v>
      </c>
    </row>
    <row r="1036" spans="1:22" x14ac:dyDescent="0.3">
      <c r="A1036" s="12">
        <v>8</v>
      </c>
      <c r="B1036" s="12" t="s">
        <v>174</v>
      </c>
      <c r="C1036" s="12" t="s">
        <v>128</v>
      </c>
      <c r="D1036" s="12" t="s">
        <v>1368</v>
      </c>
      <c r="E1036" s="12">
        <v>9</v>
      </c>
      <c r="F1036" s="12">
        <v>20</v>
      </c>
      <c r="G1036" s="12">
        <f t="shared" si="125"/>
        <v>29</v>
      </c>
      <c r="H1036" s="12"/>
      <c r="I1036" s="12"/>
      <c r="J1036" s="12">
        <v>38</v>
      </c>
      <c r="K1036" s="12">
        <f t="shared" si="126"/>
        <v>67</v>
      </c>
      <c r="L1036" t="str">
        <f t="shared" si="123"/>
        <v>B</v>
      </c>
      <c r="M1036" t="str">
        <f t="shared" si="124"/>
        <v>Passed</v>
      </c>
    </row>
    <row r="1037" spans="1:22" x14ac:dyDescent="0.3">
      <c r="A1037" s="12">
        <v>9</v>
      </c>
      <c r="B1037" s="12" t="s">
        <v>220</v>
      </c>
      <c r="C1037" s="12" t="s">
        <v>130</v>
      </c>
      <c r="D1037" s="12" t="s">
        <v>1361</v>
      </c>
      <c r="E1037" s="12">
        <v>8</v>
      </c>
      <c r="F1037" s="12">
        <v>22</v>
      </c>
      <c r="G1037" s="12">
        <f t="shared" si="125"/>
        <v>30</v>
      </c>
      <c r="H1037" s="12"/>
      <c r="I1037" s="12"/>
      <c r="J1037" s="12">
        <v>38</v>
      </c>
      <c r="K1037" s="12">
        <f t="shared" si="126"/>
        <v>68</v>
      </c>
      <c r="L1037" t="str">
        <f t="shared" si="123"/>
        <v>B</v>
      </c>
      <c r="M1037" t="str">
        <f t="shared" si="124"/>
        <v>Passed</v>
      </c>
    </row>
    <row r="1038" spans="1:22" x14ac:dyDescent="0.3">
      <c r="A1038" s="50">
        <v>10</v>
      </c>
      <c r="B1038" s="12" t="s">
        <v>166</v>
      </c>
      <c r="C1038" s="12" t="s">
        <v>117</v>
      </c>
      <c r="D1038" s="12" t="s">
        <v>1366</v>
      </c>
      <c r="E1038" s="12">
        <v>10</v>
      </c>
      <c r="F1038" s="12">
        <v>29</v>
      </c>
      <c r="G1038" s="12">
        <f t="shared" si="125"/>
        <v>39</v>
      </c>
      <c r="H1038" s="12"/>
      <c r="I1038" s="12"/>
      <c r="J1038" s="12">
        <v>50</v>
      </c>
      <c r="K1038" s="12">
        <f t="shared" si="126"/>
        <v>89</v>
      </c>
      <c r="L1038" t="str">
        <f t="shared" ref="L1038" si="129">IF(K1038&gt;=80,"A",IF(K1038&gt;=70,"B+",IF(K1038&gt;=60,"B",IF(K1038&gt;=55,"C+",IF(K1038&gt;=50,"C",IF(K1038&gt;=45,"D+",IF(K1038&gt;=40,"D","F")))))))</f>
        <v>A</v>
      </c>
      <c r="M1038" t="str">
        <f t="shared" ref="M1038" si="130">IF(K1038&gt;=50,"Passed","Failed")</f>
        <v>Passed</v>
      </c>
    </row>
    <row r="1039" spans="1:22" x14ac:dyDescent="0.3"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 t="s">
        <v>33</v>
      </c>
      <c r="U1039" t="s">
        <v>34</v>
      </c>
      <c r="V1039" t="s">
        <v>35</v>
      </c>
    </row>
    <row r="1040" spans="1:22" x14ac:dyDescent="0.3">
      <c r="O1040">
        <f>COUNTIF(L1029:L1038,"A")</f>
        <v>3</v>
      </c>
      <c r="P1040">
        <f>COUNTIF(L1029:L1038,"B+")</f>
        <v>1</v>
      </c>
      <c r="Q1040">
        <f>COUNTIF(L1029:L1038,"B")</f>
        <v>5</v>
      </c>
      <c r="R1040">
        <f>COUNTIF(L1029:L1038,"C+")</f>
        <v>0</v>
      </c>
      <c r="S1040">
        <f>COUNTIF(L1029:L1038,"C")</f>
        <v>0</v>
      </c>
      <c r="T1040">
        <f>COUNTIF(L1029:L1038,"D+")</f>
        <v>0</v>
      </c>
      <c r="U1040">
        <f>COUNTIF(L1029:L1038,"D")</f>
        <v>0</v>
      </c>
      <c r="V1040">
        <f>COUNTIF(L1029:L1038,"F")</f>
        <v>1</v>
      </c>
    </row>
    <row r="1052" spans="1:15" x14ac:dyDescent="0.3">
      <c r="A1052" s="38" t="s">
        <v>0</v>
      </c>
      <c r="B1052" s="39"/>
      <c r="C1052" s="39"/>
      <c r="D1052" s="39"/>
      <c r="E1052" s="39"/>
      <c r="F1052" s="39"/>
      <c r="G1052" s="39"/>
      <c r="H1052" s="70"/>
      <c r="I1052" s="70"/>
      <c r="J1052" s="39"/>
      <c r="K1052" s="39"/>
      <c r="L1052" s="39"/>
    </row>
    <row r="1053" spans="1:15" x14ac:dyDescent="0.3">
      <c r="A1053" s="48" t="s">
        <v>66</v>
      </c>
      <c r="B1053" s="48"/>
      <c r="C1053" s="48"/>
      <c r="D1053" s="48"/>
      <c r="E1053" s="48"/>
      <c r="F1053" s="48"/>
      <c r="G1053" s="48"/>
      <c r="H1053" s="48"/>
      <c r="I1053" s="48"/>
      <c r="J1053" s="48"/>
      <c r="K1053" s="48"/>
      <c r="L1053" s="56"/>
    </row>
    <row r="1054" spans="1:15" x14ac:dyDescent="0.3">
      <c r="A1054" s="471" t="s">
        <v>362</v>
      </c>
      <c r="B1054" s="463"/>
      <c r="C1054" s="463"/>
      <c r="D1054" s="2"/>
      <c r="E1054" s="2"/>
      <c r="F1054" s="2"/>
      <c r="G1054" s="2"/>
      <c r="H1054" s="2"/>
      <c r="I1054" s="2"/>
      <c r="J1054" s="2"/>
      <c r="K1054" s="2"/>
      <c r="L1054" s="1"/>
      <c r="M1054" s="16"/>
      <c r="N1054" s="16"/>
      <c r="O1054" s="13"/>
    </row>
    <row r="1055" spans="1:15" x14ac:dyDescent="0.3">
      <c r="A1055" s="38" t="s">
        <v>1</v>
      </c>
      <c r="B1055" s="462" t="s">
        <v>199</v>
      </c>
      <c r="C1055" s="462"/>
      <c r="D1055" s="38"/>
      <c r="E1055" s="38"/>
      <c r="F1055" s="38"/>
      <c r="G1055" s="38"/>
      <c r="H1055" s="68"/>
      <c r="I1055" s="68"/>
      <c r="J1055" s="38"/>
      <c r="K1055" s="38"/>
      <c r="L1055" s="39"/>
    </row>
    <row r="1056" spans="1:15" x14ac:dyDescent="0.3">
      <c r="A1056" s="46" t="s">
        <v>3</v>
      </c>
      <c r="B1056" s="462" t="s">
        <v>191</v>
      </c>
      <c r="C1056" s="462"/>
      <c r="D1056" s="46"/>
      <c r="E1056" s="46"/>
      <c r="F1056" s="46"/>
      <c r="G1056" s="46"/>
      <c r="H1056" s="69"/>
      <c r="I1056" s="69"/>
      <c r="J1056" s="46"/>
      <c r="K1056" s="46"/>
      <c r="L1056" s="15"/>
    </row>
    <row r="1057" spans="1:15" x14ac:dyDescent="0.3">
      <c r="A1057" s="38" t="s">
        <v>4</v>
      </c>
      <c r="B1057" s="462" t="s">
        <v>192</v>
      </c>
      <c r="C1057" s="462"/>
      <c r="D1057" s="38"/>
      <c r="E1057" s="38"/>
      <c r="F1057" s="38"/>
      <c r="G1057" s="38"/>
      <c r="H1057" s="68"/>
      <c r="I1057" s="68"/>
      <c r="J1057" s="38"/>
      <c r="K1057" s="38"/>
      <c r="L1057" s="39"/>
    </row>
    <row r="1058" spans="1:15" x14ac:dyDescent="0.3">
      <c r="A1058" s="38" t="s">
        <v>5</v>
      </c>
      <c r="B1058" s="463">
        <v>3</v>
      </c>
      <c r="C1058" s="463"/>
      <c r="D1058" s="38"/>
      <c r="E1058" s="38"/>
      <c r="F1058" s="38"/>
      <c r="G1058" s="38"/>
      <c r="H1058" s="68"/>
      <c r="I1058" s="68"/>
      <c r="J1058" s="38"/>
      <c r="K1058" s="38"/>
      <c r="L1058" s="39"/>
    </row>
    <row r="1059" spans="1:15" x14ac:dyDescent="0.3">
      <c r="A1059" s="38" t="s">
        <v>6</v>
      </c>
      <c r="B1059" s="462" t="s">
        <v>1929</v>
      </c>
      <c r="C1059" s="462"/>
      <c r="D1059" s="38"/>
      <c r="E1059" s="38"/>
      <c r="F1059" s="38"/>
      <c r="G1059" s="38"/>
      <c r="H1059" s="68"/>
      <c r="I1059" s="68"/>
      <c r="J1059" s="38"/>
      <c r="K1059" s="38"/>
      <c r="L1059" s="39"/>
    </row>
    <row r="1060" spans="1:15" x14ac:dyDescent="0.3">
      <c r="A1060" s="38" t="s">
        <v>68</v>
      </c>
      <c r="B1060" s="465"/>
      <c r="C1060" s="465"/>
      <c r="D1060" s="38"/>
      <c r="E1060" s="38"/>
      <c r="F1060" s="38"/>
      <c r="G1060" s="38"/>
      <c r="H1060" s="68"/>
      <c r="I1060" s="68"/>
      <c r="J1060" s="38"/>
      <c r="K1060" s="38"/>
    </row>
    <row r="1061" spans="1:15" x14ac:dyDescent="0.3">
      <c r="A1061" s="44"/>
      <c r="B1061" s="14"/>
      <c r="C1061" s="14"/>
      <c r="D1061" s="14"/>
      <c r="E1061" s="14"/>
      <c r="F1061" s="14"/>
      <c r="G1061" s="14"/>
      <c r="H1061" s="14"/>
      <c r="I1061" s="14"/>
      <c r="J1061" s="14"/>
      <c r="K1061" s="14"/>
    </row>
    <row r="1062" spans="1:15" ht="60" x14ac:dyDescent="0.3">
      <c r="A1062" s="42" t="s">
        <v>8</v>
      </c>
      <c r="B1062" s="42" t="s">
        <v>9</v>
      </c>
      <c r="C1062" s="42" t="s">
        <v>10</v>
      </c>
      <c r="D1062" s="43" t="s">
        <v>11</v>
      </c>
      <c r="E1062" s="43" t="s">
        <v>12</v>
      </c>
      <c r="F1062" s="43" t="s">
        <v>13</v>
      </c>
      <c r="G1062" s="43" t="s">
        <v>14</v>
      </c>
      <c r="H1062" s="43" t="s">
        <v>208</v>
      </c>
      <c r="I1062" s="43" t="s">
        <v>209</v>
      </c>
      <c r="J1062" s="43" t="s">
        <v>15</v>
      </c>
      <c r="K1062" s="43" t="s">
        <v>16</v>
      </c>
      <c r="L1062" s="14" t="s">
        <v>17</v>
      </c>
      <c r="M1062" s="14" t="s">
        <v>18</v>
      </c>
      <c r="N1062" s="14" t="s">
        <v>19</v>
      </c>
    </row>
    <row r="1063" spans="1:15" x14ac:dyDescent="0.3">
      <c r="A1063" s="12"/>
      <c r="B1063" s="42"/>
      <c r="C1063" s="42"/>
      <c r="D1063" s="42"/>
      <c r="E1063" s="42"/>
      <c r="F1063" s="42"/>
      <c r="G1063" s="42"/>
      <c r="H1063" s="42"/>
      <c r="I1063" s="42"/>
      <c r="J1063" s="42"/>
      <c r="K1063" s="42"/>
      <c r="N1063" t="s">
        <v>20</v>
      </c>
      <c r="O1063">
        <f>COUNT(G1064:G1073)</f>
        <v>10</v>
      </c>
    </row>
    <row r="1064" spans="1:15" x14ac:dyDescent="0.3">
      <c r="A1064" s="12">
        <v>1</v>
      </c>
      <c r="B1064" s="12" t="s">
        <v>150</v>
      </c>
      <c r="C1064" s="12" t="s">
        <v>98</v>
      </c>
      <c r="D1064" s="12" t="s">
        <v>1215</v>
      </c>
      <c r="E1064" s="12">
        <v>10</v>
      </c>
      <c r="F1064" s="12">
        <v>18</v>
      </c>
      <c r="G1064" s="12">
        <f>SUM(E1064:F1064)</f>
        <v>28</v>
      </c>
      <c r="H1064" s="12"/>
      <c r="I1064" s="12"/>
      <c r="J1064" s="12">
        <v>23</v>
      </c>
      <c r="K1064" s="12">
        <f>SUM(G1064:J1064)</f>
        <v>51</v>
      </c>
      <c r="L1064" t="str">
        <f t="shared" ref="L1064:L1072" si="131">IF(K1064&gt;=80,"A",IF(K1064&gt;=70,"B+",IF(K1064&gt;=60,"B",IF(K1064&gt;=55,"C+",IF(K1064&gt;=50,"C",IF(K1064&gt;=45,"D+",IF(K1064&gt;=40,"D","F")))))))</f>
        <v>C</v>
      </c>
      <c r="M1064" t="str">
        <f t="shared" ref="M1064:M1072" si="132">IF(K1064&gt;=50,"Passed","Failed")</f>
        <v>Passed</v>
      </c>
      <c r="N1064" t="s">
        <v>21</v>
      </c>
      <c r="O1064">
        <f>COUNT(J1064:J1073)</f>
        <v>10</v>
      </c>
    </row>
    <row r="1065" spans="1:15" x14ac:dyDescent="0.3">
      <c r="A1065" s="12">
        <v>2</v>
      </c>
      <c r="B1065" s="12" t="s">
        <v>151</v>
      </c>
      <c r="C1065" s="12" t="s">
        <v>99</v>
      </c>
      <c r="D1065" s="12" t="s">
        <v>1217</v>
      </c>
      <c r="E1065" s="12">
        <v>7.5</v>
      </c>
      <c r="F1065" s="12">
        <v>11</v>
      </c>
      <c r="G1065" s="12">
        <f t="shared" ref="G1065:G1073" si="133">SUM(E1065:F1065)</f>
        <v>18.5</v>
      </c>
      <c r="H1065" s="12"/>
      <c r="I1065" s="12"/>
      <c r="J1065" s="12">
        <v>33</v>
      </c>
      <c r="K1065" s="241">
        <f t="shared" ref="K1065:K1073" si="134">SUM(G1065:J1065)</f>
        <v>51.5</v>
      </c>
      <c r="L1065" t="str">
        <f t="shared" si="131"/>
        <v>C</v>
      </c>
      <c r="M1065" t="str">
        <f t="shared" si="132"/>
        <v>Passed</v>
      </c>
      <c r="N1065" t="s">
        <v>22</v>
      </c>
      <c r="O1065">
        <f>O1063-O1064</f>
        <v>0</v>
      </c>
    </row>
    <row r="1066" spans="1:15" x14ac:dyDescent="0.3">
      <c r="A1066" s="12">
        <v>3</v>
      </c>
      <c r="B1066" s="12" t="s">
        <v>157</v>
      </c>
      <c r="C1066" s="12" t="s">
        <v>106</v>
      </c>
      <c r="D1066" s="12" t="s">
        <v>1214</v>
      </c>
      <c r="E1066" s="12">
        <v>10</v>
      </c>
      <c r="F1066" s="12">
        <v>17</v>
      </c>
      <c r="G1066" s="12">
        <f t="shared" si="133"/>
        <v>27</v>
      </c>
      <c r="H1066" s="12"/>
      <c r="I1066" s="12"/>
      <c r="J1066" s="12">
        <v>33</v>
      </c>
      <c r="K1066" s="12">
        <f t="shared" si="134"/>
        <v>60</v>
      </c>
      <c r="L1066" t="str">
        <f t="shared" si="131"/>
        <v>B</v>
      </c>
      <c r="M1066" t="str">
        <f t="shared" si="132"/>
        <v>Passed</v>
      </c>
      <c r="N1066" t="s">
        <v>23</v>
      </c>
      <c r="O1066">
        <f>COUNTIF(M1064:M1073,"Passed")</f>
        <v>9</v>
      </c>
    </row>
    <row r="1067" spans="1:15" x14ac:dyDescent="0.3">
      <c r="A1067" s="12">
        <v>4</v>
      </c>
      <c r="B1067" s="12" t="s">
        <v>158</v>
      </c>
      <c r="C1067" s="12" t="s">
        <v>107</v>
      </c>
      <c r="D1067" s="12" t="s">
        <v>1210</v>
      </c>
      <c r="E1067" s="12">
        <v>10</v>
      </c>
      <c r="F1067" s="12">
        <v>19</v>
      </c>
      <c r="G1067" s="12">
        <f t="shared" si="133"/>
        <v>29</v>
      </c>
      <c r="H1067" s="12"/>
      <c r="I1067" s="12"/>
      <c r="J1067" s="12">
        <v>24</v>
      </c>
      <c r="K1067" s="12">
        <f t="shared" si="134"/>
        <v>53</v>
      </c>
      <c r="L1067" t="str">
        <f t="shared" si="131"/>
        <v>C</v>
      </c>
      <c r="M1067" t="str">
        <f t="shared" si="132"/>
        <v>Passed</v>
      </c>
      <c r="N1067" t="s">
        <v>24</v>
      </c>
      <c r="O1067" s="179">
        <f>O1066/O1064%</f>
        <v>90</v>
      </c>
    </row>
    <row r="1068" spans="1:15" x14ac:dyDescent="0.3">
      <c r="A1068" s="12">
        <v>5</v>
      </c>
      <c r="B1068" s="12" t="s">
        <v>159</v>
      </c>
      <c r="C1068" s="12" t="s">
        <v>108</v>
      </c>
      <c r="D1068" s="12" t="s">
        <v>1209</v>
      </c>
      <c r="E1068" s="12">
        <v>9</v>
      </c>
      <c r="F1068" s="12">
        <v>14</v>
      </c>
      <c r="G1068" s="12">
        <f t="shared" si="133"/>
        <v>23</v>
      </c>
      <c r="H1068" s="12"/>
      <c r="I1068" s="12"/>
      <c r="J1068" s="12">
        <v>46</v>
      </c>
      <c r="K1068" s="12">
        <f t="shared" si="134"/>
        <v>69</v>
      </c>
      <c r="L1068" t="str">
        <f t="shared" si="131"/>
        <v>B</v>
      </c>
      <c r="M1068" t="str">
        <f t="shared" si="132"/>
        <v>Passed</v>
      </c>
      <c r="N1068" t="s">
        <v>25</v>
      </c>
      <c r="O1068">
        <f>COUNTIF(M1064:M1073,"failed")</f>
        <v>1</v>
      </c>
    </row>
    <row r="1069" spans="1:15" x14ac:dyDescent="0.3">
      <c r="A1069" s="12">
        <v>6</v>
      </c>
      <c r="B1069" s="12" t="s">
        <v>167</v>
      </c>
      <c r="C1069" s="12" t="s">
        <v>118</v>
      </c>
      <c r="D1069" s="12" t="s">
        <v>1211</v>
      </c>
      <c r="E1069" s="12">
        <v>9</v>
      </c>
      <c r="F1069" s="12">
        <v>6</v>
      </c>
      <c r="G1069" s="12">
        <f t="shared" si="133"/>
        <v>15</v>
      </c>
      <c r="H1069" s="12"/>
      <c r="I1069" s="12"/>
      <c r="J1069" s="12">
        <v>35</v>
      </c>
      <c r="K1069" s="12">
        <f t="shared" si="134"/>
        <v>50</v>
      </c>
      <c r="L1069" t="str">
        <f t="shared" si="131"/>
        <v>C</v>
      </c>
      <c r="M1069" t="str">
        <f t="shared" si="132"/>
        <v>Passed</v>
      </c>
      <c r="N1069" t="s">
        <v>26</v>
      </c>
      <c r="O1069" s="179">
        <f>O1068/O1064%</f>
        <v>10</v>
      </c>
    </row>
    <row r="1070" spans="1:15" x14ac:dyDescent="0.3">
      <c r="A1070" s="12">
        <v>7</v>
      </c>
      <c r="B1070" s="12" t="s">
        <v>171</v>
      </c>
      <c r="C1070" s="12" t="s">
        <v>125</v>
      </c>
      <c r="D1070" s="12" t="s">
        <v>1216</v>
      </c>
      <c r="E1070" s="12">
        <v>9</v>
      </c>
      <c r="F1070" s="12">
        <v>9</v>
      </c>
      <c r="G1070" s="12">
        <f t="shared" si="133"/>
        <v>18</v>
      </c>
      <c r="H1070" s="12"/>
      <c r="I1070" s="12"/>
      <c r="J1070" s="12">
        <v>18</v>
      </c>
      <c r="K1070" s="12">
        <f t="shared" si="134"/>
        <v>36</v>
      </c>
      <c r="L1070" t="str">
        <f t="shared" si="131"/>
        <v>F</v>
      </c>
      <c r="M1070" t="str">
        <f t="shared" si="132"/>
        <v>Failed</v>
      </c>
      <c r="N1070" t="s">
        <v>27</v>
      </c>
      <c r="O1070" s="179">
        <f>AVERAGE(K1064:K1073)</f>
        <v>57.55</v>
      </c>
    </row>
    <row r="1071" spans="1:15" x14ac:dyDescent="0.3">
      <c r="A1071" s="12">
        <v>8</v>
      </c>
      <c r="B1071" s="12" t="s">
        <v>174</v>
      </c>
      <c r="C1071" s="12" t="s">
        <v>128</v>
      </c>
      <c r="D1071" s="12" t="s">
        <v>1212</v>
      </c>
      <c r="E1071" s="12">
        <v>9</v>
      </c>
      <c r="F1071" s="12">
        <v>17</v>
      </c>
      <c r="G1071" s="12">
        <f t="shared" si="133"/>
        <v>26</v>
      </c>
      <c r="H1071" s="12"/>
      <c r="I1071" s="12"/>
      <c r="J1071" s="12">
        <v>37</v>
      </c>
      <c r="K1071" s="12">
        <f t="shared" si="134"/>
        <v>63</v>
      </c>
      <c r="L1071" t="str">
        <f t="shared" si="131"/>
        <v>B</v>
      </c>
      <c r="M1071" t="str">
        <f t="shared" si="132"/>
        <v>Passed</v>
      </c>
    </row>
    <row r="1072" spans="1:15" x14ac:dyDescent="0.3">
      <c r="A1072" s="12">
        <v>9</v>
      </c>
      <c r="B1072" s="12" t="s">
        <v>220</v>
      </c>
      <c r="C1072" s="12" t="s">
        <v>130</v>
      </c>
      <c r="D1072" s="12" t="s">
        <v>1208</v>
      </c>
      <c r="E1072" s="12">
        <v>9</v>
      </c>
      <c r="F1072" s="12">
        <v>18</v>
      </c>
      <c r="G1072" s="12">
        <f t="shared" si="133"/>
        <v>27</v>
      </c>
      <c r="H1072" s="12"/>
      <c r="I1072" s="12"/>
      <c r="J1072" s="12">
        <v>41</v>
      </c>
      <c r="K1072" s="12">
        <f t="shared" si="134"/>
        <v>68</v>
      </c>
      <c r="L1072" t="str">
        <f t="shared" si="131"/>
        <v>B</v>
      </c>
      <c r="M1072" t="str">
        <f t="shared" si="132"/>
        <v>Passed</v>
      </c>
    </row>
    <row r="1073" spans="1:22" x14ac:dyDescent="0.3">
      <c r="A1073" s="50">
        <v>10</v>
      </c>
      <c r="B1073" s="12" t="s">
        <v>166</v>
      </c>
      <c r="C1073" s="12" t="s">
        <v>117</v>
      </c>
      <c r="D1073" s="12" t="s">
        <v>1213</v>
      </c>
      <c r="E1073" s="12">
        <v>10</v>
      </c>
      <c r="F1073" s="12">
        <v>23</v>
      </c>
      <c r="G1073" s="12">
        <f t="shared" si="133"/>
        <v>33</v>
      </c>
      <c r="H1073" s="12"/>
      <c r="I1073" s="12"/>
      <c r="J1073" s="12">
        <v>41</v>
      </c>
      <c r="K1073" s="12">
        <f t="shared" si="134"/>
        <v>74</v>
      </c>
      <c r="L1073" t="str">
        <f t="shared" ref="L1073" si="135">IF(K1073&gt;=80,"A",IF(K1073&gt;=70,"B+",IF(K1073&gt;=60,"B",IF(K1073&gt;=55,"C+",IF(K1073&gt;=50,"C",IF(K1073&gt;=45,"D+",IF(K1073&gt;=40,"D","F")))))))</f>
        <v>B+</v>
      </c>
      <c r="M1073" t="str">
        <f t="shared" ref="M1073" si="136">IF(K1073&gt;=50,"Passed","Failed")</f>
        <v>Passed</v>
      </c>
      <c r="O1073" t="s">
        <v>28</v>
      </c>
      <c r="P1073" t="s">
        <v>29</v>
      </c>
      <c r="Q1073" t="s">
        <v>30</v>
      </c>
      <c r="R1073" t="s">
        <v>31</v>
      </c>
      <c r="S1073" t="s">
        <v>32</v>
      </c>
      <c r="T1073" t="s">
        <v>33</v>
      </c>
      <c r="U1073" t="s">
        <v>34</v>
      </c>
      <c r="V1073" t="s">
        <v>35</v>
      </c>
    </row>
    <row r="1074" spans="1:22" x14ac:dyDescent="0.3">
      <c r="O1074">
        <f>COUNTIF(L1064:L1073,"A")</f>
        <v>0</v>
      </c>
      <c r="P1074">
        <f>COUNTIF(L1064:L1073,"B+")</f>
        <v>1</v>
      </c>
      <c r="Q1074">
        <f>COUNTIF(L1064:L1073,"B")</f>
        <v>4</v>
      </c>
      <c r="R1074">
        <f>COUNTIF(L1064:L1073,"C+")</f>
        <v>0</v>
      </c>
      <c r="S1074">
        <f>COUNTIF(L1064:L1073,"C")</f>
        <v>4</v>
      </c>
      <c r="T1074">
        <f>COUNTIF(L1064:L1073,"D+")</f>
        <v>0</v>
      </c>
      <c r="U1074">
        <f>COUNTIF(L1064:L1073,"D")</f>
        <v>0</v>
      </c>
      <c r="V1074">
        <f>COUNTIF(L1064:L1073,"F")</f>
        <v>1</v>
      </c>
    </row>
    <row r="1087" spans="1:22" x14ac:dyDescent="0.3">
      <c r="A1087" s="38" t="s">
        <v>0</v>
      </c>
      <c r="B1087" s="39"/>
      <c r="C1087" s="39"/>
      <c r="D1087" s="39"/>
      <c r="E1087" s="39"/>
      <c r="F1087" s="39"/>
      <c r="G1087" s="39"/>
      <c r="H1087" s="70"/>
      <c r="I1087" s="70"/>
      <c r="J1087" s="39"/>
      <c r="K1087" s="39"/>
      <c r="L1087" s="39"/>
    </row>
    <row r="1088" spans="1:22" x14ac:dyDescent="0.3">
      <c r="A1088" s="48" t="s">
        <v>66</v>
      </c>
      <c r="B1088" s="48"/>
      <c r="C1088" s="48"/>
      <c r="D1088" s="48"/>
      <c r="E1088" s="48"/>
      <c r="F1088" s="48"/>
      <c r="G1088" s="48"/>
      <c r="H1088" s="48"/>
      <c r="I1088" s="48"/>
      <c r="J1088" s="48"/>
      <c r="K1088" s="48"/>
      <c r="L1088" s="56"/>
    </row>
    <row r="1089" spans="1:15" x14ac:dyDescent="0.3">
      <c r="A1089" s="471" t="s">
        <v>362</v>
      </c>
      <c r="B1089" s="463"/>
      <c r="C1089" s="463"/>
      <c r="D1089" s="2"/>
      <c r="E1089" s="2"/>
      <c r="F1089" s="2"/>
      <c r="G1089" s="2"/>
      <c r="H1089" s="2"/>
      <c r="I1089" s="2"/>
      <c r="J1089" s="2"/>
      <c r="K1089" s="2"/>
      <c r="L1089" s="1"/>
      <c r="M1089" s="16"/>
      <c r="N1089" s="16"/>
      <c r="O1089" s="13"/>
    </row>
    <row r="1090" spans="1:15" x14ac:dyDescent="0.3">
      <c r="A1090" s="38" t="s">
        <v>1</v>
      </c>
      <c r="B1090" s="462" t="s">
        <v>46</v>
      </c>
      <c r="C1090" s="462"/>
      <c r="D1090" s="38"/>
      <c r="E1090" s="38"/>
      <c r="F1090" s="38"/>
      <c r="G1090" s="38"/>
      <c r="H1090" s="68"/>
      <c r="I1090" s="68"/>
      <c r="J1090" s="38"/>
      <c r="K1090" s="38"/>
      <c r="L1090" s="39"/>
    </row>
    <row r="1091" spans="1:15" x14ac:dyDescent="0.3">
      <c r="A1091" s="46" t="s">
        <v>3</v>
      </c>
      <c r="B1091" s="462" t="s">
        <v>193</v>
      </c>
      <c r="C1091" s="462"/>
      <c r="D1091" s="46"/>
      <c r="E1091" s="46"/>
      <c r="F1091" s="46"/>
      <c r="G1091" s="46"/>
      <c r="H1091" s="69"/>
      <c r="I1091" s="69"/>
      <c r="J1091" s="46"/>
      <c r="K1091" s="46"/>
      <c r="L1091" s="15"/>
    </row>
    <row r="1092" spans="1:15" x14ac:dyDescent="0.3">
      <c r="A1092" s="38" t="s">
        <v>4</v>
      </c>
      <c r="B1092" s="462" t="s">
        <v>194</v>
      </c>
      <c r="C1092" s="462"/>
      <c r="D1092" s="38"/>
      <c r="E1092" s="38"/>
      <c r="F1092" s="38"/>
      <c r="G1092" s="38"/>
      <c r="H1092" s="68"/>
      <c r="I1092" s="68"/>
      <c r="J1092" s="38"/>
      <c r="K1092" s="38"/>
      <c r="L1092" s="39"/>
    </row>
    <row r="1093" spans="1:15" x14ac:dyDescent="0.3">
      <c r="A1093" s="38" t="s">
        <v>5</v>
      </c>
      <c r="B1093" s="463">
        <v>3</v>
      </c>
      <c r="C1093" s="463"/>
      <c r="D1093" s="38"/>
      <c r="E1093" s="38"/>
      <c r="F1093" s="38"/>
      <c r="G1093" s="38"/>
      <c r="H1093" s="68"/>
      <c r="I1093" s="68"/>
      <c r="J1093" s="38"/>
      <c r="K1093" s="38"/>
      <c r="L1093" s="39"/>
    </row>
    <row r="1094" spans="1:15" x14ac:dyDescent="0.3">
      <c r="A1094" s="38" t="s">
        <v>6</v>
      </c>
      <c r="B1094" s="462" t="s">
        <v>430</v>
      </c>
      <c r="C1094" s="462"/>
      <c r="D1094" s="38"/>
      <c r="E1094" s="38"/>
      <c r="F1094" s="38"/>
      <c r="G1094" s="38"/>
      <c r="H1094" s="68"/>
      <c r="I1094" s="68"/>
      <c r="J1094" s="38"/>
      <c r="K1094" s="38"/>
      <c r="L1094" s="39"/>
    </row>
    <row r="1095" spans="1:15" x14ac:dyDescent="0.3">
      <c r="A1095" s="38" t="s">
        <v>68</v>
      </c>
      <c r="B1095" s="465"/>
      <c r="C1095" s="465"/>
      <c r="D1095" s="38"/>
      <c r="E1095" s="38"/>
      <c r="F1095" s="38"/>
      <c r="G1095" s="38"/>
      <c r="H1095" s="68"/>
      <c r="I1095" s="68"/>
      <c r="J1095" s="38"/>
      <c r="K1095" s="38"/>
    </row>
    <row r="1096" spans="1:15" x14ac:dyDescent="0.3">
      <c r="A1096" s="44"/>
      <c r="B1096" s="14"/>
      <c r="C1096" s="14"/>
      <c r="D1096" s="14"/>
      <c r="E1096" s="14"/>
      <c r="F1096" s="14"/>
      <c r="G1096" s="14"/>
      <c r="H1096" s="14"/>
      <c r="I1096" s="14"/>
      <c r="J1096" s="14"/>
      <c r="K1096" s="14"/>
    </row>
    <row r="1097" spans="1:15" ht="60" x14ac:dyDescent="0.3">
      <c r="A1097" s="42" t="s">
        <v>8</v>
      </c>
      <c r="B1097" s="42" t="s">
        <v>9</v>
      </c>
      <c r="C1097" s="42" t="s">
        <v>10</v>
      </c>
      <c r="D1097" s="43" t="s">
        <v>11</v>
      </c>
      <c r="E1097" s="43" t="s">
        <v>12</v>
      </c>
      <c r="F1097" s="43" t="s">
        <v>13</v>
      </c>
      <c r="G1097" s="43" t="s">
        <v>14</v>
      </c>
      <c r="H1097" s="43" t="s">
        <v>208</v>
      </c>
      <c r="I1097" s="43" t="s">
        <v>209</v>
      </c>
      <c r="J1097" s="43" t="s">
        <v>15</v>
      </c>
      <c r="K1097" s="43" t="s">
        <v>16</v>
      </c>
      <c r="L1097" s="14" t="s">
        <v>17</v>
      </c>
      <c r="M1097" s="14" t="s">
        <v>18</v>
      </c>
      <c r="N1097" s="14" t="s">
        <v>19</v>
      </c>
    </row>
    <row r="1098" spans="1:15" x14ac:dyDescent="0.3">
      <c r="A1098" s="12"/>
      <c r="B1098" s="42"/>
      <c r="C1098" s="42"/>
      <c r="D1098" s="42"/>
      <c r="E1098" s="42"/>
      <c r="F1098" s="42"/>
      <c r="G1098" s="42"/>
      <c r="H1098" s="42"/>
      <c r="I1098" s="42"/>
      <c r="J1098" s="42"/>
      <c r="K1098" s="42"/>
      <c r="N1098" t="s">
        <v>20</v>
      </c>
      <c r="O1098">
        <f>COUNT(G1099:G1108)</f>
        <v>10</v>
      </c>
    </row>
    <row r="1099" spans="1:15" x14ac:dyDescent="0.3">
      <c r="A1099" s="12">
        <v>1</v>
      </c>
      <c r="B1099" s="12" t="s">
        <v>150</v>
      </c>
      <c r="C1099" s="12" t="s">
        <v>98</v>
      </c>
      <c r="D1099" s="12" t="s">
        <v>1383</v>
      </c>
      <c r="E1099" s="12">
        <v>10</v>
      </c>
      <c r="F1099" s="12">
        <v>17</v>
      </c>
      <c r="G1099" s="12">
        <f>SUM(E1099:F1099)</f>
        <v>27</v>
      </c>
      <c r="H1099" s="12"/>
      <c r="I1099" s="12"/>
      <c r="J1099" s="12">
        <v>18</v>
      </c>
      <c r="K1099" s="12">
        <f>SUM(G1099:J1099)</f>
        <v>45</v>
      </c>
      <c r="L1099" t="str">
        <f t="shared" ref="L1099:L1107" si="137">IF(K1099&gt;=80,"A",IF(K1099&gt;=70,"B+",IF(K1099&gt;=60,"B",IF(K1099&gt;=55,"C+",IF(K1099&gt;=50,"C",IF(K1099&gt;=45,"D+",IF(K1099&gt;=40,"D","F")))))))</f>
        <v>D+</v>
      </c>
      <c r="M1099" t="str">
        <f t="shared" ref="M1099:M1107" si="138">IF(K1099&gt;=50,"Passed","Failed")</f>
        <v>Failed</v>
      </c>
      <c r="N1099" t="s">
        <v>21</v>
      </c>
      <c r="O1099">
        <f>COUNT(J1099:J1108)</f>
        <v>10</v>
      </c>
    </row>
    <row r="1100" spans="1:15" x14ac:dyDescent="0.3">
      <c r="A1100" s="12">
        <v>2</v>
      </c>
      <c r="B1100" s="12" t="s">
        <v>151</v>
      </c>
      <c r="C1100" s="12" t="s">
        <v>99</v>
      </c>
      <c r="D1100" s="12" t="s">
        <v>1384</v>
      </c>
      <c r="E1100" s="12">
        <v>7.5</v>
      </c>
      <c r="F1100" s="12">
        <v>22</v>
      </c>
      <c r="G1100" s="12">
        <f t="shared" ref="G1100:G1108" si="139">SUM(E1100:F1100)</f>
        <v>29.5</v>
      </c>
      <c r="H1100" s="12"/>
      <c r="I1100" s="12"/>
      <c r="J1100" s="12">
        <v>27</v>
      </c>
      <c r="K1100" s="241">
        <f t="shared" ref="K1100:K1108" si="140">SUM(G1100:J1100)</f>
        <v>56.5</v>
      </c>
      <c r="L1100" t="str">
        <f t="shared" si="137"/>
        <v>C+</v>
      </c>
      <c r="M1100" t="str">
        <f t="shared" si="138"/>
        <v>Passed</v>
      </c>
      <c r="N1100" t="s">
        <v>22</v>
      </c>
      <c r="O1100">
        <f>O1098-O1099</f>
        <v>0</v>
      </c>
    </row>
    <row r="1101" spans="1:15" x14ac:dyDescent="0.3">
      <c r="A1101" s="12">
        <v>3</v>
      </c>
      <c r="B1101" s="12" t="s">
        <v>157</v>
      </c>
      <c r="C1101" s="12" t="s">
        <v>106</v>
      </c>
      <c r="D1101" s="12" t="s">
        <v>1385</v>
      </c>
      <c r="E1101" s="12">
        <v>10</v>
      </c>
      <c r="F1101" s="12">
        <v>14</v>
      </c>
      <c r="G1101" s="12">
        <f t="shared" si="139"/>
        <v>24</v>
      </c>
      <c r="H1101" s="12"/>
      <c r="I1101" s="12"/>
      <c r="J1101" s="12">
        <v>23</v>
      </c>
      <c r="K1101" s="12">
        <f t="shared" si="140"/>
        <v>47</v>
      </c>
      <c r="L1101" t="str">
        <f t="shared" si="137"/>
        <v>D+</v>
      </c>
      <c r="M1101" t="str">
        <f t="shared" si="138"/>
        <v>Failed</v>
      </c>
      <c r="N1101" t="s">
        <v>23</v>
      </c>
      <c r="O1101">
        <f>COUNTIF(M1099:M1108,"Passed")</f>
        <v>7</v>
      </c>
    </row>
    <row r="1102" spans="1:15" x14ac:dyDescent="0.3">
      <c r="A1102" s="12">
        <v>4</v>
      </c>
      <c r="B1102" s="12" t="s">
        <v>158</v>
      </c>
      <c r="C1102" s="12" t="s">
        <v>107</v>
      </c>
      <c r="D1102" s="12" t="s">
        <v>1389</v>
      </c>
      <c r="E1102" s="12">
        <v>10</v>
      </c>
      <c r="F1102" s="12">
        <v>24</v>
      </c>
      <c r="G1102" s="12">
        <f t="shared" si="139"/>
        <v>34</v>
      </c>
      <c r="H1102" s="12"/>
      <c r="I1102" s="12"/>
      <c r="J1102" s="12">
        <v>55</v>
      </c>
      <c r="K1102" s="12">
        <f t="shared" si="140"/>
        <v>89</v>
      </c>
      <c r="L1102" t="str">
        <f t="shared" si="137"/>
        <v>A</v>
      </c>
      <c r="M1102" t="str">
        <f t="shared" si="138"/>
        <v>Passed</v>
      </c>
      <c r="N1102" t="s">
        <v>24</v>
      </c>
      <c r="O1102" s="179">
        <f>O1101/O1099%</f>
        <v>70</v>
      </c>
    </row>
    <row r="1103" spans="1:15" x14ac:dyDescent="0.3">
      <c r="A1103" s="12">
        <v>5</v>
      </c>
      <c r="B1103" s="12" t="s">
        <v>159</v>
      </c>
      <c r="C1103" s="12" t="s">
        <v>108</v>
      </c>
      <c r="D1103" s="12" t="s">
        <v>1388</v>
      </c>
      <c r="E1103" s="12">
        <v>9</v>
      </c>
      <c r="F1103" s="12">
        <v>21</v>
      </c>
      <c r="G1103" s="12">
        <f t="shared" si="139"/>
        <v>30</v>
      </c>
      <c r="H1103" s="12"/>
      <c r="I1103" s="12"/>
      <c r="J1103" s="12">
        <v>59</v>
      </c>
      <c r="K1103" s="12">
        <f t="shared" si="140"/>
        <v>89</v>
      </c>
      <c r="L1103" t="str">
        <f t="shared" si="137"/>
        <v>A</v>
      </c>
      <c r="M1103" t="str">
        <f t="shared" si="138"/>
        <v>Passed</v>
      </c>
      <c r="N1103" t="s">
        <v>25</v>
      </c>
      <c r="O1103">
        <f>COUNTIF(M1099:M1108,"failed")</f>
        <v>3</v>
      </c>
    </row>
    <row r="1104" spans="1:15" x14ac:dyDescent="0.3">
      <c r="A1104" s="12">
        <v>6</v>
      </c>
      <c r="B1104" s="12" t="s">
        <v>167</v>
      </c>
      <c r="C1104" s="12" t="s">
        <v>118</v>
      </c>
      <c r="D1104" s="12" t="s">
        <v>1387</v>
      </c>
      <c r="E1104" s="12">
        <v>9</v>
      </c>
      <c r="F1104" s="12">
        <v>24</v>
      </c>
      <c r="G1104" s="12">
        <f t="shared" si="139"/>
        <v>33</v>
      </c>
      <c r="H1104" s="12"/>
      <c r="I1104" s="12"/>
      <c r="J1104" s="12">
        <v>45</v>
      </c>
      <c r="K1104" s="12">
        <f t="shared" si="140"/>
        <v>78</v>
      </c>
      <c r="L1104" t="str">
        <f t="shared" si="137"/>
        <v>B+</v>
      </c>
      <c r="M1104" t="str">
        <f t="shared" si="138"/>
        <v>Passed</v>
      </c>
      <c r="N1104" t="s">
        <v>26</v>
      </c>
      <c r="O1104" s="179">
        <f>O1103/O1099%</f>
        <v>30</v>
      </c>
    </row>
    <row r="1105" spans="1:22" x14ac:dyDescent="0.3">
      <c r="A1105" s="12">
        <v>7</v>
      </c>
      <c r="B1105" s="12" t="s">
        <v>171</v>
      </c>
      <c r="C1105" s="12" t="s">
        <v>125</v>
      </c>
      <c r="D1105" s="12" t="s">
        <v>1381</v>
      </c>
      <c r="E1105" s="12">
        <v>7.5</v>
      </c>
      <c r="F1105" s="12">
        <v>9</v>
      </c>
      <c r="G1105" s="12">
        <f t="shared" si="139"/>
        <v>16.5</v>
      </c>
      <c r="H1105" s="12"/>
      <c r="I1105" s="12"/>
      <c r="J1105" s="12">
        <v>16</v>
      </c>
      <c r="K1105" s="12">
        <f t="shared" si="140"/>
        <v>32.5</v>
      </c>
      <c r="L1105" t="str">
        <f t="shared" si="137"/>
        <v>F</v>
      </c>
      <c r="M1105" t="str">
        <f t="shared" si="138"/>
        <v>Failed</v>
      </c>
      <c r="N1105" t="s">
        <v>27</v>
      </c>
      <c r="O1105" s="179">
        <f>AVERAGE(K1099:K1108)</f>
        <v>62.3</v>
      </c>
    </row>
    <row r="1106" spans="1:22" x14ac:dyDescent="0.3">
      <c r="A1106" s="12">
        <v>8</v>
      </c>
      <c r="B1106" s="12" t="s">
        <v>174</v>
      </c>
      <c r="C1106" s="12" t="s">
        <v>128</v>
      </c>
      <c r="D1106" s="12" t="s">
        <v>1390</v>
      </c>
      <c r="E1106" s="12">
        <v>9</v>
      </c>
      <c r="F1106" s="12">
        <v>20</v>
      </c>
      <c r="G1106" s="12">
        <f t="shared" si="139"/>
        <v>29</v>
      </c>
      <c r="H1106" s="12"/>
      <c r="I1106" s="12"/>
      <c r="J1106" s="12">
        <v>32</v>
      </c>
      <c r="K1106" s="12">
        <f t="shared" si="140"/>
        <v>61</v>
      </c>
      <c r="L1106" t="str">
        <f t="shared" si="137"/>
        <v>B</v>
      </c>
      <c r="M1106" t="str">
        <f t="shared" si="138"/>
        <v>Passed</v>
      </c>
    </row>
    <row r="1107" spans="1:22" x14ac:dyDescent="0.3">
      <c r="A1107" s="12">
        <v>9</v>
      </c>
      <c r="B1107" s="12" t="s">
        <v>220</v>
      </c>
      <c r="C1107" s="12" t="s">
        <v>130</v>
      </c>
      <c r="D1107" s="12" t="s">
        <v>1382</v>
      </c>
      <c r="E1107" s="12">
        <v>8</v>
      </c>
      <c r="F1107" s="12">
        <v>22</v>
      </c>
      <c r="G1107" s="12">
        <f t="shared" si="139"/>
        <v>30</v>
      </c>
      <c r="H1107" s="12"/>
      <c r="I1107" s="12"/>
      <c r="J1107" s="12">
        <v>25</v>
      </c>
      <c r="K1107" s="12">
        <f t="shared" si="140"/>
        <v>55</v>
      </c>
      <c r="L1107" t="str">
        <f t="shared" si="137"/>
        <v>C+</v>
      </c>
      <c r="M1107" t="str">
        <f t="shared" si="138"/>
        <v>Passed</v>
      </c>
    </row>
    <row r="1108" spans="1:22" x14ac:dyDescent="0.3">
      <c r="A1108" s="50">
        <v>10</v>
      </c>
      <c r="B1108" s="12" t="s">
        <v>166</v>
      </c>
      <c r="C1108" s="12" t="s">
        <v>117</v>
      </c>
      <c r="D1108" s="12" t="s">
        <v>1386</v>
      </c>
      <c r="E1108" s="12">
        <v>10</v>
      </c>
      <c r="F1108" s="12">
        <v>17</v>
      </c>
      <c r="G1108" s="12">
        <f t="shared" si="139"/>
        <v>27</v>
      </c>
      <c r="H1108" s="12"/>
      <c r="I1108" s="12"/>
      <c r="J1108" s="12">
        <v>43</v>
      </c>
      <c r="K1108" s="12">
        <f t="shared" si="140"/>
        <v>70</v>
      </c>
      <c r="L1108" t="str">
        <f t="shared" ref="L1108" si="141">IF(K1108&gt;=80,"A",IF(K1108&gt;=70,"B+",IF(K1108&gt;=60,"B",IF(K1108&gt;=55,"C+",IF(K1108&gt;=50,"C",IF(K1108&gt;=45,"D+",IF(K1108&gt;=40,"D","F")))))))</f>
        <v>B+</v>
      </c>
      <c r="M1108" t="str">
        <f t="shared" ref="M1108" si="142">IF(K1108&gt;=50,"Passed","Failed")</f>
        <v>Passed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 t="s">
        <v>33</v>
      </c>
      <c r="U1108" t="s">
        <v>34</v>
      </c>
      <c r="V1108" t="s">
        <v>35</v>
      </c>
    </row>
    <row r="1109" spans="1:22" x14ac:dyDescent="0.3">
      <c r="O1109">
        <f>COUNTIF(L1099:L1108,"A")</f>
        <v>2</v>
      </c>
      <c r="P1109">
        <f>COUNTIF(L1099:L1108,"B+")</f>
        <v>2</v>
      </c>
      <c r="Q1109">
        <f>COUNTIF(L1099:L1108,"B")</f>
        <v>1</v>
      </c>
      <c r="R1109">
        <f>COUNTIF(L1099:L1108,"C+")</f>
        <v>2</v>
      </c>
      <c r="S1109">
        <f>COUNTIF(L1099:L1108,"C")</f>
        <v>0</v>
      </c>
      <c r="T1109">
        <f>COUNTIF(L1099:L1108,"D+")</f>
        <v>2</v>
      </c>
      <c r="U1109">
        <f>COUNTIF(L1099:L1108,"D")</f>
        <v>0</v>
      </c>
      <c r="V1109">
        <f>COUNTIF(L1099:L1108,"F")</f>
        <v>1</v>
      </c>
    </row>
    <row r="1119" spans="1:22" x14ac:dyDescent="0.3">
      <c r="A1119" s="38" t="s">
        <v>0</v>
      </c>
      <c r="B1119" s="39"/>
      <c r="C1119" s="39"/>
      <c r="D1119" s="39"/>
      <c r="E1119" s="39"/>
      <c r="F1119" s="39"/>
      <c r="G1119" s="39"/>
      <c r="H1119" s="70"/>
      <c r="I1119" s="70"/>
      <c r="J1119" s="39"/>
      <c r="K1119" s="39"/>
      <c r="L1119" s="39"/>
    </row>
    <row r="1120" spans="1:22" x14ac:dyDescent="0.3">
      <c r="A1120" s="48" t="s">
        <v>66</v>
      </c>
      <c r="B1120" s="48"/>
      <c r="C1120" s="48"/>
      <c r="D1120" s="48"/>
      <c r="E1120" s="48"/>
      <c r="F1120" s="48"/>
      <c r="G1120" s="48"/>
      <c r="H1120" s="48"/>
      <c r="I1120" s="48"/>
      <c r="J1120" s="48"/>
      <c r="K1120" s="48"/>
      <c r="L1120" s="56"/>
    </row>
    <row r="1121" spans="1:15" x14ac:dyDescent="0.3">
      <c r="A1121" s="471" t="s">
        <v>362</v>
      </c>
      <c r="B1121" s="463"/>
      <c r="C1121" s="463"/>
      <c r="D1121" s="2"/>
      <c r="E1121" s="2"/>
      <c r="F1121" s="2"/>
      <c r="G1121" s="2"/>
      <c r="H1121" s="2"/>
      <c r="I1121" s="2"/>
      <c r="J1121" s="2"/>
      <c r="K1121" s="2"/>
      <c r="L1121" s="1"/>
      <c r="M1121" s="16"/>
      <c r="N1121" s="16"/>
      <c r="O1121" s="13"/>
    </row>
    <row r="1122" spans="1:15" x14ac:dyDescent="0.3">
      <c r="A1122" s="38" t="s">
        <v>1</v>
      </c>
      <c r="B1122" s="462" t="s">
        <v>46</v>
      </c>
      <c r="C1122" s="462"/>
      <c r="D1122" s="38"/>
      <c r="E1122" s="38"/>
      <c r="F1122" s="38"/>
      <c r="G1122" s="38"/>
      <c r="H1122" s="68"/>
      <c r="I1122" s="68"/>
      <c r="J1122" s="38"/>
      <c r="K1122" s="38"/>
      <c r="L1122" s="39"/>
    </row>
    <row r="1123" spans="1:15" x14ac:dyDescent="0.3">
      <c r="A1123" s="46" t="s">
        <v>3</v>
      </c>
      <c r="B1123" s="462" t="s">
        <v>222</v>
      </c>
      <c r="C1123" s="462"/>
      <c r="D1123" s="46"/>
      <c r="E1123" s="46"/>
      <c r="F1123" s="46"/>
      <c r="G1123" s="46"/>
      <c r="H1123" s="69"/>
      <c r="I1123" s="69"/>
      <c r="J1123" s="46"/>
      <c r="K1123" s="46"/>
      <c r="L1123" s="15"/>
    </row>
    <row r="1124" spans="1:15" x14ac:dyDescent="0.3">
      <c r="A1124" s="38" t="s">
        <v>4</v>
      </c>
      <c r="B1124" s="462" t="s">
        <v>195</v>
      </c>
      <c r="C1124" s="462"/>
      <c r="D1124" s="38"/>
      <c r="E1124" s="38"/>
      <c r="F1124" s="38"/>
      <c r="G1124" s="38"/>
      <c r="H1124" s="68"/>
      <c r="I1124" s="68"/>
      <c r="J1124" s="38"/>
      <c r="K1124" s="38"/>
      <c r="L1124" s="39"/>
    </row>
    <row r="1125" spans="1:15" x14ac:dyDescent="0.3">
      <c r="A1125" s="38" t="s">
        <v>5</v>
      </c>
      <c r="B1125" s="463">
        <v>3</v>
      </c>
      <c r="C1125" s="463"/>
      <c r="D1125" s="38"/>
      <c r="E1125" s="38"/>
      <c r="F1125" s="38"/>
      <c r="G1125" s="38"/>
      <c r="H1125" s="68"/>
      <c r="I1125" s="68"/>
      <c r="J1125" s="38"/>
      <c r="K1125" s="38"/>
      <c r="L1125" s="39"/>
    </row>
    <row r="1126" spans="1:15" x14ac:dyDescent="0.3">
      <c r="A1126" s="38" t="s">
        <v>6</v>
      </c>
      <c r="B1126" s="462" t="s">
        <v>430</v>
      </c>
      <c r="C1126" s="462"/>
      <c r="D1126" s="38"/>
      <c r="E1126" s="38"/>
      <c r="F1126" s="38"/>
      <c r="G1126" s="38"/>
      <c r="H1126" s="68"/>
      <c r="I1126" s="68"/>
      <c r="J1126" s="38"/>
      <c r="K1126" s="38"/>
      <c r="L1126" s="39"/>
    </row>
    <row r="1127" spans="1:15" x14ac:dyDescent="0.3">
      <c r="A1127" s="38" t="s">
        <v>68</v>
      </c>
      <c r="B1127" s="465"/>
      <c r="C1127" s="465"/>
      <c r="D1127" s="38"/>
      <c r="E1127" s="38"/>
      <c r="F1127" s="38"/>
      <c r="G1127" s="38"/>
      <c r="H1127" s="68"/>
      <c r="I1127" s="68"/>
      <c r="J1127" s="38"/>
      <c r="K1127" s="38"/>
    </row>
    <row r="1128" spans="1:15" x14ac:dyDescent="0.3">
      <c r="A1128" s="44"/>
      <c r="B1128" s="14"/>
      <c r="C1128" s="14"/>
      <c r="D1128" s="14"/>
      <c r="E1128" s="14"/>
      <c r="F1128" s="14"/>
      <c r="G1128" s="14"/>
      <c r="H1128" s="14"/>
      <c r="I1128" s="14"/>
      <c r="J1128" s="14"/>
      <c r="K1128" s="14"/>
    </row>
    <row r="1129" spans="1:15" ht="60" x14ac:dyDescent="0.3">
      <c r="A1129" s="42" t="s">
        <v>8</v>
      </c>
      <c r="B1129" s="42" t="s">
        <v>9</v>
      </c>
      <c r="C1129" s="42" t="s">
        <v>10</v>
      </c>
      <c r="D1129" s="43" t="s">
        <v>11</v>
      </c>
      <c r="E1129" s="43" t="s">
        <v>12</v>
      </c>
      <c r="F1129" s="43" t="s">
        <v>13</v>
      </c>
      <c r="G1129" s="43" t="s">
        <v>14</v>
      </c>
      <c r="H1129" s="43" t="s">
        <v>208</v>
      </c>
      <c r="I1129" s="43" t="s">
        <v>209</v>
      </c>
      <c r="J1129" s="43" t="s">
        <v>15</v>
      </c>
      <c r="K1129" s="43" t="s">
        <v>16</v>
      </c>
      <c r="L1129" s="14" t="s">
        <v>17</v>
      </c>
      <c r="M1129" s="14" t="s">
        <v>18</v>
      </c>
      <c r="N1129" s="14" t="s">
        <v>19</v>
      </c>
    </row>
    <row r="1130" spans="1:15" x14ac:dyDescent="0.3">
      <c r="A1130" s="12"/>
      <c r="B1130" s="42"/>
      <c r="C1130" s="42"/>
      <c r="D1130" s="42"/>
      <c r="E1130" s="42"/>
      <c r="F1130" s="42"/>
      <c r="G1130" s="42"/>
      <c r="H1130" s="42"/>
      <c r="I1130" s="42"/>
      <c r="J1130" s="42"/>
      <c r="K1130" s="42"/>
      <c r="N1130" t="s">
        <v>20</v>
      </c>
      <c r="O1130">
        <f>COUNT(G1131:G1140)</f>
        <v>10</v>
      </c>
    </row>
    <row r="1131" spans="1:15" x14ac:dyDescent="0.3">
      <c r="A1131" s="12">
        <v>1</v>
      </c>
      <c r="B1131" s="12" t="s">
        <v>150</v>
      </c>
      <c r="C1131" s="12" t="s">
        <v>98</v>
      </c>
      <c r="D1131" s="12" t="s">
        <v>1350</v>
      </c>
      <c r="E1131" s="12">
        <v>10</v>
      </c>
      <c r="F1131" s="12">
        <v>23</v>
      </c>
      <c r="G1131" s="12">
        <f>SUM(E1131:F1131)</f>
        <v>33</v>
      </c>
      <c r="H1131" s="12"/>
      <c r="I1131" s="12"/>
      <c r="J1131" s="12">
        <v>33</v>
      </c>
      <c r="K1131" s="12">
        <f>SUM(G1131:J1131)</f>
        <v>66</v>
      </c>
      <c r="L1131" t="str">
        <f t="shared" ref="L1131:L1139" si="143">IF(K1131&gt;=80,"A",IF(K1131&gt;=70,"B+",IF(K1131&gt;=60,"B",IF(K1131&gt;=55,"C+",IF(K1131&gt;=50,"C",IF(K1131&gt;=45,"D+",IF(K1131&gt;=40,"D","F")))))))</f>
        <v>B</v>
      </c>
      <c r="M1131" t="str">
        <f t="shared" ref="M1131:M1139" si="144">IF(K1131&gt;=50,"Passed","Failed")</f>
        <v>Passed</v>
      </c>
      <c r="N1131" t="s">
        <v>21</v>
      </c>
      <c r="O1131">
        <f>COUNT(J1131:J1140)</f>
        <v>10</v>
      </c>
    </row>
    <row r="1132" spans="1:15" x14ac:dyDescent="0.3">
      <c r="A1132" s="12">
        <v>2</v>
      </c>
      <c r="B1132" s="12" t="s">
        <v>151</v>
      </c>
      <c r="C1132" s="12" t="s">
        <v>99</v>
      </c>
      <c r="D1132" s="12" t="s">
        <v>1357</v>
      </c>
      <c r="E1132" s="12">
        <v>7.5</v>
      </c>
      <c r="F1132" s="12">
        <v>18</v>
      </c>
      <c r="G1132" s="12">
        <f t="shared" ref="G1132:G1140" si="145">SUM(E1132:F1132)</f>
        <v>25.5</v>
      </c>
      <c r="H1132" s="12"/>
      <c r="I1132" s="12"/>
      <c r="J1132" s="12">
        <v>33</v>
      </c>
      <c r="K1132" s="241">
        <f t="shared" ref="K1132:K1140" si="146">SUM(G1132:J1132)</f>
        <v>58.5</v>
      </c>
      <c r="L1132" t="str">
        <f t="shared" si="143"/>
        <v>C+</v>
      </c>
      <c r="M1132" t="str">
        <f t="shared" si="144"/>
        <v>Passed</v>
      </c>
      <c r="N1132" t="s">
        <v>22</v>
      </c>
      <c r="O1132">
        <f>O1130-O1131</f>
        <v>0</v>
      </c>
    </row>
    <row r="1133" spans="1:15" x14ac:dyDescent="0.3">
      <c r="A1133" s="12">
        <v>3</v>
      </c>
      <c r="B1133" s="12" t="s">
        <v>157</v>
      </c>
      <c r="C1133" s="12" t="s">
        <v>106</v>
      </c>
      <c r="D1133" s="12" t="s">
        <v>1356</v>
      </c>
      <c r="E1133" s="12">
        <v>10</v>
      </c>
      <c r="F1133" s="12">
        <v>22</v>
      </c>
      <c r="G1133" s="12">
        <f t="shared" si="145"/>
        <v>32</v>
      </c>
      <c r="H1133" s="12"/>
      <c r="I1133" s="12"/>
      <c r="J1133" s="12">
        <v>33</v>
      </c>
      <c r="K1133" s="12">
        <f t="shared" si="146"/>
        <v>65</v>
      </c>
      <c r="L1133" t="str">
        <f t="shared" si="143"/>
        <v>B</v>
      </c>
      <c r="M1133" t="str">
        <f t="shared" si="144"/>
        <v>Passed</v>
      </c>
      <c r="N1133" t="s">
        <v>23</v>
      </c>
      <c r="O1133">
        <f>COUNTIF(M1131:M1140,"Passed")</f>
        <v>9</v>
      </c>
    </row>
    <row r="1134" spans="1:15" x14ac:dyDescent="0.3">
      <c r="A1134" s="12">
        <v>4</v>
      </c>
      <c r="B1134" s="12" t="s">
        <v>158</v>
      </c>
      <c r="C1134" s="12" t="s">
        <v>107</v>
      </c>
      <c r="D1134" s="12" t="s">
        <v>1353</v>
      </c>
      <c r="E1134" s="12">
        <v>10</v>
      </c>
      <c r="F1134" s="12">
        <v>22</v>
      </c>
      <c r="G1134" s="12">
        <f t="shared" si="145"/>
        <v>32</v>
      </c>
      <c r="H1134" s="12"/>
      <c r="I1134" s="12"/>
      <c r="J1134" s="12">
        <v>41</v>
      </c>
      <c r="K1134" s="12">
        <f t="shared" si="146"/>
        <v>73</v>
      </c>
      <c r="L1134" t="str">
        <f t="shared" si="143"/>
        <v>B+</v>
      </c>
      <c r="M1134" t="str">
        <f t="shared" si="144"/>
        <v>Passed</v>
      </c>
      <c r="N1134" t="s">
        <v>24</v>
      </c>
      <c r="O1134">
        <f>O1133/O1131%</f>
        <v>90</v>
      </c>
    </row>
    <row r="1135" spans="1:15" x14ac:dyDescent="0.3">
      <c r="A1135" s="12">
        <v>5</v>
      </c>
      <c r="B1135" s="12" t="s">
        <v>159</v>
      </c>
      <c r="C1135" s="12" t="s">
        <v>108</v>
      </c>
      <c r="D1135" s="12" t="s">
        <v>1351</v>
      </c>
      <c r="E1135" s="12">
        <v>9</v>
      </c>
      <c r="F1135" s="12">
        <v>21</v>
      </c>
      <c r="G1135" s="12">
        <f t="shared" si="145"/>
        <v>30</v>
      </c>
      <c r="H1135" s="12"/>
      <c r="I1135" s="12"/>
      <c r="J1135" s="12">
        <v>45</v>
      </c>
      <c r="K1135" s="12">
        <f t="shared" si="146"/>
        <v>75</v>
      </c>
      <c r="L1135" t="str">
        <f t="shared" si="143"/>
        <v>B+</v>
      </c>
      <c r="M1135" t="str">
        <f t="shared" si="144"/>
        <v>Passed</v>
      </c>
      <c r="N1135" t="s">
        <v>25</v>
      </c>
      <c r="O1135">
        <f>COUNTIF(M1131:M1140,"failed")</f>
        <v>1</v>
      </c>
    </row>
    <row r="1136" spans="1:15" x14ac:dyDescent="0.3">
      <c r="A1136" s="12">
        <v>6</v>
      </c>
      <c r="B1136" s="12" t="s">
        <v>167</v>
      </c>
      <c r="C1136" s="12" t="s">
        <v>118</v>
      </c>
      <c r="D1136" s="12" t="s">
        <v>1355</v>
      </c>
      <c r="E1136" s="12">
        <v>8</v>
      </c>
      <c r="F1136" s="12">
        <v>15</v>
      </c>
      <c r="G1136" s="12">
        <f t="shared" si="145"/>
        <v>23</v>
      </c>
      <c r="H1136" s="12"/>
      <c r="I1136" s="12"/>
      <c r="J1136" s="12">
        <v>35</v>
      </c>
      <c r="K1136" s="12">
        <f t="shared" si="146"/>
        <v>58</v>
      </c>
      <c r="L1136" t="str">
        <f t="shared" si="143"/>
        <v>C+</v>
      </c>
      <c r="M1136" t="str">
        <f t="shared" si="144"/>
        <v>Passed</v>
      </c>
      <c r="N1136" t="s">
        <v>26</v>
      </c>
      <c r="O1136">
        <f>O1135/O1131%</f>
        <v>10</v>
      </c>
    </row>
    <row r="1137" spans="1:22" x14ac:dyDescent="0.3">
      <c r="A1137" s="50">
        <v>7</v>
      </c>
      <c r="B1137" s="12" t="s">
        <v>171</v>
      </c>
      <c r="C1137" s="12" t="s">
        <v>125</v>
      </c>
      <c r="D1137" s="12" t="s">
        <v>1352</v>
      </c>
      <c r="E1137" s="12">
        <v>8</v>
      </c>
      <c r="F1137" s="12">
        <v>11</v>
      </c>
      <c r="G1137" s="12">
        <f t="shared" si="145"/>
        <v>19</v>
      </c>
      <c r="H1137" s="12"/>
      <c r="I1137" s="12"/>
      <c r="J1137" s="12">
        <v>33</v>
      </c>
      <c r="K1137" s="12">
        <f t="shared" si="146"/>
        <v>52</v>
      </c>
      <c r="L1137" t="str">
        <f t="shared" si="143"/>
        <v>C</v>
      </c>
      <c r="M1137" t="str">
        <f t="shared" si="144"/>
        <v>Passed</v>
      </c>
      <c r="N1137" t="s">
        <v>27</v>
      </c>
      <c r="O1137" s="179">
        <f>AVERAGE(K1131:K1140)</f>
        <v>63.25</v>
      </c>
    </row>
    <row r="1138" spans="1:22" x14ac:dyDescent="0.3">
      <c r="A1138" s="50">
        <v>8</v>
      </c>
      <c r="B1138" s="12" t="s">
        <v>174</v>
      </c>
      <c r="C1138" s="12" t="s">
        <v>128</v>
      </c>
      <c r="D1138" s="12" t="s">
        <v>1358</v>
      </c>
      <c r="E1138" s="12">
        <v>9</v>
      </c>
      <c r="F1138" s="12">
        <v>27</v>
      </c>
      <c r="G1138" s="12">
        <f t="shared" si="145"/>
        <v>36</v>
      </c>
      <c r="H1138" s="12"/>
      <c r="I1138" s="12"/>
      <c r="J1138" s="12">
        <v>33</v>
      </c>
      <c r="K1138" s="12">
        <f t="shared" si="146"/>
        <v>69</v>
      </c>
      <c r="L1138" t="str">
        <f t="shared" si="143"/>
        <v>B</v>
      </c>
      <c r="M1138" t="str">
        <f t="shared" si="144"/>
        <v>Passed</v>
      </c>
    </row>
    <row r="1139" spans="1:22" x14ac:dyDescent="0.3">
      <c r="A1139" s="12"/>
      <c r="B1139" s="12" t="s">
        <v>220</v>
      </c>
      <c r="C1139" s="12" t="s">
        <v>130</v>
      </c>
      <c r="D1139" s="12" t="s">
        <v>1359</v>
      </c>
      <c r="E1139" s="12">
        <v>9</v>
      </c>
      <c r="F1139" s="12">
        <v>18</v>
      </c>
      <c r="G1139" s="12">
        <f t="shared" si="145"/>
        <v>27</v>
      </c>
      <c r="H1139" s="12"/>
      <c r="I1139" s="12"/>
      <c r="J1139" s="12">
        <v>20</v>
      </c>
      <c r="K1139" s="12">
        <f t="shared" si="146"/>
        <v>47</v>
      </c>
      <c r="L1139" t="str">
        <f t="shared" si="143"/>
        <v>D+</v>
      </c>
      <c r="M1139" t="str">
        <f t="shared" si="144"/>
        <v>Failed</v>
      </c>
    </row>
    <row r="1140" spans="1:22" x14ac:dyDescent="0.3">
      <c r="A1140" s="50">
        <v>10</v>
      </c>
      <c r="B1140" s="12" t="s">
        <v>176</v>
      </c>
      <c r="C1140" s="12" t="s">
        <v>117</v>
      </c>
      <c r="D1140" s="12" t="s">
        <v>1354</v>
      </c>
      <c r="E1140" s="12">
        <v>10</v>
      </c>
      <c r="F1140" s="12">
        <v>26</v>
      </c>
      <c r="G1140" s="12">
        <f t="shared" si="145"/>
        <v>36</v>
      </c>
      <c r="H1140" s="12"/>
      <c r="I1140" s="12"/>
      <c r="J1140" s="12">
        <v>33</v>
      </c>
      <c r="K1140" s="12">
        <f t="shared" si="146"/>
        <v>69</v>
      </c>
      <c r="L1140" t="str">
        <f t="shared" ref="L1140" si="147">IF(K1140&gt;=80,"A",IF(K1140&gt;=70,"B+",IF(K1140&gt;=60,"B",IF(K1140&gt;=55,"C+",IF(K1140&gt;=50,"C",IF(K1140&gt;=45,"D+",IF(K1140&gt;=40,"D","F")))))))</f>
        <v>B</v>
      </c>
      <c r="M1140" t="str">
        <f t="shared" ref="M1140" si="148">IF(K1140&gt;=50,"Passed","Failed")</f>
        <v>Passed</v>
      </c>
      <c r="O1140" t="s">
        <v>28</v>
      </c>
      <c r="P1140" t="s">
        <v>29</v>
      </c>
      <c r="Q1140" t="s">
        <v>30</v>
      </c>
      <c r="R1140" t="s">
        <v>31</v>
      </c>
      <c r="S1140" t="s">
        <v>32</v>
      </c>
      <c r="T1140" t="s">
        <v>33</v>
      </c>
      <c r="U1140" t="s">
        <v>34</v>
      </c>
      <c r="V1140" t="s">
        <v>35</v>
      </c>
    </row>
    <row r="1141" spans="1:22" x14ac:dyDescent="0.3">
      <c r="O1141">
        <f>COUNTIF(L1131:L1140,"A")</f>
        <v>0</v>
      </c>
      <c r="P1141">
        <f>COUNTIF(L1131:L1140,"B+")</f>
        <v>2</v>
      </c>
      <c r="Q1141">
        <f>COUNTIF(L1131:L1140,"B")</f>
        <v>4</v>
      </c>
      <c r="R1141">
        <f>COUNTIF(L1131:L1140,"C+")</f>
        <v>2</v>
      </c>
      <c r="S1141">
        <f>COUNTIF(L1131:L1140,"C")</f>
        <v>1</v>
      </c>
      <c r="T1141">
        <f>COUNTIF(L1131:L1140,"D+")</f>
        <v>1</v>
      </c>
      <c r="U1141">
        <f>COUNTIF(L1131:L1140,"D")</f>
        <v>0</v>
      </c>
      <c r="V1141">
        <f>COUNTIF(L1131:L1140,"F")</f>
        <v>0</v>
      </c>
    </row>
    <row r="1155" spans="1:16" x14ac:dyDescent="0.3">
      <c r="A1155" s="98" t="s">
        <v>0</v>
      </c>
      <c r="B1155" s="99"/>
      <c r="C1155" s="99"/>
      <c r="D1155" s="99"/>
      <c r="E1155" s="99"/>
      <c r="F1155" s="99"/>
      <c r="G1155" s="99"/>
      <c r="H1155" s="99"/>
      <c r="I1155" s="99"/>
      <c r="J1155" s="99"/>
      <c r="K1155" s="99"/>
      <c r="L1155" s="99"/>
    </row>
    <row r="1156" spans="1:16" x14ac:dyDescent="0.3">
      <c r="A1156" s="14" t="s">
        <v>66</v>
      </c>
      <c r="B1156" s="14"/>
      <c r="C1156" s="14"/>
      <c r="D1156" s="14"/>
      <c r="E1156" s="14"/>
      <c r="F1156" s="14"/>
      <c r="G1156" s="14"/>
      <c r="H1156" s="14"/>
      <c r="I1156" s="14"/>
      <c r="J1156" s="14"/>
      <c r="K1156" s="14"/>
    </row>
    <row r="1157" spans="1:16" x14ac:dyDescent="0.3">
      <c r="A1157" s="460" t="s">
        <v>143</v>
      </c>
      <c r="B1157" s="461"/>
      <c r="C1157" s="461"/>
      <c r="D1157" s="2"/>
      <c r="E1157" s="2"/>
      <c r="F1157" s="2"/>
      <c r="G1157" s="2"/>
      <c r="H1157" s="2"/>
      <c r="I1157" s="2"/>
      <c r="J1157" s="2"/>
      <c r="K1157" s="2"/>
      <c r="L1157" s="1"/>
      <c r="M1157" s="16"/>
      <c r="N1157" s="16"/>
      <c r="O1157" s="13"/>
    </row>
    <row r="1158" spans="1:16" x14ac:dyDescent="0.3">
      <c r="A1158" s="98" t="s">
        <v>1</v>
      </c>
      <c r="B1158" s="462" t="s">
        <v>2</v>
      </c>
      <c r="C1158" s="462"/>
      <c r="D1158" s="98"/>
      <c r="E1158" s="98"/>
      <c r="F1158" s="98"/>
      <c r="G1158" s="98"/>
      <c r="H1158" s="98"/>
      <c r="I1158" s="98"/>
      <c r="J1158" s="98"/>
      <c r="K1158" s="98"/>
      <c r="L1158" s="99"/>
      <c r="P1158" s="56"/>
    </row>
    <row r="1159" spans="1:16" x14ac:dyDescent="0.3">
      <c r="A1159" s="98" t="s">
        <v>3</v>
      </c>
      <c r="B1159" s="462" t="s">
        <v>490</v>
      </c>
      <c r="C1159" s="462"/>
      <c r="D1159" s="98"/>
      <c r="E1159" s="98"/>
      <c r="F1159" s="98"/>
      <c r="G1159" s="98"/>
      <c r="H1159" s="98"/>
      <c r="I1159" s="98"/>
      <c r="J1159" s="98"/>
      <c r="K1159" s="98"/>
      <c r="L1159" s="99"/>
      <c r="P1159" s="56"/>
    </row>
    <row r="1160" spans="1:16" x14ac:dyDescent="0.3">
      <c r="A1160" s="98" t="s">
        <v>4</v>
      </c>
      <c r="B1160" s="462" t="s">
        <v>497</v>
      </c>
      <c r="C1160" s="462"/>
      <c r="D1160" s="98"/>
      <c r="E1160" s="98"/>
      <c r="F1160" s="98"/>
      <c r="G1160" s="98"/>
      <c r="H1160" s="98"/>
      <c r="I1160" s="98"/>
      <c r="J1160" s="98"/>
      <c r="K1160" s="98"/>
      <c r="L1160" s="99"/>
      <c r="P1160" s="56"/>
    </row>
    <row r="1161" spans="1:16" x14ac:dyDescent="0.3">
      <c r="A1161" s="98" t="s">
        <v>5</v>
      </c>
      <c r="B1161" s="463">
        <v>3</v>
      </c>
      <c r="C1161" s="463"/>
      <c r="D1161" s="98"/>
      <c r="E1161" s="98"/>
      <c r="F1161" s="98"/>
      <c r="G1161" s="98"/>
      <c r="H1161" s="98"/>
      <c r="I1161" s="98"/>
      <c r="J1161" s="98"/>
      <c r="K1161" s="98"/>
      <c r="L1161" s="99"/>
      <c r="P1161" s="56"/>
    </row>
    <row r="1162" spans="1:16" x14ac:dyDescent="0.3">
      <c r="A1162" s="98" t="s">
        <v>6</v>
      </c>
      <c r="B1162" s="462" t="s">
        <v>491</v>
      </c>
      <c r="C1162" s="462"/>
      <c r="D1162" s="98"/>
      <c r="E1162" s="98"/>
      <c r="F1162" s="98"/>
      <c r="G1162" s="98"/>
      <c r="H1162" s="98"/>
      <c r="I1162" s="98"/>
      <c r="J1162" s="98"/>
      <c r="K1162" s="98"/>
      <c r="L1162" s="99"/>
      <c r="P1162" s="56"/>
    </row>
    <row r="1163" spans="1:16" x14ac:dyDescent="0.3">
      <c r="A1163" s="98" t="s">
        <v>68</v>
      </c>
      <c r="B1163" s="462"/>
      <c r="C1163" s="462"/>
      <c r="D1163" s="98"/>
      <c r="E1163" s="98"/>
      <c r="F1163" s="98"/>
      <c r="G1163" s="98"/>
      <c r="H1163" s="98"/>
      <c r="I1163" s="98"/>
      <c r="J1163" s="98"/>
      <c r="K1163" s="98"/>
      <c r="L1163" s="99"/>
      <c r="P1163" s="56"/>
    </row>
    <row r="1164" spans="1:16" x14ac:dyDescent="0.3">
      <c r="A1164" s="44"/>
      <c r="B1164" s="14"/>
      <c r="C1164" s="14"/>
      <c r="D1164" s="14"/>
      <c r="E1164" s="14"/>
      <c r="F1164" s="14"/>
      <c r="G1164" s="14"/>
      <c r="H1164" s="14"/>
      <c r="I1164" s="14"/>
      <c r="J1164" s="14"/>
      <c r="K1164" s="14"/>
      <c r="P1164" s="56"/>
    </row>
    <row r="1165" spans="1:16" ht="49.2" x14ac:dyDescent="0.3">
      <c r="A1165" s="42" t="s">
        <v>8</v>
      </c>
      <c r="B1165" s="42" t="s">
        <v>9</v>
      </c>
      <c r="C1165" s="42" t="s">
        <v>10</v>
      </c>
      <c r="D1165" s="42" t="s">
        <v>11</v>
      </c>
      <c r="E1165" s="43" t="s">
        <v>12</v>
      </c>
      <c r="F1165" s="43" t="s">
        <v>13</v>
      </c>
      <c r="G1165" s="43" t="s">
        <v>14</v>
      </c>
      <c r="H1165" s="43" t="s">
        <v>208</v>
      </c>
      <c r="I1165" s="43" t="s">
        <v>209</v>
      </c>
      <c r="J1165" s="43" t="s">
        <v>15</v>
      </c>
      <c r="K1165" s="43" t="s">
        <v>16</v>
      </c>
      <c r="L1165" s="14" t="s">
        <v>17</v>
      </c>
      <c r="M1165" s="14" t="s">
        <v>18</v>
      </c>
      <c r="N1165" s="14" t="s">
        <v>19</v>
      </c>
      <c r="P1165" s="56"/>
    </row>
    <row r="1166" spans="1:16" x14ac:dyDescent="0.3">
      <c r="A1166" s="12"/>
      <c r="B1166" s="42"/>
      <c r="C1166" s="42"/>
      <c r="D1166" s="42"/>
      <c r="E1166" s="42"/>
      <c r="F1166" s="42"/>
      <c r="G1166" s="42"/>
      <c r="H1166" s="42"/>
      <c r="I1166" s="42"/>
      <c r="J1166" s="42"/>
      <c r="K1166" s="42"/>
      <c r="N1166" t="s">
        <v>20</v>
      </c>
      <c r="O1166">
        <f>COUNT(G1167:G1178)</f>
        <v>10</v>
      </c>
      <c r="P1166" s="56"/>
    </row>
    <row r="1167" spans="1:16" x14ac:dyDescent="0.3">
      <c r="A1167" s="12">
        <v>1</v>
      </c>
      <c r="B1167" s="12" t="s">
        <v>146</v>
      </c>
      <c r="C1167" s="12" t="s">
        <v>94</v>
      </c>
      <c r="D1167" s="12" t="s">
        <v>1380</v>
      </c>
      <c r="E1167" s="12">
        <v>10</v>
      </c>
      <c r="F1167" s="12">
        <v>26</v>
      </c>
      <c r="G1167" s="12">
        <f>SUM(E1167:F1167)</f>
        <v>36</v>
      </c>
      <c r="H1167" s="12"/>
      <c r="I1167" s="12"/>
      <c r="J1167" s="12">
        <v>42</v>
      </c>
      <c r="K1167" s="12">
        <f>SUM(G1167:J1167)</f>
        <v>78</v>
      </c>
      <c r="L1167" t="str">
        <f t="shared" ref="L1167:L1175" si="149">IF(K1167&gt;=80,"A",IF(K1167&gt;=70,"B+",IF(K1167&gt;=60,"B",IF(K1167&gt;=55,"C+",IF(K1167&gt;=50,"C",IF(K1167&gt;=45,"D+",IF(K1167&gt;=40,"D","F")))))))</f>
        <v>B+</v>
      </c>
      <c r="M1167" t="str">
        <f t="shared" ref="M1167:M1175" si="150">IF(K1167&gt;=50,"Passed","Failed")</f>
        <v>Passed</v>
      </c>
      <c r="N1167" t="s">
        <v>21</v>
      </c>
      <c r="O1167">
        <f>COUNT(J1167:J1178)</f>
        <v>9</v>
      </c>
      <c r="P1167" s="56"/>
    </row>
    <row r="1168" spans="1:16" x14ac:dyDescent="0.3">
      <c r="A1168" s="12">
        <v>2</v>
      </c>
      <c r="B1168" s="60" t="s">
        <v>147</v>
      </c>
      <c r="C1168" s="12" t="s">
        <v>95</v>
      </c>
      <c r="D1168" s="12" t="s">
        <v>1379</v>
      </c>
      <c r="E1168" s="12">
        <v>10</v>
      </c>
      <c r="F1168" s="12">
        <v>26</v>
      </c>
      <c r="G1168" s="12">
        <f t="shared" ref="G1168:G1178" si="151">SUM(E1168:F1168)</f>
        <v>36</v>
      </c>
      <c r="H1168" s="12"/>
      <c r="I1168" s="12"/>
      <c r="J1168" s="12">
        <v>53</v>
      </c>
      <c r="K1168" s="12">
        <f t="shared" ref="K1168:K1178" si="152">SUM(G1168:J1168)</f>
        <v>89</v>
      </c>
      <c r="L1168" t="str">
        <f t="shared" si="149"/>
        <v>A</v>
      </c>
      <c r="M1168" t="str">
        <f t="shared" si="150"/>
        <v>Passed</v>
      </c>
      <c r="N1168" t="s">
        <v>22</v>
      </c>
      <c r="O1168">
        <f>O1166-O1167</f>
        <v>1</v>
      </c>
      <c r="P1168" s="56"/>
    </row>
    <row r="1169" spans="1:22" x14ac:dyDescent="0.3">
      <c r="A1169" s="12">
        <v>3</v>
      </c>
      <c r="B1169" s="12" t="s">
        <v>155</v>
      </c>
      <c r="C1169" s="12" t="s">
        <v>103</v>
      </c>
      <c r="D1169" s="12" t="s">
        <v>1378</v>
      </c>
      <c r="E1169" s="12">
        <v>10</v>
      </c>
      <c r="F1169" s="12">
        <v>26</v>
      </c>
      <c r="G1169" s="12">
        <f t="shared" si="151"/>
        <v>36</v>
      </c>
      <c r="H1169" s="12"/>
      <c r="I1169" s="12"/>
      <c r="J1169" s="12">
        <v>36</v>
      </c>
      <c r="K1169" s="12">
        <f t="shared" si="152"/>
        <v>72</v>
      </c>
      <c r="L1169" t="str">
        <f t="shared" si="149"/>
        <v>B+</v>
      </c>
      <c r="M1169" t="str">
        <f t="shared" si="150"/>
        <v>Passed</v>
      </c>
      <c r="N1169" t="s">
        <v>23</v>
      </c>
      <c r="O1169">
        <f>COUNTIF(M1167:M1178,"Passed")</f>
        <v>9</v>
      </c>
      <c r="P1169" s="56"/>
    </row>
    <row r="1170" spans="1:22" x14ac:dyDescent="0.3">
      <c r="A1170" s="50">
        <v>4</v>
      </c>
      <c r="B1170" s="429" t="s">
        <v>182</v>
      </c>
      <c r="C1170" s="429" t="s">
        <v>105</v>
      </c>
      <c r="D1170" s="429" t="s">
        <v>1371</v>
      </c>
      <c r="E1170" s="429">
        <v>8</v>
      </c>
      <c r="F1170" s="429">
        <v>28</v>
      </c>
      <c r="G1170" s="429">
        <f t="shared" si="151"/>
        <v>36</v>
      </c>
      <c r="H1170" s="429"/>
      <c r="I1170" s="429"/>
      <c r="J1170" s="429" t="s">
        <v>1938</v>
      </c>
      <c r="K1170" s="12"/>
      <c r="N1170" t="s">
        <v>24</v>
      </c>
      <c r="O1170" s="179">
        <f>O1169/O1167%</f>
        <v>100</v>
      </c>
      <c r="P1170" s="56"/>
    </row>
    <row r="1171" spans="1:22" x14ac:dyDescent="0.3">
      <c r="A1171" s="12">
        <v>5</v>
      </c>
      <c r="B1171" s="12" t="s">
        <v>161</v>
      </c>
      <c r="C1171" s="12" t="s">
        <v>111</v>
      </c>
      <c r="D1171" s="12" t="s">
        <v>1371</v>
      </c>
      <c r="E1171" s="12"/>
      <c r="F1171" s="12"/>
      <c r="G1171" s="12"/>
      <c r="H1171" s="12"/>
      <c r="I1171" s="12"/>
      <c r="J1171" s="12"/>
      <c r="K1171" s="12"/>
      <c r="N1171" t="s">
        <v>25</v>
      </c>
      <c r="O1171">
        <f>COUNTIF(M1167:M1178,"failed")</f>
        <v>0</v>
      </c>
      <c r="P1171" s="56"/>
    </row>
    <row r="1172" spans="1:22" x14ac:dyDescent="0.3">
      <c r="A1172" s="12">
        <v>6</v>
      </c>
      <c r="B1172" s="12" t="s">
        <v>169</v>
      </c>
      <c r="C1172" s="12" t="s">
        <v>122</v>
      </c>
      <c r="D1172" s="12" t="s">
        <v>1371</v>
      </c>
      <c r="E1172" s="12"/>
      <c r="F1172" s="12"/>
      <c r="G1172" s="12"/>
      <c r="H1172" s="12"/>
      <c r="I1172" s="12"/>
      <c r="J1172" s="12"/>
      <c r="K1172" s="12"/>
      <c r="N1172" t="s">
        <v>26</v>
      </c>
      <c r="O1172" s="179">
        <f>O1171/O1167%</f>
        <v>0</v>
      </c>
      <c r="P1172" s="56"/>
    </row>
    <row r="1173" spans="1:22" x14ac:dyDescent="0.3">
      <c r="A1173" s="12">
        <v>7</v>
      </c>
      <c r="B1173" s="12" t="s">
        <v>421</v>
      </c>
      <c r="C1173" s="12" t="s">
        <v>129</v>
      </c>
      <c r="D1173" s="12" t="s">
        <v>1377</v>
      </c>
      <c r="E1173" s="12">
        <v>10</v>
      </c>
      <c r="F1173" s="12">
        <v>26</v>
      </c>
      <c r="G1173" s="12">
        <f t="shared" si="151"/>
        <v>36</v>
      </c>
      <c r="H1173" s="12"/>
      <c r="I1173" s="12"/>
      <c r="J1173" s="12">
        <v>48</v>
      </c>
      <c r="K1173" s="12">
        <f t="shared" si="152"/>
        <v>84</v>
      </c>
      <c r="L1173" t="str">
        <f t="shared" si="149"/>
        <v>A</v>
      </c>
      <c r="M1173" t="str">
        <f t="shared" si="150"/>
        <v>Passed</v>
      </c>
      <c r="N1173" t="s">
        <v>27</v>
      </c>
      <c r="O1173" s="179">
        <f>AVERAGE(K1167:K1178)</f>
        <v>79.555555555555557</v>
      </c>
      <c r="P1173" s="56"/>
    </row>
    <row r="1174" spans="1:22" x14ac:dyDescent="0.3">
      <c r="A1174" s="12">
        <v>8</v>
      </c>
      <c r="B1174" s="12" t="s">
        <v>177</v>
      </c>
      <c r="C1174" s="12" t="s">
        <v>132</v>
      </c>
      <c r="D1174" s="12" t="s">
        <v>1376</v>
      </c>
      <c r="E1174" s="12">
        <v>10</v>
      </c>
      <c r="F1174" s="12">
        <v>28</v>
      </c>
      <c r="G1174" s="12">
        <f t="shared" si="151"/>
        <v>38</v>
      </c>
      <c r="H1174" s="12"/>
      <c r="I1174" s="12"/>
      <c r="J1174" s="12">
        <v>42</v>
      </c>
      <c r="K1174" s="12">
        <f t="shared" si="152"/>
        <v>80</v>
      </c>
      <c r="L1174" t="str">
        <f t="shared" si="149"/>
        <v>A</v>
      </c>
      <c r="M1174" t="str">
        <f t="shared" si="150"/>
        <v>Passed</v>
      </c>
      <c r="P1174" s="56"/>
    </row>
    <row r="1175" spans="1:22" x14ac:dyDescent="0.3">
      <c r="A1175" s="12">
        <v>9</v>
      </c>
      <c r="B1175" s="12" t="s">
        <v>179</v>
      </c>
      <c r="C1175" s="12" t="s">
        <v>134</v>
      </c>
      <c r="D1175" s="12" t="s">
        <v>1375</v>
      </c>
      <c r="E1175" s="12">
        <v>10</v>
      </c>
      <c r="F1175" s="12">
        <v>27</v>
      </c>
      <c r="G1175" s="12">
        <f t="shared" si="151"/>
        <v>37</v>
      </c>
      <c r="H1175" s="12"/>
      <c r="I1175" s="12"/>
      <c r="J1175" s="12">
        <v>38</v>
      </c>
      <c r="K1175" s="12">
        <f t="shared" si="152"/>
        <v>75</v>
      </c>
      <c r="L1175" t="str">
        <f t="shared" si="149"/>
        <v>B+</v>
      </c>
      <c r="M1175" t="str">
        <f t="shared" si="150"/>
        <v>Passed</v>
      </c>
      <c r="P1175" s="56"/>
    </row>
    <row r="1176" spans="1:22" x14ac:dyDescent="0.3">
      <c r="A1176" s="12">
        <v>10</v>
      </c>
      <c r="B1176" s="12" t="s">
        <v>180</v>
      </c>
      <c r="C1176" s="12" t="s">
        <v>136</v>
      </c>
      <c r="D1176" s="12" t="s">
        <v>1374</v>
      </c>
      <c r="E1176" s="12">
        <v>10</v>
      </c>
      <c r="F1176" s="12">
        <v>27</v>
      </c>
      <c r="G1176" s="12">
        <f t="shared" si="151"/>
        <v>37</v>
      </c>
      <c r="H1176" s="12"/>
      <c r="I1176" s="12"/>
      <c r="J1176" s="12">
        <v>46</v>
      </c>
      <c r="K1176" s="12">
        <f t="shared" si="152"/>
        <v>83</v>
      </c>
      <c r="L1176" t="str">
        <f t="shared" ref="L1176:L1178" si="153">IF(K1176&gt;=80,"A",IF(K1176&gt;=70,"B+",IF(K1176&gt;=60,"B",IF(K1176&gt;=55,"C+",IF(K1176&gt;=50,"C",IF(K1176&gt;=45,"D+",IF(K1176&gt;=40,"D","F")))))))</f>
        <v>A</v>
      </c>
      <c r="M1176" t="str">
        <f t="shared" ref="M1176:M1178" si="154">IF(K1176&gt;=50,"Passed","Failed")</f>
        <v>Passed</v>
      </c>
      <c r="O1176" t="s">
        <v>28</v>
      </c>
      <c r="P1176" s="56" t="s">
        <v>29</v>
      </c>
      <c r="Q1176" t="s">
        <v>30</v>
      </c>
      <c r="R1176" t="s">
        <v>31</v>
      </c>
      <c r="S1176" t="s">
        <v>32</v>
      </c>
      <c r="T1176" t="s">
        <v>33</v>
      </c>
      <c r="U1176" t="s">
        <v>34</v>
      </c>
      <c r="V1176" t="s">
        <v>35</v>
      </c>
    </row>
    <row r="1177" spans="1:22" x14ac:dyDescent="0.3">
      <c r="A1177" s="12">
        <v>11</v>
      </c>
      <c r="B1177" s="12" t="s">
        <v>183</v>
      </c>
      <c r="C1177" s="12" t="s">
        <v>140</v>
      </c>
      <c r="D1177" s="12" t="s">
        <v>1373</v>
      </c>
      <c r="E1177" s="12">
        <v>10</v>
      </c>
      <c r="F1177" s="12">
        <v>26</v>
      </c>
      <c r="G1177" s="12">
        <f t="shared" si="151"/>
        <v>36</v>
      </c>
      <c r="H1177" s="12"/>
      <c r="I1177" s="12"/>
      <c r="J1177" s="12">
        <v>50</v>
      </c>
      <c r="K1177" s="12">
        <f t="shared" si="152"/>
        <v>86</v>
      </c>
      <c r="L1177" t="str">
        <f t="shared" si="153"/>
        <v>A</v>
      </c>
      <c r="M1177" t="str">
        <f t="shared" si="154"/>
        <v>Passed</v>
      </c>
      <c r="O1177">
        <f>COUNTIF(L1167:L1178,"A")</f>
        <v>5</v>
      </c>
      <c r="P1177" s="56">
        <f>COUNTIF(L1167:L1178,"B+")</f>
        <v>3</v>
      </c>
      <c r="Q1177">
        <f>COUNTIF(L1167:L1178,"B")</f>
        <v>1</v>
      </c>
      <c r="R1177">
        <f>COUNTIF(L1167:L1178,"C+")</f>
        <v>0</v>
      </c>
      <c r="S1177">
        <f>COUNTIF(L1167:L1178,"C")</f>
        <v>0</v>
      </c>
      <c r="T1177">
        <f>COUNTIF(L1167:L1178,"D+")</f>
        <v>0</v>
      </c>
      <c r="U1177">
        <f>COUNTIF(L1167:L1178,"D")</f>
        <v>0</v>
      </c>
      <c r="V1177">
        <f>COUNTIF(L1167:L1178,"F")</f>
        <v>0</v>
      </c>
    </row>
    <row r="1178" spans="1:22" x14ac:dyDescent="0.3">
      <c r="A1178" s="12">
        <v>12</v>
      </c>
      <c r="B1178" s="12" t="s">
        <v>184</v>
      </c>
      <c r="C1178" s="12" t="s">
        <v>142</v>
      </c>
      <c r="D1178" s="12" t="s">
        <v>1372</v>
      </c>
      <c r="E1178" s="12">
        <v>9</v>
      </c>
      <c r="F1178" s="12">
        <v>26</v>
      </c>
      <c r="G1178" s="12">
        <f t="shared" si="151"/>
        <v>35</v>
      </c>
      <c r="H1178" s="12"/>
      <c r="I1178" s="12"/>
      <c r="J1178" s="12">
        <v>34</v>
      </c>
      <c r="K1178" s="12">
        <f t="shared" si="152"/>
        <v>69</v>
      </c>
      <c r="L1178" t="str">
        <f t="shared" si="153"/>
        <v>B</v>
      </c>
      <c r="M1178" t="str">
        <f t="shared" si="154"/>
        <v>Passed</v>
      </c>
      <c r="P1178" s="56"/>
    </row>
    <row r="1179" spans="1:22" x14ac:dyDescent="0.3">
      <c r="P1179" s="56"/>
    </row>
    <row r="1180" spans="1:22" x14ac:dyDescent="0.3">
      <c r="A1180" s="56"/>
      <c r="B1180" s="56"/>
      <c r="C1180" s="56"/>
      <c r="D1180" s="56"/>
      <c r="E1180" s="56"/>
      <c r="F1180" s="56"/>
      <c r="G1180" s="56"/>
      <c r="H1180" s="56"/>
      <c r="I1180" s="56"/>
      <c r="J1180" s="56"/>
      <c r="K1180" s="56"/>
      <c r="L1180" s="56"/>
      <c r="M1180" s="56"/>
      <c r="P1180" s="56"/>
    </row>
    <row r="1181" spans="1:22" x14ac:dyDescent="0.3">
      <c r="A1181" s="56"/>
      <c r="B1181" s="56"/>
      <c r="C1181" s="56"/>
      <c r="D1181" s="56"/>
      <c r="E1181" s="56"/>
      <c r="F1181" s="56"/>
      <c r="G1181" s="56"/>
      <c r="H1181" s="56"/>
      <c r="I1181" s="56"/>
      <c r="J1181" s="56"/>
      <c r="K1181" s="56"/>
      <c r="L1181" s="56"/>
      <c r="M1181" s="56"/>
      <c r="P1181" s="56"/>
    </row>
    <row r="1182" spans="1:22" s="56" customFormat="1" x14ac:dyDescent="0.3"/>
    <row r="1189" spans="1:15" x14ac:dyDescent="0.3">
      <c r="A1189" s="327" t="s">
        <v>0</v>
      </c>
      <c r="B1189" s="328"/>
      <c r="C1189" s="328"/>
    </row>
    <row r="1190" spans="1:15" x14ac:dyDescent="0.3">
      <c r="A1190" s="14" t="s">
        <v>66</v>
      </c>
      <c r="B1190" s="14"/>
      <c r="C1190" s="14"/>
    </row>
    <row r="1191" spans="1:15" x14ac:dyDescent="0.3">
      <c r="A1191" s="460" t="s">
        <v>143</v>
      </c>
      <c r="B1191" s="461"/>
      <c r="C1191" s="461"/>
    </row>
    <row r="1192" spans="1:15" x14ac:dyDescent="0.3">
      <c r="A1192" s="327" t="s">
        <v>1</v>
      </c>
      <c r="B1192" s="462" t="s">
        <v>2</v>
      </c>
      <c r="C1192" s="462"/>
    </row>
    <row r="1193" spans="1:15" x14ac:dyDescent="0.3">
      <c r="A1193" s="327" t="s">
        <v>3</v>
      </c>
      <c r="B1193" s="462" t="s">
        <v>90</v>
      </c>
      <c r="C1193" s="462"/>
    </row>
    <row r="1194" spans="1:15" x14ac:dyDescent="0.3">
      <c r="A1194" s="327" t="s">
        <v>4</v>
      </c>
      <c r="B1194" s="462" t="s">
        <v>678</v>
      </c>
      <c r="C1194" s="462"/>
    </row>
    <row r="1195" spans="1:15" x14ac:dyDescent="0.3">
      <c r="A1195" s="327" t="s">
        <v>5</v>
      </c>
      <c r="B1195" s="463">
        <v>3</v>
      </c>
      <c r="C1195" s="463"/>
    </row>
    <row r="1196" spans="1:15" x14ac:dyDescent="0.3">
      <c r="A1196" s="327" t="s">
        <v>6</v>
      </c>
      <c r="B1196" s="462" t="s">
        <v>491</v>
      </c>
      <c r="C1196" s="462"/>
    </row>
    <row r="1197" spans="1:15" x14ac:dyDescent="0.3">
      <c r="A1197" s="327" t="s">
        <v>68</v>
      </c>
      <c r="B1197" s="462" t="s">
        <v>679</v>
      </c>
      <c r="C1197" s="462"/>
    </row>
    <row r="1199" spans="1:15" ht="49.2" x14ac:dyDescent="0.3">
      <c r="A1199" s="329" t="s">
        <v>8</v>
      </c>
      <c r="B1199" s="329" t="s">
        <v>9</v>
      </c>
      <c r="C1199" s="329" t="s">
        <v>10</v>
      </c>
      <c r="D1199" s="329" t="s">
        <v>11</v>
      </c>
      <c r="E1199" s="43" t="s">
        <v>12</v>
      </c>
      <c r="F1199" s="43" t="s">
        <v>13</v>
      </c>
      <c r="G1199" s="43" t="s">
        <v>14</v>
      </c>
      <c r="H1199" s="43" t="s">
        <v>208</v>
      </c>
      <c r="I1199" s="43" t="s">
        <v>209</v>
      </c>
      <c r="J1199" s="43" t="s">
        <v>15</v>
      </c>
      <c r="K1199" s="43" t="s">
        <v>16</v>
      </c>
      <c r="L1199" s="338" t="s">
        <v>487</v>
      </c>
      <c r="M1199" s="338" t="s">
        <v>488</v>
      </c>
      <c r="N1199" s="338" t="s">
        <v>489</v>
      </c>
    </row>
    <row r="1200" spans="1:15" x14ac:dyDescent="0.3">
      <c r="N1200" t="s">
        <v>20</v>
      </c>
      <c r="O1200">
        <f>COUNT(G1201:G1212)</f>
        <v>10</v>
      </c>
    </row>
    <row r="1201" spans="1:22" x14ac:dyDescent="0.3">
      <c r="A1201" s="12">
        <v>1</v>
      </c>
      <c r="B1201" s="12" t="s">
        <v>146</v>
      </c>
      <c r="C1201" s="12" t="s">
        <v>94</v>
      </c>
      <c r="D1201" s="12" t="s">
        <v>1222</v>
      </c>
      <c r="E1201" s="12">
        <v>10</v>
      </c>
      <c r="F1201" s="12">
        <v>26</v>
      </c>
      <c r="G1201" s="12">
        <f>SUM(E1201:F1201)</f>
        <v>36</v>
      </c>
      <c r="H1201" s="12"/>
      <c r="I1201" s="12"/>
      <c r="J1201" s="12">
        <v>53</v>
      </c>
      <c r="K1201" s="12">
        <f>SUM(G1201:J1201)</f>
        <v>89</v>
      </c>
      <c r="L1201" t="str">
        <f t="shared" ref="L1201:L1212" si="155">IF(K1201&gt;=80,"A",IF(K1201&gt;=70,"B+",IF(K1201&gt;=60,"B",IF(K1201&gt;=55,"C+",IF(K1201&gt;=50,"C",IF(K1201&gt;=45,"D+",IF(K1201&gt;=40,"D","F")))))))</f>
        <v>A</v>
      </c>
      <c r="M1201" t="str">
        <f t="shared" ref="M1201:M1212" si="156">IF(K1201&gt;=50,"Passed","Failed")</f>
        <v>Passed</v>
      </c>
      <c r="N1201" t="s">
        <v>21</v>
      </c>
      <c r="O1201">
        <f>COUNT(J1201:J1212)</f>
        <v>9</v>
      </c>
    </row>
    <row r="1202" spans="1:22" x14ac:dyDescent="0.3">
      <c r="A1202" s="12">
        <v>2</v>
      </c>
      <c r="B1202" s="60" t="s">
        <v>147</v>
      </c>
      <c r="C1202" s="12" t="s">
        <v>95</v>
      </c>
      <c r="D1202" s="12" t="s">
        <v>1221</v>
      </c>
      <c r="E1202" s="12">
        <v>10</v>
      </c>
      <c r="F1202" s="12">
        <v>27</v>
      </c>
      <c r="G1202" s="12">
        <f t="shared" ref="G1202:G1212" si="157">SUM(E1202:F1202)</f>
        <v>37</v>
      </c>
      <c r="H1202" s="12"/>
      <c r="I1202" s="12"/>
      <c r="J1202" s="12">
        <v>55</v>
      </c>
      <c r="K1202" s="12">
        <f t="shared" ref="K1202:K1212" si="158">SUM(G1202:J1202)</f>
        <v>92</v>
      </c>
      <c r="L1202" t="str">
        <f t="shared" si="155"/>
        <v>A</v>
      </c>
      <c r="M1202" t="str">
        <f t="shared" si="156"/>
        <v>Passed</v>
      </c>
      <c r="N1202" t="s">
        <v>22</v>
      </c>
      <c r="O1202">
        <f>O1200-O1201</f>
        <v>1</v>
      </c>
    </row>
    <row r="1203" spans="1:22" x14ac:dyDescent="0.3">
      <c r="A1203" s="12">
        <v>3</v>
      </c>
      <c r="B1203" s="12" t="s">
        <v>155</v>
      </c>
      <c r="C1203" s="12" t="s">
        <v>103</v>
      </c>
      <c r="D1203" s="12" t="s">
        <v>1226</v>
      </c>
      <c r="E1203" s="12">
        <v>10</v>
      </c>
      <c r="F1203" s="12">
        <v>28</v>
      </c>
      <c r="G1203" s="12">
        <f t="shared" si="157"/>
        <v>38</v>
      </c>
      <c r="H1203" s="12"/>
      <c r="I1203" s="12"/>
      <c r="J1203" s="12">
        <v>46</v>
      </c>
      <c r="K1203" s="12">
        <f t="shared" si="158"/>
        <v>84</v>
      </c>
      <c r="L1203" t="str">
        <f t="shared" si="155"/>
        <v>A</v>
      </c>
      <c r="M1203" t="str">
        <f t="shared" si="156"/>
        <v>Passed</v>
      </c>
      <c r="N1203" t="s">
        <v>23</v>
      </c>
      <c r="O1203">
        <f>COUNTIF(M1201:M1212,"Passed")</f>
        <v>9</v>
      </c>
    </row>
    <row r="1204" spans="1:22" x14ac:dyDescent="0.3">
      <c r="A1204" s="50">
        <v>4</v>
      </c>
      <c r="B1204" s="429" t="s">
        <v>182</v>
      </c>
      <c r="C1204" s="429" t="s">
        <v>105</v>
      </c>
      <c r="D1204" s="429" t="s">
        <v>1218</v>
      </c>
      <c r="E1204" s="429">
        <v>7.5</v>
      </c>
      <c r="F1204" s="429">
        <v>25</v>
      </c>
      <c r="G1204" s="429">
        <f t="shared" si="157"/>
        <v>32.5</v>
      </c>
      <c r="H1204" s="429"/>
      <c r="I1204" s="429"/>
      <c r="J1204" s="429" t="s">
        <v>1938</v>
      </c>
      <c r="K1204" s="12"/>
      <c r="N1204" t="s">
        <v>24</v>
      </c>
      <c r="O1204">
        <f>O1203/O1201%</f>
        <v>100</v>
      </c>
    </row>
    <row r="1205" spans="1:22" x14ac:dyDescent="0.3">
      <c r="A1205" s="12">
        <v>5</v>
      </c>
      <c r="B1205" s="12" t="s">
        <v>161</v>
      </c>
      <c r="C1205" s="12" t="s">
        <v>111</v>
      </c>
      <c r="D1205" s="12" t="s">
        <v>1218</v>
      </c>
      <c r="E1205" s="12"/>
      <c r="F1205" s="12"/>
      <c r="G1205" s="12"/>
      <c r="H1205" s="12"/>
      <c r="I1205" s="12"/>
      <c r="J1205" s="12"/>
      <c r="K1205" s="12"/>
      <c r="N1205" t="s">
        <v>25</v>
      </c>
      <c r="O1205">
        <f>COUNTIF(M1201:M1212,"failed")</f>
        <v>0</v>
      </c>
    </row>
    <row r="1206" spans="1:22" x14ac:dyDescent="0.3">
      <c r="A1206" s="12">
        <v>6</v>
      </c>
      <c r="B1206" s="12" t="s">
        <v>169</v>
      </c>
      <c r="C1206" s="12" t="s">
        <v>122</v>
      </c>
      <c r="D1206" s="12" t="s">
        <v>1218</v>
      </c>
      <c r="E1206" s="12"/>
      <c r="F1206" s="12"/>
      <c r="G1206" s="12"/>
      <c r="H1206" s="12"/>
      <c r="I1206" s="12"/>
      <c r="J1206" s="12"/>
      <c r="K1206" s="12"/>
      <c r="N1206" t="s">
        <v>26</v>
      </c>
      <c r="O1206">
        <f>O1205/O1201%</f>
        <v>0</v>
      </c>
    </row>
    <row r="1207" spans="1:22" x14ac:dyDescent="0.3">
      <c r="A1207" s="12">
        <v>7</v>
      </c>
      <c r="B1207" s="12" t="s">
        <v>421</v>
      </c>
      <c r="C1207" s="12" t="s">
        <v>129</v>
      </c>
      <c r="D1207" s="12" t="s">
        <v>1225</v>
      </c>
      <c r="E1207" s="12">
        <v>10</v>
      </c>
      <c r="F1207" s="12">
        <v>27</v>
      </c>
      <c r="G1207" s="12">
        <f t="shared" si="157"/>
        <v>37</v>
      </c>
      <c r="H1207" s="12"/>
      <c r="I1207" s="12"/>
      <c r="J1207" s="12">
        <v>52</v>
      </c>
      <c r="K1207" s="12">
        <f t="shared" si="158"/>
        <v>89</v>
      </c>
      <c r="L1207" t="str">
        <f t="shared" si="155"/>
        <v>A</v>
      </c>
      <c r="M1207" t="str">
        <f t="shared" si="156"/>
        <v>Passed</v>
      </c>
      <c r="N1207" t="s">
        <v>27</v>
      </c>
      <c r="O1207">
        <f>AVERAGE(K1201:K1212)</f>
        <v>84.555555555555557</v>
      </c>
    </row>
    <row r="1208" spans="1:22" x14ac:dyDescent="0.3">
      <c r="A1208" s="12">
        <v>8</v>
      </c>
      <c r="B1208" s="12" t="s">
        <v>177</v>
      </c>
      <c r="C1208" s="12" t="s">
        <v>132</v>
      </c>
      <c r="D1208" s="12" t="s">
        <v>1227</v>
      </c>
      <c r="E1208" s="12">
        <v>10</v>
      </c>
      <c r="F1208" s="12">
        <v>28</v>
      </c>
      <c r="G1208" s="12">
        <f t="shared" si="157"/>
        <v>38</v>
      </c>
      <c r="H1208" s="12"/>
      <c r="I1208" s="12"/>
      <c r="J1208" s="12">
        <v>55</v>
      </c>
      <c r="K1208" s="12">
        <f t="shared" si="158"/>
        <v>93</v>
      </c>
      <c r="L1208" t="str">
        <f t="shared" si="155"/>
        <v>A</v>
      </c>
      <c r="M1208" t="str">
        <f t="shared" si="156"/>
        <v>Passed</v>
      </c>
    </row>
    <row r="1209" spans="1:22" x14ac:dyDescent="0.3">
      <c r="A1209" s="12">
        <v>9</v>
      </c>
      <c r="B1209" s="12" t="s">
        <v>179</v>
      </c>
      <c r="C1209" s="12" t="s">
        <v>134</v>
      </c>
      <c r="D1209" s="12" t="s">
        <v>1220</v>
      </c>
      <c r="E1209" s="12">
        <v>10</v>
      </c>
      <c r="F1209" s="12">
        <v>28</v>
      </c>
      <c r="G1209" s="12">
        <f t="shared" si="157"/>
        <v>38</v>
      </c>
      <c r="H1209" s="12"/>
      <c r="I1209" s="12"/>
      <c r="J1209" s="12">
        <v>34</v>
      </c>
      <c r="K1209" s="12">
        <f t="shared" si="158"/>
        <v>72</v>
      </c>
      <c r="L1209" t="str">
        <f t="shared" si="155"/>
        <v>B+</v>
      </c>
      <c r="M1209" t="str">
        <f t="shared" si="156"/>
        <v>Passed</v>
      </c>
    </row>
    <row r="1210" spans="1:22" x14ac:dyDescent="0.3">
      <c r="A1210" s="12">
        <v>10</v>
      </c>
      <c r="B1210" s="12" t="s">
        <v>180</v>
      </c>
      <c r="C1210" s="12" t="s">
        <v>136</v>
      </c>
      <c r="D1210" s="12" t="s">
        <v>1223</v>
      </c>
      <c r="E1210" s="12">
        <v>10</v>
      </c>
      <c r="F1210" s="12">
        <v>27</v>
      </c>
      <c r="G1210" s="12">
        <f t="shared" si="157"/>
        <v>37</v>
      </c>
      <c r="H1210" s="12"/>
      <c r="I1210" s="12"/>
      <c r="J1210" s="12">
        <v>40</v>
      </c>
      <c r="K1210" s="12">
        <f t="shared" si="158"/>
        <v>77</v>
      </c>
      <c r="L1210" t="str">
        <f t="shared" si="155"/>
        <v>B+</v>
      </c>
      <c r="M1210" t="str">
        <f t="shared" si="156"/>
        <v>Passed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 t="s">
        <v>33</v>
      </c>
      <c r="U1210" t="s">
        <v>34</v>
      </c>
      <c r="V1210" t="s">
        <v>35</v>
      </c>
    </row>
    <row r="1211" spans="1:22" x14ac:dyDescent="0.3">
      <c r="A1211" s="12">
        <v>11</v>
      </c>
      <c r="B1211" s="12" t="s">
        <v>183</v>
      </c>
      <c r="C1211" s="12" t="s">
        <v>140</v>
      </c>
      <c r="D1211" s="12" t="s">
        <v>1224</v>
      </c>
      <c r="E1211" s="12">
        <v>10</v>
      </c>
      <c r="F1211" s="12">
        <v>26</v>
      </c>
      <c r="G1211" s="12">
        <f t="shared" si="157"/>
        <v>36</v>
      </c>
      <c r="H1211" s="12"/>
      <c r="I1211" s="12"/>
      <c r="J1211" s="12">
        <v>50</v>
      </c>
      <c r="K1211" s="12">
        <f t="shared" si="158"/>
        <v>86</v>
      </c>
      <c r="L1211" t="str">
        <f t="shared" si="155"/>
        <v>A</v>
      </c>
      <c r="M1211" t="str">
        <f t="shared" si="156"/>
        <v>Passed</v>
      </c>
      <c r="O1211">
        <f>COUNTIF(L1201:L1212,"A")</f>
        <v>6</v>
      </c>
      <c r="P1211">
        <f>COUNTIF(L1201:L1212,"B+")</f>
        <v>3</v>
      </c>
      <c r="Q1211">
        <f>COUNTIF(L1201:L1212,"B")</f>
        <v>0</v>
      </c>
      <c r="R1211">
        <f>COUNTIF(L1201:L1212,"C+")</f>
        <v>0</v>
      </c>
      <c r="S1211">
        <f>COUNTIF(L1201:L1212,"C")</f>
        <v>0</v>
      </c>
      <c r="T1211">
        <f>COUNTIF(L1201:L1212,"D+")</f>
        <v>0</v>
      </c>
      <c r="U1211">
        <f>COUNTIF(L1201:L1212,"D")</f>
        <v>0</v>
      </c>
      <c r="V1211">
        <f>COUNTIF(L1201:L1212,"F")</f>
        <v>0</v>
      </c>
    </row>
    <row r="1212" spans="1:22" x14ac:dyDescent="0.3">
      <c r="A1212" s="12">
        <v>12</v>
      </c>
      <c r="B1212" s="12" t="s">
        <v>184</v>
      </c>
      <c r="C1212" s="12" t="s">
        <v>142</v>
      </c>
      <c r="D1212" s="12" t="s">
        <v>1219</v>
      </c>
      <c r="E1212" s="12">
        <v>10</v>
      </c>
      <c r="F1212" s="12">
        <v>26</v>
      </c>
      <c r="G1212" s="12">
        <f t="shared" si="157"/>
        <v>36</v>
      </c>
      <c r="H1212" s="12"/>
      <c r="I1212" s="12"/>
      <c r="J1212" s="12">
        <v>43</v>
      </c>
      <c r="K1212" s="12">
        <f t="shared" si="158"/>
        <v>79</v>
      </c>
      <c r="L1212" t="str">
        <f t="shared" si="155"/>
        <v>B+</v>
      </c>
      <c r="M1212" t="str">
        <f t="shared" si="156"/>
        <v>Passed</v>
      </c>
    </row>
    <row r="1221" spans="1:15" x14ac:dyDescent="0.3">
      <c r="A1221" s="327" t="s">
        <v>0</v>
      </c>
      <c r="B1221" s="328"/>
      <c r="C1221" s="328"/>
    </row>
    <row r="1222" spans="1:15" x14ac:dyDescent="0.3">
      <c r="A1222" s="14" t="s">
        <v>66</v>
      </c>
      <c r="B1222" s="14"/>
      <c r="C1222" s="14"/>
    </row>
    <row r="1223" spans="1:15" x14ac:dyDescent="0.3">
      <c r="A1223" s="460" t="s">
        <v>143</v>
      </c>
      <c r="B1223" s="461"/>
      <c r="C1223" s="461"/>
    </row>
    <row r="1224" spans="1:15" x14ac:dyDescent="0.3">
      <c r="A1224" s="327" t="s">
        <v>1</v>
      </c>
      <c r="B1224" s="462" t="s">
        <v>2</v>
      </c>
      <c r="C1224" s="462"/>
    </row>
    <row r="1225" spans="1:15" x14ac:dyDescent="0.3">
      <c r="A1225" s="327" t="s">
        <v>3</v>
      </c>
      <c r="B1225" s="462" t="s">
        <v>494</v>
      </c>
      <c r="C1225" s="462"/>
    </row>
    <row r="1226" spans="1:15" x14ac:dyDescent="0.3">
      <c r="A1226" s="327" t="s">
        <v>4</v>
      </c>
      <c r="B1226" s="462" t="s">
        <v>492</v>
      </c>
      <c r="C1226" s="462"/>
    </row>
    <row r="1227" spans="1:15" x14ac:dyDescent="0.3">
      <c r="A1227" s="327" t="s">
        <v>5</v>
      </c>
      <c r="B1227" s="463">
        <v>3</v>
      </c>
      <c r="C1227" s="463"/>
    </row>
    <row r="1228" spans="1:15" x14ac:dyDescent="0.3">
      <c r="A1228" s="327" t="s">
        <v>6</v>
      </c>
      <c r="B1228" s="462" t="s">
        <v>493</v>
      </c>
      <c r="C1228" s="462"/>
    </row>
    <row r="1229" spans="1:15" x14ac:dyDescent="0.3">
      <c r="A1229" s="327" t="s">
        <v>68</v>
      </c>
      <c r="B1229" s="462"/>
      <c r="C1229" s="462"/>
    </row>
    <row r="1231" spans="1:15" ht="49.2" x14ac:dyDescent="0.3">
      <c r="A1231" s="329" t="s">
        <v>8</v>
      </c>
      <c r="B1231" s="329" t="s">
        <v>9</v>
      </c>
      <c r="C1231" s="329" t="s">
        <v>10</v>
      </c>
      <c r="D1231" s="329" t="s">
        <v>11</v>
      </c>
      <c r="E1231" s="43" t="s">
        <v>12</v>
      </c>
      <c r="F1231" s="43" t="s">
        <v>13</v>
      </c>
      <c r="G1231" s="43" t="s">
        <v>14</v>
      </c>
      <c r="H1231" s="43" t="s">
        <v>208</v>
      </c>
      <c r="I1231" s="43" t="s">
        <v>209</v>
      </c>
      <c r="J1231" s="43" t="s">
        <v>15</v>
      </c>
      <c r="K1231" s="43" t="s">
        <v>16</v>
      </c>
      <c r="L1231" s="338" t="s">
        <v>487</v>
      </c>
      <c r="M1231" s="338" t="s">
        <v>488</v>
      </c>
      <c r="N1231" s="338" t="s">
        <v>489</v>
      </c>
    </row>
    <row r="1232" spans="1:15" x14ac:dyDescent="0.3">
      <c r="N1232" t="s">
        <v>20</v>
      </c>
      <c r="O1232">
        <f>COUNT(G1233:G1244)</f>
        <v>9</v>
      </c>
    </row>
    <row r="1233" spans="1:22" x14ac:dyDescent="0.3">
      <c r="A1233" s="12">
        <v>1</v>
      </c>
      <c r="B1233" s="12" t="s">
        <v>146</v>
      </c>
      <c r="C1233" s="12" t="s">
        <v>94</v>
      </c>
      <c r="D1233" s="12" t="s">
        <v>1230</v>
      </c>
      <c r="E1233" s="12">
        <v>10</v>
      </c>
      <c r="F1233" s="12">
        <v>23</v>
      </c>
      <c r="G1233" s="12">
        <f>SUM(E1233:F1233)</f>
        <v>33</v>
      </c>
      <c r="H1233" s="12"/>
      <c r="I1233" s="12"/>
      <c r="J1233" s="12">
        <v>37</v>
      </c>
      <c r="K1233" s="12">
        <f>SUM(G1233:J1233)</f>
        <v>70</v>
      </c>
      <c r="L1233" t="str">
        <f t="shared" ref="L1233:L1244" si="159">IF(K1233&gt;=80,"A",IF(K1233&gt;=70,"B+",IF(K1233&gt;=60,"B",IF(K1233&gt;=55,"C+",IF(K1233&gt;=50,"C",IF(K1233&gt;=45,"D+",IF(K1233&gt;=40,"D","F")))))))</f>
        <v>B+</v>
      </c>
      <c r="M1233" t="str">
        <f t="shared" ref="M1233:M1244" si="160">IF(K1233&gt;=50,"Passed","Failed")</f>
        <v>Passed</v>
      </c>
      <c r="N1233" t="s">
        <v>21</v>
      </c>
      <c r="O1233">
        <f>COUNT(J1233:J1244)</f>
        <v>9</v>
      </c>
    </row>
    <row r="1234" spans="1:22" x14ac:dyDescent="0.3">
      <c r="A1234" s="12">
        <v>2</v>
      </c>
      <c r="B1234" s="60" t="s">
        <v>147</v>
      </c>
      <c r="C1234" s="12" t="s">
        <v>95</v>
      </c>
      <c r="D1234" s="12" t="s">
        <v>1231</v>
      </c>
      <c r="E1234" s="12">
        <v>10</v>
      </c>
      <c r="F1234" s="12">
        <v>22</v>
      </c>
      <c r="G1234" s="12">
        <f t="shared" ref="G1234:G1244" si="161">SUM(E1234:F1234)</f>
        <v>32</v>
      </c>
      <c r="H1234" s="12"/>
      <c r="I1234" s="12"/>
      <c r="J1234" s="12">
        <v>35</v>
      </c>
      <c r="K1234" s="12">
        <f t="shared" ref="K1234:K1244" si="162">SUM(G1234:J1234)</f>
        <v>67</v>
      </c>
      <c r="L1234" t="str">
        <f t="shared" si="159"/>
        <v>B</v>
      </c>
      <c r="M1234" t="str">
        <f t="shared" si="160"/>
        <v>Passed</v>
      </c>
      <c r="N1234" t="s">
        <v>22</v>
      </c>
      <c r="O1234">
        <f>O1232-O1233</f>
        <v>0</v>
      </c>
    </row>
    <row r="1235" spans="1:22" x14ac:dyDescent="0.3">
      <c r="A1235" s="12">
        <v>3</v>
      </c>
      <c r="B1235" s="12" t="s">
        <v>155</v>
      </c>
      <c r="C1235" s="12" t="s">
        <v>103</v>
      </c>
      <c r="D1235" s="12" t="s">
        <v>1237</v>
      </c>
      <c r="E1235" s="12">
        <v>10</v>
      </c>
      <c r="F1235" s="12">
        <v>11</v>
      </c>
      <c r="G1235" s="12">
        <f t="shared" si="161"/>
        <v>21</v>
      </c>
      <c r="H1235" s="12"/>
      <c r="I1235" s="12"/>
      <c r="J1235" s="12">
        <v>32</v>
      </c>
      <c r="K1235" s="12">
        <f t="shared" si="162"/>
        <v>53</v>
      </c>
      <c r="L1235" t="str">
        <f t="shared" si="159"/>
        <v>C</v>
      </c>
      <c r="M1235" t="str">
        <f t="shared" si="160"/>
        <v>Passed</v>
      </c>
      <c r="N1235" t="s">
        <v>23</v>
      </c>
      <c r="O1235">
        <f>COUNTIF(M1233:M1244,"Passed")</f>
        <v>9</v>
      </c>
    </row>
    <row r="1236" spans="1:22" x14ac:dyDescent="0.3">
      <c r="A1236" s="50">
        <v>4</v>
      </c>
      <c r="B1236" s="12" t="s">
        <v>182</v>
      </c>
      <c r="C1236" s="12" t="s">
        <v>105</v>
      </c>
      <c r="D1236" s="12" t="s">
        <v>1228</v>
      </c>
      <c r="E1236" s="12"/>
      <c r="F1236" s="12"/>
      <c r="G1236" s="12"/>
      <c r="H1236" s="12"/>
      <c r="I1236" s="12"/>
      <c r="J1236" s="12"/>
      <c r="K1236" s="12"/>
      <c r="N1236" t="s">
        <v>24</v>
      </c>
      <c r="O1236">
        <f>O1235/O1233%</f>
        <v>100</v>
      </c>
    </row>
    <row r="1237" spans="1:22" x14ac:dyDescent="0.3">
      <c r="A1237" s="12">
        <v>5</v>
      </c>
      <c r="B1237" s="12" t="s">
        <v>161</v>
      </c>
      <c r="C1237" s="12" t="s">
        <v>111</v>
      </c>
      <c r="D1237" s="12" t="s">
        <v>1228</v>
      </c>
      <c r="E1237" s="12"/>
      <c r="F1237" s="12"/>
      <c r="G1237" s="12"/>
      <c r="H1237" s="12"/>
      <c r="I1237" s="12"/>
      <c r="J1237" s="12"/>
      <c r="K1237" s="12"/>
      <c r="N1237" t="s">
        <v>25</v>
      </c>
      <c r="O1237">
        <f>COUNTIF(M1233:M1244,"failed")</f>
        <v>0</v>
      </c>
    </row>
    <row r="1238" spans="1:22" x14ac:dyDescent="0.3">
      <c r="A1238" s="12">
        <v>6</v>
      </c>
      <c r="B1238" s="12" t="s">
        <v>169</v>
      </c>
      <c r="C1238" s="12" t="s">
        <v>122</v>
      </c>
      <c r="D1238" s="12" t="s">
        <v>1228</v>
      </c>
      <c r="E1238" s="12"/>
      <c r="F1238" s="12"/>
      <c r="G1238" s="12"/>
      <c r="H1238" s="12"/>
      <c r="I1238" s="12"/>
      <c r="J1238" s="12"/>
      <c r="K1238" s="12"/>
      <c r="N1238" t="s">
        <v>26</v>
      </c>
      <c r="O1238">
        <f>O1237/O1233%</f>
        <v>0</v>
      </c>
    </row>
    <row r="1239" spans="1:22" x14ac:dyDescent="0.3">
      <c r="A1239" s="12">
        <v>7</v>
      </c>
      <c r="B1239" s="12" t="s">
        <v>421</v>
      </c>
      <c r="C1239" s="12" t="s">
        <v>129</v>
      </c>
      <c r="D1239" s="12" t="s">
        <v>1234</v>
      </c>
      <c r="E1239" s="12">
        <v>10</v>
      </c>
      <c r="F1239" s="12">
        <v>19</v>
      </c>
      <c r="G1239" s="12">
        <f t="shared" si="161"/>
        <v>29</v>
      </c>
      <c r="H1239" s="12"/>
      <c r="I1239" s="12"/>
      <c r="J1239" s="12">
        <v>39</v>
      </c>
      <c r="K1239" s="12">
        <f t="shared" si="162"/>
        <v>68</v>
      </c>
      <c r="L1239" t="str">
        <f t="shared" si="159"/>
        <v>B</v>
      </c>
      <c r="M1239" t="str">
        <f t="shared" si="160"/>
        <v>Passed</v>
      </c>
      <c r="N1239" t="s">
        <v>27</v>
      </c>
      <c r="O1239">
        <f>AVERAGE(K1233:K1244)</f>
        <v>64.111111111111114</v>
      </c>
    </row>
    <row r="1240" spans="1:22" x14ac:dyDescent="0.3">
      <c r="A1240" s="12">
        <v>8</v>
      </c>
      <c r="B1240" s="12" t="s">
        <v>177</v>
      </c>
      <c r="C1240" s="12" t="s">
        <v>132</v>
      </c>
      <c r="D1240" s="12" t="s">
        <v>1233</v>
      </c>
      <c r="E1240" s="12">
        <v>10</v>
      </c>
      <c r="F1240" s="12">
        <v>22</v>
      </c>
      <c r="G1240" s="12">
        <f t="shared" si="161"/>
        <v>32</v>
      </c>
      <c r="H1240" s="12"/>
      <c r="I1240" s="12"/>
      <c r="J1240" s="12">
        <v>39</v>
      </c>
      <c r="K1240" s="12">
        <f t="shared" si="162"/>
        <v>71</v>
      </c>
      <c r="L1240" t="str">
        <f t="shared" si="159"/>
        <v>B+</v>
      </c>
      <c r="M1240" t="str">
        <f t="shared" si="160"/>
        <v>Passed</v>
      </c>
    </row>
    <row r="1241" spans="1:22" x14ac:dyDescent="0.3">
      <c r="A1241" s="12">
        <v>9</v>
      </c>
      <c r="B1241" s="12" t="s">
        <v>179</v>
      </c>
      <c r="C1241" s="12" t="s">
        <v>134</v>
      </c>
      <c r="D1241" s="12" t="s">
        <v>1235</v>
      </c>
      <c r="E1241" s="12">
        <v>10</v>
      </c>
      <c r="F1241" s="12">
        <v>22</v>
      </c>
      <c r="G1241" s="12">
        <f t="shared" si="161"/>
        <v>32</v>
      </c>
      <c r="H1241" s="12"/>
      <c r="I1241" s="12"/>
      <c r="J1241" s="12">
        <v>42</v>
      </c>
      <c r="K1241" s="12">
        <f t="shared" si="162"/>
        <v>74</v>
      </c>
      <c r="L1241" t="str">
        <f t="shared" si="159"/>
        <v>B+</v>
      </c>
      <c r="M1241" t="str">
        <f t="shared" si="160"/>
        <v>Passed</v>
      </c>
    </row>
    <row r="1242" spans="1:22" x14ac:dyDescent="0.3">
      <c r="A1242" s="12">
        <v>10</v>
      </c>
      <c r="B1242" s="12" t="s">
        <v>180</v>
      </c>
      <c r="C1242" s="12" t="s">
        <v>136</v>
      </c>
      <c r="D1242" s="12" t="s">
        <v>1232</v>
      </c>
      <c r="E1242" s="12">
        <v>9</v>
      </c>
      <c r="F1242" s="12">
        <v>18</v>
      </c>
      <c r="G1242" s="12">
        <f t="shared" si="161"/>
        <v>27</v>
      </c>
      <c r="H1242" s="12"/>
      <c r="I1242" s="12"/>
      <c r="J1242" s="12">
        <v>37</v>
      </c>
      <c r="K1242" s="12">
        <f t="shared" si="162"/>
        <v>64</v>
      </c>
      <c r="L1242" t="str">
        <f t="shared" si="159"/>
        <v>B</v>
      </c>
      <c r="M1242" t="str">
        <f t="shared" si="160"/>
        <v>Passed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 t="s">
        <v>33</v>
      </c>
      <c r="U1242" t="s">
        <v>34</v>
      </c>
      <c r="V1242" t="s">
        <v>35</v>
      </c>
    </row>
    <row r="1243" spans="1:22" x14ac:dyDescent="0.3">
      <c r="A1243" s="12">
        <v>11</v>
      </c>
      <c r="B1243" s="12" t="s">
        <v>183</v>
      </c>
      <c r="C1243" s="12" t="s">
        <v>140</v>
      </c>
      <c r="D1243" s="12" t="s">
        <v>1236</v>
      </c>
      <c r="E1243" s="12">
        <v>9</v>
      </c>
      <c r="F1243" s="12">
        <v>12</v>
      </c>
      <c r="G1243" s="12">
        <f t="shared" si="161"/>
        <v>21</v>
      </c>
      <c r="H1243" s="12"/>
      <c r="I1243" s="12"/>
      <c r="J1243" s="12">
        <v>36</v>
      </c>
      <c r="K1243" s="12">
        <f t="shared" si="162"/>
        <v>57</v>
      </c>
      <c r="L1243" t="str">
        <f t="shared" si="159"/>
        <v>C+</v>
      </c>
      <c r="M1243" t="str">
        <f t="shared" si="160"/>
        <v>Passed</v>
      </c>
      <c r="O1243">
        <f>COUNTIF(L1233:L1244,"A")</f>
        <v>0</v>
      </c>
      <c r="P1243">
        <f>COUNTIF(L1233:L1244,"B+")</f>
        <v>3</v>
      </c>
      <c r="Q1243">
        <f>COUNTIF(L1233:L1244,"B")</f>
        <v>3</v>
      </c>
      <c r="R1243">
        <f>COUNTIF(L1233:L1244,"C+")</f>
        <v>1</v>
      </c>
      <c r="S1243">
        <f>COUNTIF(L1233:L1244,"C")</f>
        <v>2</v>
      </c>
      <c r="T1243">
        <f>COUNTIF(L1233:L1244,"D+")</f>
        <v>0</v>
      </c>
      <c r="U1243">
        <f>COUNTIF(L1233:L1244,"D")</f>
        <v>0</v>
      </c>
      <c r="V1243">
        <f>COUNTIF(L1233:L1244,"F")</f>
        <v>0</v>
      </c>
    </row>
    <row r="1244" spans="1:22" x14ac:dyDescent="0.3">
      <c r="A1244" s="12">
        <v>12</v>
      </c>
      <c r="B1244" s="12" t="s">
        <v>184</v>
      </c>
      <c r="C1244" s="12" t="s">
        <v>142</v>
      </c>
      <c r="D1244" s="12" t="s">
        <v>1229</v>
      </c>
      <c r="E1244" s="12">
        <v>9</v>
      </c>
      <c r="F1244" s="12">
        <v>14</v>
      </c>
      <c r="G1244" s="12">
        <f t="shared" si="161"/>
        <v>23</v>
      </c>
      <c r="H1244" s="12"/>
      <c r="I1244" s="12"/>
      <c r="J1244" s="12">
        <v>30</v>
      </c>
      <c r="K1244" s="12">
        <f t="shared" si="162"/>
        <v>53</v>
      </c>
      <c r="L1244" t="str">
        <f t="shared" si="159"/>
        <v>C</v>
      </c>
      <c r="M1244" t="str">
        <f t="shared" si="160"/>
        <v>Passed</v>
      </c>
    </row>
    <row r="1257" spans="1:3" x14ac:dyDescent="0.3">
      <c r="A1257" s="327" t="s">
        <v>0</v>
      </c>
      <c r="B1257" s="328"/>
      <c r="C1257" s="328"/>
    </row>
    <row r="1258" spans="1:3" x14ac:dyDescent="0.3">
      <c r="A1258" s="14" t="s">
        <v>66</v>
      </c>
      <c r="B1258" s="14"/>
      <c r="C1258" s="14"/>
    </row>
    <row r="1259" spans="1:3" x14ac:dyDescent="0.3">
      <c r="A1259" s="460" t="s">
        <v>143</v>
      </c>
      <c r="B1259" s="461"/>
      <c r="C1259" s="461"/>
    </row>
    <row r="1260" spans="1:3" x14ac:dyDescent="0.3">
      <c r="A1260" s="327" t="s">
        <v>1</v>
      </c>
      <c r="B1260" s="462" t="s">
        <v>2</v>
      </c>
      <c r="C1260" s="462"/>
    </row>
    <row r="1261" spans="1:3" x14ac:dyDescent="0.3">
      <c r="A1261" s="327" t="s">
        <v>3</v>
      </c>
      <c r="B1261" s="462" t="s">
        <v>495</v>
      </c>
      <c r="C1261" s="462"/>
    </row>
    <row r="1262" spans="1:3" x14ac:dyDescent="0.3">
      <c r="A1262" s="327" t="s">
        <v>4</v>
      </c>
      <c r="B1262" s="462" t="s">
        <v>890</v>
      </c>
      <c r="C1262" s="462"/>
    </row>
    <row r="1263" spans="1:3" x14ac:dyDescent="0.3">
      <c r="A1263" s="327" t="s">
        <v>5</v>
      </c>
      <c r="B1263" s="463">
        <v>3</v>
      </c>
      <c r="C1263" s="463"/>
    </row>
    <row r="1264" spans="1:3" x14ac:dyDescent="0.3">
      <c r="A1264" s="327" t="s">
        <v>6</v>
      </c>
      <c r="B1264" s="462" t="s">
        <v>493</v>
      </c>
      <c r="C1264" s="462"/>
    </row>
    <row r="1265" spans="1:22" x14ac:dyDescent="0.3">
      <c r="A1265" s="327" t="s">
        <v>68</v>
      </c>
      <c r="B1265" s="462"/>
      <c r="C1265" s="462"/>
    </row>
    <row r="1267" spans="1:22" ht="49.2" x14ac:dyDescent="0.3">
      <c r="A1267" s="329" t="s">
        <v>8</v>
      </c>
      <c r="B1267" s="329" t="s">
        <v>9</v>
      </c>
      <c r="C1267" s="329" t="s">
        <v>10</v>
      </c>
      <c r="D1267" s="329" t="s">
        <v>11</v>
      </c>
      <c r="E1267" s="43" t="s">
        <v>12</v>
      </c>
      <c r="F1267" s="43" t="s">
        <v>13</v>
      </c>
      <c r="G1267" s="43" t="s">
        <v>14</v>
      </c>
      <c r="H1267" s="43" t="s">
        <v>208</v>
      </c>
      <c r="I1267" s="43" t="s">
        <v>209</v>
      </c>
      <c r="J1267" s="43" t="s">
        <v>15</v>
      </c>
      <c r="K1267" s="43" t="s">
        <v>16</v>
      </c>
      <c r="L1267" s="338" t="s">
        <v>487</v>
      </c>
      <c r="M1267" s="338" t="s">
        <v>488</v>
      </c>
      <c r="N1267" s="338" t="s">
        <v>489</v>
      </c>
    </row>
    <row r="1268" spans="1:22" x14ac:dyDescent="0.3">
      <c r="N1268" t="s">
        <v>20</v>
      </c>
      <c r="O1268">
        <f>COUNT(G1269:G1280)</f>
        <v>9</v>
      </c>
    </row>
    <row r="1269" spans="1:22" x14ac:dyDescent="0.3">
      <c r="A1269" s="12">
        <v>1</v>
      </c>
      <c r="B1269" s="12" t="s">
        <v>146</v>
      </c>
      <c r="C1269" s="12" t="s">
        <v>94</v>
      </c>
      <c r="D1269" s="12" t="s">
        <v>1343</v>
      </c>
      <c r="E1269" s="12">
        <v>10</v>
      </c>
      <c r="F1269" s="12">
        <v>21</v>
      </c>
      <c r="G1269" s="12">
        <f>SUM(E1269:F1269)</f>
        <v>31</v>
      </c>
      <c r="H1269" s="12"/>
      <c r="I1269" s="12"/>
      <c r="J1269" s="12">
        <v>35</v>
      </c>
      <c r="K1269" s="12">
        <f>SUM(G1269:J1269)</f>
        <v>66</v>
      </c>
      <c r="L1269" t="str">
        <f t="shared" ref="L1269:L1280" si="163">IF(K1269&gt;=80,"A",IF(K1269&gt;=70,"B+",IF(K1269&gt;=60,"B",IF(K1269&gt;=55,"C+",IF(K1269&gt;=50,"C",IF(K1269&gt;=45,"D+",IF(K1269&gt;=40,"D","F")))))))</f>
        <v>B</v>
      </c>
      <c r="M1269" t="str">
        <f t="shared" ref="M1269:M1280" si="164">IF(K1269&gt;=50,"Passed","Failed")</f>
        <v>Passed</v>
      </c>
      <c r="N1269" t="s">
        <v>21</v>
      </c>
      <c r="O1269">
        <f>COUNT(J1269:J1280)</f>
        <v>9</v>
      </c>
    </row>
    <row r="1270" spans="1:22" x14ac:dyDescent="0.3">
      <c r="A1270" s="12">
        <v>2</v>
      </c>
      <c r="B1270" s="60" t="s">
        <v>147</v>
      </c>
      <c r="C1270" s="12" t="s">
        <v>95</v>
      </c>
      <c r="D1270" s="12" t="s">
        <v>1342</v>
      </c>
      <c r="E1270" s="12">
        <v>10</v>
      </c>
      <c r="F1270" s="12">
        <v>22</v>
      </c>
      <c r="G1270" s="12">
        <f t="shared" ref="G1270:G1280" si="165">SUM(E1270:F1270)</f>
        <v>32</v>
      </c>
      <c r="H1270" s="12"/>
      <c r="I1270" s="12"/>
      <c r="J1270" s="12">
        <v>54</v>
      </c>
      <c r="K1270" s="12">
        <f t="shared" ref="K1270:K1280" si="166">SUM(G1270:J1270)</f>
        <v>86</v>
      </c>
      <c r="L1270" t="str">
        <f t="shared" si="163"/>
        <v>A</v>
      </c>
      <c r="M1270" t="str">
        <f t="shared" si="164"/>
        <v>Passed</v>
      </c>
      <c r="N1270" t="s">
        <v>22</v>
      </c>
      <c r="O1270">
        <f>O1268-O1269</f>
        <v>0</v>
      </c>
    </row>
    <row r="1271" spans="1:22" x14ac:dyDescent="0.3">
      <c r="A1271" s="12">
        <v>3</v>
      </c>
      <c r="B1271" s="12" t="s">
        <v>155</v>
      </c>
      <c r="C1271" s="12" t="s">
        <v>103</v>
      </c>
      <c r="D1271" s="12" t="s">
        <v>1345</v>
      </c>
      <c r="E1271" s="12">
        <v>10</v>
      </c>
      <c r="F1271" s="12">
        <v>21</v>
      </c>
      <c r="G1271" s="12">
        <f t="shared" si="165"/>
        <v>31</v>
      </c>
      <c r="H1271" s="12"/>
      <c r="I1271" s="12"/>
      <c r="J1271" s="12">
        <v>30</v>
      </c>
      <c r="K1271" s="12">
        <f t="shared" si="166"/>
        <v>61</v>
      </c>
      <c r="L1271" t="str">
        <f t="shared" si="163"/>
        <v>B</v>
      </c>
      <c r="M1271" t="str">
        <f t="shared" si="164"/>
        <v>Passed</v>
      </c>
      <c r="N1271" t="s">
        <v>23</v>
      </c>
      <c r="O1271">
        <f>COUNTIF(M1269:M1280,"Passed")</f>
        <v>9</v>
      </c>
    </row>
    <row r="1272" spans="1:22" x14ac:dyDescent="0.3">
      <c r="A1272" s="50">
        <v>4</v>
      </c>
      <c r="B1272" s="12" t="s">
        <v>182</v>
      </c>
      <c r="C1272" s="12" t="s">
        <v>105</v>
      </c>
      <c r="D1272" s="12" t="s">
        <v>1340</v>
      </c>
      <c r="E1272" s="12"/>
      <c r="F1272" s="12"/>
      <c r="G1272" s="12"/>
      <c r="H1272" s="12"/>
      <c r="I1272" s="12"/>
      <c r="J1272" s="12"/>
      <c r="K1272" s="12"/>
      <c r="N1272" t="s">
        <v>24</v>
      </c>
      <c r="O1272">
        <f>O1271/O1269%</f>
        <v>100</v>
      </c>
    </row>
    <row r="1273" spans="1:22" x14ac:dyDescent="0.3">
      <c r="A1273" s="12">
        <v>5</v>
      </c>
      <c r="B1273" s="12" t="s">
        <v>161</v>
      </c>
      <c r="C1273" s="12" t="s">
        <v>111</v>
      </c>
      <c r="D1273" s="12" t="s">
        <v>1340</v>
      </c>
      <c r="E1273" s="12"/>
      <c r="F1273" s="12"/>
      <c r="G1273" s="12"/>
      <c r="H1273" s="12"/>
      <c r="I1273" s="12"/>
      <c r="J1273" s="12"/>
      <c r="K1273" s="12"/>
      <c r="N1273" t="s">
        <v>25</v>
      </c>
      <c r="O1273">
        <f>COUNTIF(M1269:M1280,"failed")</f>
        <v>0</v>
      </c>
    </row>
    <row r="1274" spans="1:22" x14ac:dyDescent="0.3">
      <c r="A1274" s="12">
        <v>6</v>
      </c>
      <c r="B1274" s="12" t="s">
        <v>169</v>
      </c>
      <c r="C1274" s="12" t="s">
        <v>122</v>
      </c>
      <c r="D1274" s="12" t="s">
        <v>1340</v>
      </c>
      <c r="E1274" s="12"/>
      <c r="F1274" s="12"/>
      <c r="G1274" s="12"/>
      <c r="H1274" s="12"/>
      <c r="I1274" s="12"/>
      <c r="J1274" s="12"/>
      <c r="K1274" s="12"/>
      <c r="N1274" t="s">
        <v>26</v>
      </c>
      <c r="O1274">
        <f>O1273/O1269%</f>
        <v>0</v>
      </c>
    </row>
    <row r="1275" spans="1:22" x14ac:dyDescent="0.3">
      <c r="A1275" s="12">
        <v>7</v>
      </c>
      <c r="B1275" s="12" t="s">
        <v>421</v>
      </c>
      <c r="C1275" s="12" t="s">
        <v>129</v>
      </c>
      <c r="D1275" s="12" t="s">
        <v>1346</v>
      </c>
      <c r="E1275" s="12">
        <v>10</v>
      </c>
      <c r="F1275" s="12">
        <v>26</v>
      </c>
      <c r="G1275" s="12">
        <f t="shared" si="165"/>
        <v>36</v>
      </c>
      <c r="H1275" s="12"/>
      <c r="I1275" s="12"/>
      <c r="J1275" s="12">
        <v>42</v>
      </c>
      <c r="K1275" s="12">
        <f t="shared" si="166"/>
        <v>78</v>
      </c>
      <c r="L1275" t="str">
        <f t="shared" si="163"/>
        <v>B+</v>
      </c>
      <c r="M1275" t="str">
        <f t="shared" si="164"/>
        <v>Passed</v>
      </c>
      <c r="N1275" t="s">
        <v>27</v>
      </c>
      <c r="O1275">
        <f>AVERAGE(K1269:K1280)</f>
        <v>67.333333333333329</v>
      </c>
    </row>
    <row r="1276" spans="1:22" x14ac:dyDescent="0.3">
      <c r="A1276" s="12">
        <v>8</v>
      </c>
      <c r="B1276" s="12" t="s">
        <v>177</v>
      </c>
      <c r="C1276" s="12" t="s">
        <v>132</v>
      </c>
      <c r="D1276" s="12" t="s">
        <v>1349</v>
      </c>
      <c r="E1276" s="12">
        <v>10</v>
      </c>
      <c r="F1276" s="12">
        <v>28</v>
      </c>
      <c r="G1276" s="12">
        <f t="shared" si="165"/>
        <v>38</v>
      </c>
      <c r="H1276" s="12"/>
      <c r="I1276" s="12"/>
      <c r="J1276" s="12">
        <v>37</v>
      </c>
      <c r="K1276" s="12">
        <f t="shared" si="166"/>
        <v>75</v>
      </c>
      <c r="L1276" t="str">
        <f t="shared" si="163"/>
        <v>B+</v>
      </c>
      <c r="M1276" t="str">
        <f t="shared" si="164"/>
        <v>Passed</v>
      </c>
    </row>
    <row r="1277" spans="1:22" x14ac:dyDescent="0.3">
      <c r="A1277" s="12">
        <v>9</v>
      </c>
      <c r="B1277" s="12" t="s">
        <v>179</v>
      </c>
      <c r="C1277" s="12" t="s">
        <v>134</v>
      </c>
      <c r="D1277" s="12" t="s">
        <v>1347</v>
      </c>
      <c r="E1277" s="12">
        <v>10</v>
      </c>
      <c r="F1277" s="12">
        <v>18</v>
      </c>
      <c r="G1277" s="12">
        <f t="shared" si="165"/>
        <v>28</v>
      </c>
      <c r="H1277" s="12"/>
      <c r="I1277" s="12"/>
      <c r="J1277" s="12">
        <v>22</v>
      </c>
      <c r="K1277" s="12">
        <f t="shared" si="166"/>
        <v>50</v>
      </c>
      <c r="L1277" t="str">
        <f t="shared" si="163"/>
        <v>C</v>
      </c>
      <c r="M1277" t="str">
        <f t="shared" si="164"/>
        <v>Passed</v>
      </c>
    </row>
    <row r="1278" spans="1:22" x14ac:dyDescent="0.3">
      <c r="A1278" s="12">
        <v>10</v>
      </c>
      <c r="B1278" s="12" t="s">
        <v>180</v>
      </c>
      <c r="C1278" s="12" t="s">
        <v>136</v>
      </c>
      <c r="D1278" s="12" t="s">
        <v>1341</v>
      </c>
      <c r="E1278" s="12">
        <v>9</v>
      </c>
      <c r="F1278" s="12">
        <v>21</v>
      </c>
      <c r="G1278" s="12">
        <f t="shared" si="165"/>
        <v>30</v>
      </c>
      <c r="H1278" s="12"/>
      <c r="I1278" s="12"/>
      <c r="J1278" s="12">
        <v>30</v>
      </c>
      <c r="K1278" s="12">
        <f t="shared" si="166"/>
        <v>60</v>
      </c>
      <c r="L1278" t="str">
        <f t="shared" si="163"/>
        <v>B</v>
      </c>
      <c r="M1278" t="str">
        <f t="shared" si="164"/>
        <v>Passed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 t="s">
        <v>33</v>
      </c>
      <c r="U1278" t="s">
        <v>34</v>
      </c>
      <c r="V1278" t="s">
        <v>35</v>
      </c>
    </row>
    <row r="1279" spans="1:22" x14ac:dyDescent="0.3">
      <c r="A1279" s="12">
        <v>11</v>
      </c>
      <c r="B1279" s="12" t="s">
        <v>183</v>
      </c>
      <c r="C1279" s="12" t="s">
        <v>140</v>
      </c>
      <c r="D1279" s="12" t="s">
        <v>1348</v>
      </c>
      <c r="E1279" s="12">
        <v>9</v>
      </c>
      <c r="F1279" s="12">
        <v>24</v>
      </c>
      <c r="G1279" s="12">
        <f t="shared" si="165"/>
        <v>33</v>
      </c>
      <c r="H1279" s="12"/>
      <c r="I1279" s="12"/>
      <c r="J1279" s="12">
        <v>34</v>
      </c>
      <c r="K1279" s="12">
        <f t="shared" si="166"/>
        <v>67</v>
      </c>
      <c r="L1279" t="str">
        <f t="shared" si="163"/>
        <v>B</v>
      </c>
      <c r="M1279" t="str">
        <f t="shared" si="164"/>
        <v>Passed</v>
      </c>
      <c r="O1279">
        <f>COUNTIF(L1269:L1280,"A")</f>
        <v>1</v>
      </c>
      <c r="P1279">
        <f>COUNTIF(L1269:L1280,"B+")</f>
        <v>2</v>
      </c>
      <c r="Q1279">
        <f>COUNTIF(L1269:L1280,"B")</f>
        <v>5</v>
      </c>
      <c r="R1279">
        <f>COUNTIF(L1269:L1280,"C+")</f>
        <v>0</v>
      </c>
      <c r="S1279">
        <f>COUNTIF(L1269:L1280,"C")</f>
        <v>1</v>
      </c>
      <c r="T1279">
        <f>COUNTIF(L1269:L1280,"D+")</f>
        <v>0</v>
      </c>
      <c r="U1279">
        <f>COUNTIF(L1269:L1280,"D")</f>
        <v>0</v>
      </c>
      <c r="V1279">
        <f>COUNTIF(L1269:L1280,"F")</f>
        <v>0</v>
      </c>
    </row>
    <row r="1280" spans="1:22" x14ac:dyDescent="0.3">
      <c r="A1280" s="12">
        <v>12</v>
      </c>
      <c r="B1280" s="12" t="s">
        <v>184</v>
      </c>
      <c r="C1280" s="12" t="s">
        <v>142</v>
      </c>
      <c r="D1280" s="12" t="s">
        <v>1344</v>
      </c>
      <c r="E1280" s="12">
        <v>9</v>
      </c>
      <c r="F1280" s="12">
        <v>12</v>
      </c>
      <c r="G1280" s="12">
        <f t="shared" si="165"/>
        <v>21</v>
      </c>
      <c r="H1280" s="12"/>
      <c r="I1280" s="12"/>
      <c r="J1280" s="12">
        <v>42</v>
      </c>
      <c r="K1280" s="12">
        <f t="shared" si="166"/>
        <v>63</v>
      </c>
      <c r="L1280" t="str">
        <f t="shared" si="163"/>
        <v>B</v>
      </c>
      <c r="M1280" t="str">
        <f t="shared" si="164"/>
        <v>Passed</v>
      </c>
    </row>
  </sheetData>
  <sortState ref="C12:D65">
    <sortCondition ref="C12"/>
  </sortState>
  <mergeCells count="178">
    <mergeCell ref="B1263:C1263"/>
    <mergeCell ref="B1264:C1264"/>
    <mergeCell ref="B1265:C1265"/>
    <mergeCell ref="B1225:C1225"/>
    <mergeCell ref="B1226:C1226"/>
    <mergeCell ref="B1227:C1227"/>
    <mergeCell ref="B1228:C1228"/>
    <mergeCell ref="B1229:C1229"/>
    <mergeCell ref="A1259:C1259"/>
    <mergeCell ref="B1260:C1260"/>
    <mergeCell ref="B1261:C1261"/>
    <mergeCell ref="B1262:C1262"/>
    <mergeCell ref="A1191:C1191"/>
    <mergeCell ref="B1192:C1192"/>
    <mergeCell ref="B1193:C1193"/>
    <mergeCell ref="B1194:C1194"/>
    <mergeCell ref="B1195:C1195"/>
    <mergeCell ref="B1196:C1196"/>
    <mergeCell ref="B1197:C1197"/>
    <mergeCell ref="A1223:C1223"/>
    <mergeCell ref="B1224:C1224"/>
    <mergeCell ref="A1157:C1157"/>
    <mergeCell ref="B1158:C1158"/>
    <mergeCell ref="B1159:C1159"/>
    <mergeCell ref="B1160:C1160"/>
    <mergeCell ref="B1161:C1161"/>
    <mergeCell ref="B1162:C1162"/>
    <mergeCell ref="B1163:C1163"/>
    <mergeCell ref="A3:C3"/>
    <mergeCell ref="A71:C71"/>
    <mergeCell ref="A140:C140"/>
    <mergeCell ref="A212:C212"/>
    <mergeCell ref="A286:C286"/>
    <mergeCell ref="B5:C5"/>
    <mergeCell ref="B6:C6"/>
    <mergeCell ref="B7:C7"/>
    <mergeCell ref="B8:C8"/>
    <mergeCell ref="B4:C4"/>
    <mergeCell ref="B72:C72"/>
    <mergeCell ref="B73:C73"/>
    <mergeCell ref="B74:C74"/>
    <mergeCell ref="B75:C75"/>
    <mergeCell ref="B76:C76"/>
    <mergeCell ref="B77:C77"/>
    <mergeCell ref="B141:C141"/>
    <mergeCell ref="B142:C142"/>
    <mergeCell ref="B143:C143"/>
    <mergeCell ref="B144:C144"/>
    <mergeCell ref="B217:C217"/>
    <mergeCell ref="B218:C218"/>
    <mergeCell ref="A565:C565"/>
    <mergeCell ref="A987:C987"/>
    <mergeCell ref="A1019:C1019"/>
    <mergeCell ref="A1054:C1054"/>
    <mergeCell ref="B287:C287"/>
    <mergeCell ref="B288:C288"/>
    <mergeCell ref="B289:C289"/>
    <mergeCell ref="B145:C145"/>
    <mergeCell ref="B213:C213"/>
    <mergeCell ref="B214:C214"/>
    <mergeCell ref="B215:C215"/>
    <mergeCell ref="B216:C216"/>
    <mergeCell ref="B489:C489"/>
    <mergeCell ref="B490:C490"/>
    <mergeCell ref="B491:C491"/>
    <mergeCell ref="B492:C492"/>
    <mergeCell ref="B493:C493"/>
    <mergeCell ref="B290:C290"/>
    <mergeCell ref="B291:C291"/>
    <mergeCell ref="B641:C641"/>
    <mergeCell ref="B642:C642"/>
    <mergeCell ref="B643:C643"/>
    <mergeCell ref="B644:C644"/>
    <mergeCell ref="B691:C691"/>
    <mergeCell ref="B569:C569"/>
    <mergeCell ref="B570:C570"/>
    <mergeCell ref="B571:C571"/>
    <mergeCell ref="B640:C640"/>
    <mergeCell ref="A690:C690"/>
    <mergeCell ref="B292:C292"/>
    <mergeCell ref="B362:C362"/>
    <mergeCell ref="B363:C363"/>
    <mergeCell ref="B364:C364"/>
    <mergeCell ref="B365:C365"/>
    <mergeCell ref="B366:C366"/>
    <mergeCell ref="B367:C367"/>
    <mergeCell ref="B413:C413"/>
    <mergeCell ref="B414:C414"/>
    <mergeCell ref="B415:C415"/>
    <mergeCell ref="B416:C416"/>
    <mergeCell ref="B417:C417"/>
    <mergeCell ref="B418:C418"/>
    <mergeCell ref="B488:C488"/>
    <mergeCell ref="A361:C361"/>
    <mergeCell ref="A412:C412"/>
    <mergeCell ref="A487:C487"/>
    <mergeCell ref="B639:C639"/>
    <mergeCell ref="A638:C638"/>
    <mergeCell ref="B566:C566"/>
    <mergeCell ref="B567:C567"/>
    <mergeCell ref="B568:C568"/>
    <mergeCell ref="B748:C748"/>
    <mergeCell ref="B749:C749"/>
    <mergeCell ref="B692:C692"/>
    <mergeCell ref="B693:C693"/>
    <mergeCell ref="B694:C694"/>
    <mergeCell ref="B695:C695"/>
    <mergeCell ref="B696:C696"/>
    <mergeCell ref="B794:C794"/>
    <mergeCell ref="B830:C830"/>
    <mergeCell ref="A744:C744"/>
    <mergeCell ref="A788:C788"/>
    <mergeCell ref="A829:C829"/>
    <mergeCell ref="B745:C745"/>
    <mergeCell ref="B746:C746"/>
    <mergeCell ref="B747:C747"/>
    <mergeCell ref="B831:C831"/>
    <mergeCell ref="B832:C832"/>
    <mergeCell ref="B833:C833"/>
    <mergeCell ref="B789:C789"/>
    <mergeCell ref="B790:C790"/>
    <mergeCell ref="B791:C791"/>
    <mergeCell ref="B792:C792"/>
    <mergeCell ref="B793:C793"/>
    <mergeCell ref="B890:C890"/>
    <mergeCell ref="A885:C885"/>
    <mergeCell ref="B891:C891"/>
    <mergeCell ref="B921:C921"/>
    <mergeCell ref="B922:C922"/>
    <mergeCell ref="B923:C923"/>
    <mergeCell ref="B834:C834"/>
    <mergeCell ref="B886:C886"/>
    <mergeCell ref="B887:C887"/>
    <mergeCell ref="B888:C888"/>
    <mergeCell ref="B889:C889"/>
    <mergeCell ref="A920:C920"/>
    <mergeCell ref="B956:C956"/>
    <mergeCell ref="B957:C957"/>
    <mergeCell ref="B958:C958"/>
    <mergeCell ref="B959:C959"/>
    <mergeCell ref="B988:C988"/>
    <mergeCell ref="B924:C924"/>
    <mergeCell ref="B925:C925"/>
    <mergeCell ref="B926:C926"/>
    <mergeCell ref="B954:C954"/>
    <mergeCell ref="B955:C955"/>
    <mergeCell ref="A953:C953"/>
    <mergeCell ref="B1020:C1020"/>
    <mergeCell ref="B1021:C1021"/>
    <mergeCell ref="B1022:C1022"/>
    <mergeCell ref="B1023:C1023"/>
    <mergeCell ref="B1024:C1024"/>
    <mergeCell ref="B989:C989"/>
    <mergeCell ref="B990:C990"/>
    <mergeCell ref="B991:C991"/>
    <mergeCell ref="B992:C992"/>
    <mergeCell ref="B993:C993"/>
    <mergeCell ref="B1059:C1059"/>
    <mergeCell ref="B1060:C1060"/>
    <mergeCell ref="B1090:C1090"/>
    <mergeCell ref="B1091:C1091"/>
    <mergeCell ref="B1092:C1092"/>
    <mergeCell ref="B1025:C1025"/>
    <mergeCell ref="B1055:C1055"/>
    <mergeCell ref="B1056:C1056"/>
    <mergeCell ref="B1057:C1057"/>
    <mergeCell ref="B1058:C1058"/>
    <mergeCell ref="A1089:C1089"/>
    <mergeCell ref="B1124:C1124"/>
    <mergeCell ref="B1125:C1125"/>
    <mergeCell ref="B1126:C1126"/>
    <mergeCell ref="B1127:C1127"/>
    <mergeCell ref="B1093:C1093"/>
    <mergeCell ref="B1094:C1094"/>
    <mergeCell ref="B1095:C1095"/>
    <mergeCell ref="B1122:C1122"/>
    <mergeCell ref="B1123:C1123"/>
    <mergeCell ref="A1121:C1121"/>
  </mergeCells>
  <phoneticPr fontId="32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06"/>
  <sheetViews>
    <sheetView workbookViewId="0">
      <selection activeCell="I130" sqref="I130:M130"/>
    </sheetView>
  </sheetViews>
  <sheetFormatPr defaultRowHeight="14.4" x14ac:dyDescent="0.3"/>
  <cols>
    <col min="1" max="1" width="3.44140625" customWidth="1"/>
    <col min="2" max="2" width="15" customWidth="1"/>
    <col min="3" max="3" width="19.88671875" customWidth="1"/>
    <col min="4" max="4" width="4.109375" customWidth="1"/>
    <col min="5" max="5" width="3.5546875" customWidth="1"/>
    <col min="6" max="6" width="19.88671875" customWidth="1"/>
    <col min="7" max="7" width="4.6640625" customWidth="1"/>
    <col min="8" max="9" width="5.109375" customWidth="1"/>
    <col min="10" max="10" width="6.109375" customWidth="1"/>
    <col min="11" max="11" width="5.33203125" customWidth="1"/>
    <col min="12" max="12" width="8.88671875" customWidth="1"/>
    <col min="13" max="13" width="11" customWidth="1"/>
    <col min="14" max="14" width="4.33203125" customWidth="1"/>
    <col min="15" max="15" width="5.44140625" customWidth="1"/>
    <col min="16" max="16" width="6.109375" customWidth="1"/>
    <col min="17" max="18" width="5.44140625" customWidth="1"/>
    <col min="19" max="19" width="5.88671875" customWidth="1"/>
    <col min="20" max="20" width="6.109375" customWidth="1"/>
    <col min="21" max="21" width="6.44140625" customWidth="1"/>
  </cols>
  <sheetData>
    <row r="1" spans="1:22" ht="17.399999999999999" x14ac:dyDescent="0.3">
      <c r="A1" s="183"/>
      <c r="B1" s="183"/>
      <c r="C1" s="484" t="s">
        <v>302</v>
      </c>
      <c r="D1" s="484"/>
      <c r="E1" s="484"/>
      <c r="F1" s="484"/>
      <c r="G1" s="484"/>
      <c r="H1" s="484"/>
      <c r="I1" s="484"/>
      <c r="J1" s="484"/>
      <c r="K1" s="484"/>
      <c r="L1" s="484"/>
      <c r="M1" s="484"/>
      <c r="N1" s="484"/>
      <c r="O1" s="484"/>
      <c r="P1" s="484"/>
      <c r="Q1" s="183"/>
      <c r="R1" s="183"/>
      <c r="S1" s="183"/>
      <c r="T1" s="183"/>
      <c r="U1" s="183"/>
      <c r="V1" s="55"/>
    </row>
    <row r="2" spans="1:22" x14ac:dyDescent="0.3">
      <c r="A2" s="183"/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55"/>
    </row>
    <row r="3" spans="1:22" x14ac:dyDescent="0.3">
      <c r="A3" s="184" t="s">
        <v>303</v>
      </c>
      <c r="B3" s="55"/>
      <c r="C3" s="184" t="s">
        <v>304</v>
      </c>
      <c r="D3" s="184"/>
      <c r="E3" s="184"/>
      <c r="F3" s="184"/>
      <c r="G3" s="185"/>
      <c r="H3" s="185"/>
      <c r="I3" s="185"/>
      <c r="J3" s="185"/>
      <c r="K3" s="55"/>
      <c r="L3" s="185" t="s">
        <v>305</v>
      </c>
      <c r="M3" s="55"/>
      <c r="N3" s="185"/>
      <c r="O3" s="185"/>
      <c r="P3" s="185"/>
      <c r="Q3" s="55"/>
      <c r="R3" s="55"/>
      <c r="S3" s="55"/>
      <c r="T3" s="55"/>
      <c r="U3" s="55"/>
      <c r="V3" s="55"/>
    </row>
    <row r="4" spans="1:22" ht="15.6" x14ac:dyDescent="0.3">
      <c r="A4" s="55"/>
      <c r="B4" s="55"/>
      <c r="C4" s="184"/>
      <c r="D4" s="184"/>
      <c r="E4" s="184"/>
      <c r="F4" s="184"/>
      <c r="G4" s="186"/>
      <c r="H4" s="186"/>
      <c r="I4" s="186"/>
      <c r="J4" s="186"/>
      <c r="K4" s="55"/>
      <c r="L4" s="184" t="s">
        <v>306</v>
      </c>
      <c r="M4" s="55"/>
      <c r="N4" s="184"/>
      <c r="O4" s="184"/>
      <c r="P4" s="186"/>
      <c r="Q4" s="186"/>
      <c r="R4" s="55"/>
      <c r="S4" s="55"/>
      <c r="T4" s="55"/>
      <c r="U4" s="55"/>
      <c r="V4" s="55"/>
    </row>
    <row r="5" spans="1:22" ht="15.6" x14ac:dyDescent="0.3">
      <c r="A5" s="187" t="s">
        <v>307</v>
      </c>
      <c r="B5" s="55"/>
      <c r="C5" s="55"/>
      <c r="D5" s="55"/>
      <c r="E5" s="55"/>
      <c r="F5" s="55"/>
      <c r="G5" s="34"/>
      <c r="H5" s="34"/>
      <c r="I5" s="34"/>
      <c r="J5" s="34"/>
      <c r="K5" s="55"/>
      <c r="L5" s="485" t="s">
        <v>1930</v>
      </c>
      <c r="M5" s="485"/>
      <c r="N5" s="485"/>
      <c r="O5" s="485"/>
      <c r="P5" s="485"/>
      <c r="Q5" s="34"/>
      <c r="R5" s="55"/>
      <c r="S5" s="55"/>
      <c r="T5" s="55"/>
      <c r="U5" s="55"/>
      <c r="V5" s="55"/>
    </row>
    <row r="6" spans="1:22" ht="15.6" x14ac:dyDescent="0.3">
      <c r="A6" s="55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55"/>
      <c r="S6" s="55"/>
      <c r="T6" s="55"/>
      <c r="U6" s="55"/>
      <c r="V6" s="55"/>
    </row>
    <row r="7" spans="1:22" x14ac:dyDescent="0.3">
      <c r="A7" s="55"/>
      <c r="B7" s="55"/>
      <c r="C7" s="486" t="s">
        <v>308</v>
      </c>
      <c r="D7" s="486"/>
      <c r="E7" s="486"/>
      <c r="F7" s="486"/>
      <c r="G7" s="486"/>
      <c r="H7" s="486"/>
      <c r="I7" s="486"/>
      <c r="J7" s="486"/>
      <c r="K7" s="486"/>
      <c r="L7" s="486"/>
      <c r="M7" s="486"/>
      <c r="N7" s="486"/>
      <c r="O7" s="486"/>
      <c r="P7" s="486"/>
      <c r="Q7" s="55"/>
      <c r="R7" s="55"/>
      <c r="S7" s="55"/>
      <c r="T7" s="55"/>
      <c r="U7" s="55"/>
      <c r="V7" s="55"/>
    </row>
    <row r="8" spans="1:22" ht="15" customHeight="1" x14ac:dyDescent="0.3">
      <c r="A8" s="472" t="s">
        <v>309</v>
      </c>
      <c r="B8" s="472" t="s">
        <v>310</v>
      </c>
      <c r="C8" s="472" t="s">
        <v>311</v>
      </c>
      <c r="D8" s="472" t="s">
        <v>312</v>
      </c>
      <c r="E8" s="472" t="s">
        <v>313</v>
      </c>
      <c r="F8" s="472" t="s">
        <v>314</v>
      </c>
      <c r="G8" s="473" t="s">
        <v>315</v>
      </c>
      <c r="H8" s="476" t="s">
        <v>316</v>
      </c>
      <c r="I8" s="477"/>
      <c r="J8" s="477"/>
      <c r="K8" s="478"/>
      <c r="L8" s="479" t="s">
        <v>317</v>
      </c>
      <c r="M8" s="479" t="s">
        <v>318</v>
      </c>
      <c r="N8" s="476" t="s">
        <v>316</v>
      </c>
      <c r="O8" s="477"/>
      <c r="P8" s="477"/>
      <c r="Q8" s="477"/>
      <c r="R8" s="477"/>
      <c r="S8" s="477"/>
      <c r="T8" s="477"/>
      <c r="U8" s="478"/>
      <c r="V8" s="55"/>
    </row>
    <row r="9" spans="1:22" x14ac:dyDescent="0.3">
      <c r="A9" s="472"/>
      <c r="B9" s="472"/>
      <c r="C9" s="472"/>
      <c r="D9" s="472"/>
      <c r="E9" s="472"/>
      <c r="F9" s="472"/>
      <c r="G9" s="474"/>
      <c r="H9" s="188" t="s">
        <v>319</v>
      </c>
      <c r="I9" s="188" t="s">
        <v>320</v>
      </c>
      <c r="J9" s="188" t="s">
        <v>321</v>
      </c>
      <c r="K9" s="188" t="s">
        <v>322</v>
      </c>
      <c r="L9" s="480"/>
      <c r="M9" s="480"/>
      <c r="N9" s="189" t="s">
        <v>28</v>
      </c>
      <c r="O9" s="190" t="s">
        <v>29</v>
      </c>
      <c r="P9" s="190" t="s">
        <v>30</v>
      </c>
      <c r="Q9" s="190" t="s">
        <v>31</v>
      </c>
      <c r="R9" s="190" t="s">
        <v>32</v>
      </c>
      <c r="S9" s="190" t="s">
        <v>33</v>
      </c>
      <c r="T9" s="190" t="s">
        <v>34</v>
      </c>
      <c r="U9" s="190" t="s">
        <v>35</v>
      </c>
      <c r="V9" s="55"/>
    </row>
    <row r="10" spans="1:22" ht="16.5" customHeight="1" x14ac:dyDescent="0.3">
      <c r="A10" s="191">
        <v>1</v>
      </c>
      <c r="B10" s="192" t="str">
        <f>'[1]level one'!$C$94</f>
        <v>INS1101H</v>
      </c>
      <c r="C10" s="192" t="str">
        <f>'[1]level one'!$C$95</f>
        <v>Principles of Insurance</v>
      </c>
      <c r="D10" s="193">
        <f>'[1]level one'!$C$96</f>
        <v>3</v>
      </c>
      <c r="E10" s="193" t="s">
        <v>32</v>
      </c>
      <c r="F10" s="198" t="s">
        <v>364</v>
      </c>
      <c r="G10" s="194"/>
      <c r="H10" s="155">
        <f>'FBMS-HND LEVEL ONE'!$O$163</f>
        <v>54</v>
      </c>
      <c r="I10" s="155">
        <f>'FBMS-HND LEVEL ONE'!$O$164</f>
        <v>54</v>
      </c>
      <c r="J10" s="155">
        <f>'FBMS-HND LEVEL ONE'!$O$166</f>
        <v>40</v>
      </c>
      <c r="K10" s="155">
        <f>'FBMS-HND LEVEL ONE'!$O$168</f>
        <v>14</v>
      </c>
      <c r="L10" s="195">
        <f>'FBMS-HND LEVEL ONE'!$O$167</f>
        <v>74.074074074074076</v>
      </c>
      <c r="M10" s="195">
        <f>K10/I10*100</f>
        <v>25.925925925925924</v>
      </c>
      <c r="N10" s="196">
        <f>'FBMS-HND LEVEL ONE'!O175</f>
        <v>1</v>
      </c>
      <c r="O10" s="196">
        <f>'FBMS-HND LEVEL ONE'!P175</f>
        <v>6</v>
      </c>
      <c r="P10" s="196">
        <f>'FBMS-HND LEVEL ONE'!Q175</f>
        <v>14</v>
      </c>
      <c r="Q10" s="196">
        <f>'FBMS-HND LEVEL ONE'!R175</f>
        <v>6</v>
      </c>
      <c r="R10" s="196">
        <f>'FBMS-HND LEVEL ONE'!S175</f>
        <v>13</v>
      </c>
      <c r="S10" s="196">
        <f>'FBMS-HND LEVEL ONE'!T175</f>
        <v>3</v>
      </c>
      <c r="T10" s="196">
        <f>'FBMS-HND LEVEL ONE'!U175</f>
        <v>3</v>
      </c>
      <c r="U10" s="196">
        <f>'FBMS-HND LEVEL ONE'!V175</f>
        <v>8</v>
      </c>
      <c r="V10" s="55">
        <f>SUM(N10:U10)</f>
        <v>54</v>
      </c>
    </row>
    <row r="11" spans="1:22" x14ac:dyDescent="0.3">
      <c r="A11" s="197">
        <v>2</v>
      </c>
      <c r="B11" s="192" t="str">
        <f>'[1]level one'!$C$296</f>
        <v>ENG1101H</v>
      </c>
      <c r="C11" s="192" t="str">
        <f>'[1]level one'!$C$297</f>
        <v>Functional English I</v>
      </c>
      <c r="D11" s="193">
        <f>'[1]level one'!$C$298</f>
        <v>2</v>
      </c>
      <c r="E11" s="193" t="s">
        <v>32</v>
      </c>
      <c r="F11" s="198" t="str">
        <f>'[1]level one'!$C$299</f>
        <v>Dr Ngie Florence</v>
      </c>
      <c r="G11" s="194"/>
      <c r="H11" s="196">
        <v>150</v>
      </c>
      <c r="I11" s="196">
        <v>145</v>
      </c>
      <c r="J11" s="196">
        <v>144</v>
      </c>
      <c r="K11" s="196">
        <v>1</v>
      </c>
      <c r="L11" s="195">
        <f t="shared" ref="L11:L15" si="0">J11/I11*100</f>
        <v>99.310344827586206</v>
      </c>
      <c r="M11" s="195">
        <f t="shared" ref="M11:M15" si="1">K11/I11*100</f>
        <v>0.68965517241379315</v>
      </c>
      <c r="N11" s="196">
        <v>3</v>
      </c>
      <c r="O11" s="196">
        <v>50</v>
      </c>
      <c r="P11" s="196">
        <v>60</v>
      </c>
      <c r="Q11" s="196">
        <v>20</v>
      </c>
      <c r="R11" s="196">
        <v>11</v>
      </c>
      <c r="S11" s="196">
        <v>1</v>
      </c>
      <c r="T11" s="196">
        <v>0</v>
      </c>
      <c r="U11" s="196">
        <v>0</v>
      </c>
      <c r="V11" s="55">
        <f t="shared" ref="V11:V14" si="2">SUM(N11:U11)</f>
        <v>145</v>
      </c>
    </row>
    <row r="12" spans="1:22" x14ac:dyDescent="0.3">
      <c r="A12" s="191">
        <v>3</v>
      </c>
      <c r="B12" s="192" t="str">
        <f>'[1]level one'!$C$511</f>
        <v>FRE1101H</v>
      </c>
      <c r="C12" s="192" t="str">
        <f>'[1]level one'!$C$512</f>
        <v>Functional French I</v>
      </c>
      <c r="D12" s="193">
        <f>'[1]level one'!$C$513</f>
        <v>2</v>
      </c>
      <c r="E12" s="193" t="s">
        <v>32</v>
      </c>
      <c r="F12" s="198" t="s">
        <v>419</v>
      </c>
      <c r="G12" s="194"/>
      <c r="H12" s="196">
        <f>'FBMS-HND LEVEL ONE'!$O$745</f>
        <v>54</v>
      </c>
      <c r="I12" s="196">
        <f>'FBMS-HND LEVEL ONE'!$O$746</f>
        <v>54</v>
      </c>
      <c r="J12" s="196">
        <f>'FBMS-HND LEVEL ONE'!$O$748</f>
        <v>40</v>
      </c>
      <c r="K12" s="196">
        <f>'FBMS-HND LEVEL ONE'!$O$750</f>
        <v>14</v>
      </c>
      <c r="L12" s="195">
        <f t="shared" si="0"/>
        <v>74.074074074074076</v>
      </c>
      <c r="M12" s="195">
        <f t="shared" si="1"/>
        <v>25.925925925925924</v>
      </c>
      <c r="N12" s="196">
        <f>'FBMS-HND LEVEL ONE'!O758</f>
        <v>0</v>
      </c>
      <c r="O12" s="196">
        <f>'FBMS-HND LEVEL ONE'!P758</f>
        <v>9</v>
      </c>
      <c r="P12" s="196">
        <f>'FBMS-HND LEVEL ONE'!Q758</f>
        <v>22</v>
      </c>
      <c r="Q12" s="196">
        <f>'FBMS-HND LEVEL ONE'!R758</f>
        <v>2</v>
      </c>
      <c r="R12" s="196">
        <f>'FBMS-HND LEVEL ONE'!S758</f>
        <v>7</v>
      </c>
      <c r="S12" s="196">
        <f>'FBMS-HND LEVEL ONE'!T758</f>
        <v>3</v>
      </c>
      <c r="T12" s="196">
        <f>'FBMS-HND LEVEL ONE'!U758</f>
        <v>5</v>
      </c>
      <c r="U12" s="196">
        <f>'FBMS-HND LEVEL ONE'!V758</f>
        <v>6</v>
      </c>
      <c r="V12" s="55">
        <f t="shared" si="2"/>
        <v>54</v>
      </c>
    </row>
    <row r="13" spans="1:22" ht="16.5" customHeight="1" x14ac:dyDescent="0.3">
      <c r="A13" s="197">
        <v>4</v>
      </c>
      <c r="B13" s="192" t="str">
        <f>'[1]level two'!$C$4</f>
        <v>FRE 2101H</v>
      </c>
      <c r="C13" s="192" t="str">
        <f>'[1]level two'!$C$5</f>
        <v>Functional French III</v>
      </c>
      <c r="D13" s="193">
        <f>'[1]level two'!$C$6</f>
        <v>2</v>
      </c>
      <c r="E13" s="193" t="s">
        <v>32</v>
      </c>
      <c r="F13" s="198" t="s">
        <v>419</v>
      </c>
      <c r="G13" s="194"/>
      <c r="H13" s="196">
        <f>'FBMS-HND LEVEL TWO'!$O$10</f>
        <v>51</v>
      </c>
      <c r="I13" s="196">
        <f>'FBMS-HND LEVEL TWO'!$O$11</f>
        <v>48</v>
      </c>
      <c r="J13" s="196">
        <f>'FBMS-HND LEVEL TWO'!$O$13</f>
        <v>37</v>
      </c>
      <c r="K13" s="196">
        <f>'FBMS-HND LEVEL TWO'!$O$15</f>
        <v>11</v>
      </c>
      <c r="L13" s="195">
        <f t="shared" si="0"/>
        <v>77.083333333333343</v>
      </c>
      <c r="M13" s="195">
        <f t="shared" si="1"/>
        <v>22.916666666666664</v>
      </c>
      <c r="N13" s="196">
        <f>'FBMS-HND LEVEL TWO'!O22</f>
        <v>0</v>
      </c>
      <c r="O13" s="196">
        <f>'FBMS-HND LEVEL TWO'!P22</f>
        <v>2</v>
      </c>
      <c r="P13" s="196">
        <f>'FBMS-HND LEVEL TWO'!Q22</f>
        <v>9</v>
      </c>
      <c r="Q13" s="196">
        <f>'FBMS-HND LEVEL TWO'!R22</f>
        <v>9</v>
      </c>
      <c r="R13" s="196">
        <f>'FBMS-HND LEVEL TWO'!S22</f>
        <v>17</v>
      </c>
      <c r="S13" s="196">
        <f>'FBMS-HND LEVEL TWO'!T22</f>
        <v>2</v>
      </c>
      <c r="T13" s="196">
        <f>'FBMS-HND LEVEL TWO'!U22</f>
        <v>5</v>
      </c>
      <c r="U13" s="196">
        <f>'FBMS-HND LEVEL TWO'!V22</f>
        <v>4</v>
      </c>
      <c r="V13" s="55">
        <f t="shared" si="2"/>
        <v>48</v>
      </c>
    </row>
    <row r="14" spans="1:22" x14ac:dyDescent="0.3">
      <c r="A14" s="197">
        <v>5</v>
      </c>
      <c r="B14" s="192" t="str">
        <f>'[1]level two'!$C$36</f>
        <v>ENG 2101H</v>
      </c>
      <c r="C14" s="192" t="str">
        <f>'[1]level two'!$C$37</f>
        <v>Functional English III</v>
      </c>
      <c r="D14" s="193">
        <f>'[1]level two'!$C$38</f>
        <v>2</v>
      </c>
      <c r="E14" s="193" t="s">
        <v>32</v>
      </c>
      <c r="F14" s="198" t="str">
        <f>'[1]level two'!$C$39</f>
        <v>Dr. Ngie Florence</v>
      </c>
      <c r="G14" s="194"/>
      <c r="H14" s="196">
        <f>'FBMS-HND LEVEL TWO'!$O$79</f>
        <v>50</v>
      </c>
      <c r="I14" s="196">
        <f>'FBMS-HND LEVEL TWO'!$O$80</f>
        <v>48</v>
      </c>
      <c r="J14" s="196">
        <f>'FBMS-HND LEVEL TWO'!$O$82</f>
        <v>46</v>
      </c>
      <c r="K14" s="196">
        <f>'FBMS-HND LEVEL TWO'!$O$84</f>
        <v>2</v>
      </c>
      <c r="L14" s="195">
        <f t="shared" si="0"/>
        <v>95.833333333333343</v>
      </c>
      <c r="M14" s="195">
        <f t="shared" si="1"/>
        <v>4.1666666666666661</v>
      </c>
      <c r="N14" s="196">
        <f>'FBMS-HND LEVEL TWO'!O91</f>
        <v>7</v>
      </c>
      <c r="O14" s="196">
        <f>'FBMS-HND LEVEL TWO'!P91</f>
        <v>13</v>
      </c>
      <c r="P14" s="196">
        <f>'FBMS-HND LEVEL TWO'!Q91</f>
        <v>19</v>
      </c>
      <c r="Q14" s="196">
        <f>'FBMS-HND LEVEL TWO'!R91</f>
        <v>5</v>
      </c>
      <c r="R14" s="196">
        <f>'FBMS-HND LEVEL TWO'!S91</f>
        <v>2</v>
      </c>
      <c r="S14" s="196">
        <f>'FBMS-HND LEVEL TWO'!T91</f>
        <v>1</v>
      </c>
      <c r="T14" s="196">
        <f>'FBMS-HND LEVEL TWO'!U91</f>
        <v>1</v>
      </c>
      <c r="U14" s="196">
        <f>'FBMS-HND LEVEL TWO'!V91</f>
        <v>0</v>
      </c>
      <c r="V14" s="55">
        <f t="shared" si="2"/>
        <v>48</v>
      </c>
    </row>
    <row r="15" spans="1:22" x14ac:dyDescent="0.3">
      <c r="A15" s="197">
        <v>6</v>
      </c>
      <c r="B15" s="192" t="str">
        <f>'[1]level two'!$C$141</f>
        <v>COM 2101H</v>
      </c>
      <c r="C15" s="192" t="str">
        <f>'[1]level two'!$C$142</f>
        <v>Computer Science</v>
      </c>
      <c r="D15" s="193">
        <f>'[1]level two'!$C$143</f>
        <v>2</v>
      </c>
      <c r="E15" s="193" t="s">
        <v>32</v>
      </c>
      <c r="F15" s="198" t="str">
        <f>'FBMS-HND LEVEL TWO'!$B$291</f>
        <v>Mr.Nkeng Blaise</v>
      </c>
      <c r="G15" s="194"/>
      <c r="H15" s="196">
        <f>'FBMS-HND LEVEL TWO'!$O$295</f>
        <v>50</v>
      </c>
      <c r="I15" s="196">
        <f>'FBMS-HND LEVEL TWO'!$O$296</f>
        <v>49</v>
      </c>
      <c r="J15" s="196">
        <f>'FBMS-HND LEVEL TWO'!$O$298</f>
        <v>42</v>
      </c>
      <c r="K15" s="196">
        <f>'FBMS-HND LEVEL TWO'!$O$300</f>
        <v>7</v>
      </c>
      <c r="L15" s="195">
        <f t="shared" si="0"/>
        <v>85.714285714285708</v>
      </c>
      <c r="M15" s="195">
        <f t="shared" si="1"/>
        <v>14.285714285714285</v>
      </c>
      <c r="N15" s="196">
        <f>'FBMS-HND LEVEL TWO'!O307</f>
        <v>2</v>
      </c>
      <c r="O15" s="196">
        <f>'FBMS-HND LEVEL TWO'!P307</f>
        <v>5</v>
      </c>
      <c r="P15" s="196">
        <f>'FBMS-HND LEVEL TWO'!Q307</f>
        <v>16</v>
      </c>
      <c r="Q15" s="196">
        <f>'FBMS-HND LEVEL TWO'!R307</f>
        <v>9</v>
      </c>
      <c r="R15" s="196">
        <f>'FBMS-HND LEVEL TWO'!S307</f>
        <v>10</v>
      </c>
      <c r="S15" s="196">
        <f>'FBMS-HND LEVEL TWO'!T307</f>
        <v>2</v>
      </c>
      <c r="T15" s="196">
        <f>'FBMS-HND LEVEL TWO'!U307</f>
        <v>0</v>
      </c>
      <c r="U15" s="196">
        <f>'FBMS-HND LEVEL TWO'!V307</f>
        <v>5</v>
      </c>
      <c r="V15" s="55">
        <f>SUM(N15:U15)</f>
        <v>49</v>
      </c>
    </row>
    <row r="16" spans="1:22" ht="30" customHeight="1" x14ac:dyDescent="0.3">
      <c r="A16" s="222"/>
      <c r="B16" s="155" t="s">
        <v>350</v>
      </c>
      <c r="C16" s="224" t="s">
        <v>196</v>
      </c>
      <c r="D16" s="214">
        <v>3</v>
      </c>
      <c r="E16" s="214" t="s">
        <v>32</v>
      </c>
      <c r="F16" s="275" t="s">
        <v>347</v>
      </c>
      <c r="G16" s="280"/>
      <c r="H16" s="196">
        <f>'FBMS-HND LEVEL TWO'!$O$574</f>
        <v>49</v>
      </c>
      <c r="I16" s="196">
        <f>'FBMS-HND LEVEL TWO'!$O$575</f>
        <v>49</v>
      </c>
      <c r="J16" s="196">
        <f>'FBMS-HND LEVEL TWO'!$O$577</f>
        <v>45</v>
      </c>
      <c r="K16" s="196">
        <f>'FBMS-HND LEVEL TWO'!$O$579</f>
        <v>4</v>
      </c>
      <c r="L16" s="195">
        <f>J16/I16*100</f>
        <v>91.83673469387756</v>
      </c>
      <c r="M16" s="195">
        <f>K16/I16*100</f>
        <v>8.1632653061224492</v>
      </c>
      <c r="N16" s="220">
        <f>'FBMS-HND LEVEL TWO'!$O$584</f>
        <v>0</v>
      </c>
      <c r="O16" s="196" t="str">
        <f>'FBMS-HND LEVEL TWO'!$O$585</f>
        <v>A</v>
      </c>
      <c r="P16" s="196">
        <f>'FBMS-HND LEVEL TWO'!$O$586</f>
        <v>20</v>
      </c>
      <c r="Q16" s="196">
        <f>'FBMS-HND LEVEL TWO'!$O$587</f>
        <v>0</v>
      </c>
      <c r="R16" s="236">
        <f>'FBMS-HND LEVEL TWO'!$O$588</f>
        <v>0</v>
      </c>
      <c r="S16" s="196">
        <f>'FBMS-HND LEVEL TWO'!$O$589</f>
        <v>0</v>
      </c>
      <c r="T16" s="196">
        <f>'FBMS-HND LEVEL TWO'!$O$590</f>
        <v>0</v>
      </c>
      <c r="U16" s="196">
        <f>'FBMS-HND LEVEL TWO'!$O$591</f>
        <v>0</v>
      </c>
      <c r="V16" s="55"/>
    </row>
    <row r="17" spans="1:22" x14ac:dyDescent="0.3">
      <c r="A17" s="199"/>
      <c r="B17" s="199"/>
      <c r="C17" s="487" t="s">
        <v>323</v>
      </c>
      <c r="D17" s="488"/>
      <c r="E17" s="488"/>
      <c r="F17" s="489"/>
      <c r="G17" s="199"/>
      <c r="H17" s="200">
        <f>SUM(H10:H15)</f>
        <v>409</v>
      </c>
      <c r="I17" s="200">
        <f>SUM(I10:I15)</f>
        <v>398</v>
      </c>
      <c r="J17" s="200">
        <f t="shared" ref="J17:K17" si="3">SUM(J10:J15)</f>
        <v>349</v>
      </c>
      <c r="K17" s="200">
        <f t="shared" si="3"/>
        <v>49</v>
      </c>
      <c r="L17" s="201">
        <f>J17/I17*100</f>
        <v>87.688442211055275</v>
      </c>
      <c r="M17" s="201">
        <f>K17/I17*100</f>
        <v>12.311557788944723</v>
      </c>
      <c r="N17" s="200">
        <f t="shared" ref="N17:T17" si="4">SUM(N10:N15)</f>
        <v>13</v>
      </c>
      <c r="O17" s="200">
        <f t="shared" si="4"/>
        <v>85</v>
      </c>
      <c r="P17" s="200">
        <f>SUM(P10:P15)</f>
        <v>140</v>
      </c>
      <c r="Q17" s="200">
        <f t="shared" si="4"/>
        <v>51</v>
      </c>
      <c r="R17" s="200">
        <f t="shared" si="4"/>
        <v>60</v>
      </c>
      <c r="S17" s="200">
        <f t="shared" si="4"/>
        <v>12</v>
      </c>
      <c r="T17" s="200">
        <f t="shared" si="4"/>
        <v>14</v>
      </c>
      <c r="U17" s="200">
        <f>SUM(U10:U15)</f>
        <v>23</v>
      </c>
      <c r="V17" s="55">
        <f>SUM(N17:U17)</f>
        <v>398</v>
      </c>
    </row>
    <row r="18" spans="1:22" ht="15" customHeight="1" x14ac:dyDescent="0.3">
      <c r="A18" s="183"/>
      <c r="B18" s="490" t="s">
        <v>324</v>
      </c>
      <c r="C18" s="490"/>
      <c r="D18" s="490"/>
      <c r="E18" s="490"/>
      <c r="F18" s="490"/>
      <c r="G18" s="490"/>
      <c r="H18" s="490"/>
      <c r="I18" s="490"/>
      <c r="J18" s="490"/>
      <c r="K18" s="490"/>
      <c r="L18" s="490"/>
      <c r="M18" s="490"/>
      <c r="N18" s="490"/>
      <c r="O18" s="490"/>
      <c r="P18" s="490"/>
      <c r="Q18" s="490"/>
      <c r="R18" s="490"/>
      <c r="S18" s="490"/>
      <c r="T18" s="490"/>
      <c r="U18" s="490"/>
      <c r="V18" s="55"/>
    </row>
    <row r="19" spans="1:22" x14ac:dyDescent="0.3">
      <c r="A19" s="183"/>
      <c r="B19" s="202"/>
      <c r="C19" s="202"/>
      <c r="D19" s="202"/>
      <c r="E19" s="202"/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55"/>
      <c r="V19" s="55"/>
    </row>
    <row r="20" spans="1:22" ht="15" customHeight="1" x14ac:dyDescent="0.3">
      <c r="A20" s="183"/>
      <c r="B20" s="203" t="s">
        <v>325</v>
      </c>
      <c r="C20" s="204"/>
      <c r="D20" s="491">
        <f t="shared" ref="D20" si="5">$I$17</f>
        <v>398</v>
      </c>
      <c r="E20" s="491"/>
      <c r="F20" s="205"/>
      <c r="G20" s="205"/>
      <c r="H20" s="205"/>
      <c r="I20" s="483" t="s">
        <v>326</v>
      </c>
      <c r="J20" s="483"/>
      <c r="K20" s="483"/>
      <c r="L20" s="483"/>
      <c r="M20" s="483"/>
      <c r="N20" s="491">
        <f t="shared" ref="N20" si="6">$K$17</f>
        <v>49</v>
      </c>
      <c r="O20" s="491"/>
      <c r="P20" s="183"/>
      <c r="Q20" s="183"/>
      <c r="R20" s="183"/>
      <c r="S20" s="183"/>
      <c r="T20" s="183"/>
      <c r="U20" s="55"/>
      <c r="V20" s="55"/>
    </row>
    <row r="21" spans="1:22" x14ac:dyDescent="0.3">
      <c r="A21" s="183"/>
      <c r="B21" s="483"/>
      <c r="C21" s="483"/>
      <c r="D21" s="483"/>
      <c r="E21" s="483"/>
      <c r="F21" s="206"/>
      <c r="G21" s="206"/>
      <c r="H21" s="206"/>
      <c r="I21" s="55"/>
      <c r="J21" s="55"/>
      <c r="K21" s="55"/>
      <c r="L21" s="55"/>
      <c r="M21" s="55"/>
      <c r="N21" s="483"/>
      <c r="O21" s="483"/>
      <c r="P21" s="183"/>
      <c r="Q21" s="183"/>
      <c r="R21" s="183"/>
      <c r="S21" s="183"/>
      <c r="T21" s="183"/>
      <c r="U21" s="55"/>
      <c r="V21" s="55"/>
    </row>
    <row r="22" spans="1:22" ht="15" customHeight="1" x14ac:dyDescent="0.3">
      <c r="A22" s="183"/>
      <c r="B22" s="483" t="s">
        <v>327</v>
      </c>
      <c r="C22" s="483"/>
      <c r="D22" s="491">
        <f t="shared" ref="D22" si="7">$J$17</f>
        <v>349</v>
      </c>
      <c r="E22" s="491"/>
      <c r="F22" s="206"/>
      <c r="G22" s="206"/>
      <c r="H22" s="206"/>
      <c r="N22" s="492"/>
      <c r="O22" s="492"/>
      <c r="P22" s="183"/>
      <c r="Q22" s="183"/>
      <c r="R22" s="183"/>
      <c r="S22" s="183"/>
      <c r="T22" s="183"/>
      <c r="U22" s="55"/>
      <c r="V22" s="55"/>
    </row>
    <row r="23" spans="1:22" x14ac:dyDescent="0.3">
      <c r="A23" s="183"/>
      <c r="B23" s="206"/>
      <c r="C23" s="206"/>
      <c r="D23" s="207"/>
      <c r="E23" s="206"/>
      <c r="F23" s="206"/>
      <c r="G23" s="206"/>
      <c r="H23" s="206"/>
      <c r="I23" s="481" t="s">
        <v>328</v>
      </c>
      <c r="J23" s="482"/>
      <c r="K23" s="482"/>
      <c r="L23" s="482"/>
      <c r="M23" s="208">
        <f>$L$17</f>
        <v>87.688442211055275</v>
      </c>
      <c r="N23" s="206"/>
      <c r="O23" s="206"/>
      <c r="P23" s="183"/>
      <c r="Q23" s="183"/>
      <c r="R23" s="183"/>
      <c r="S23" s="183"/>
      <c r="T23" s="183"/>
      <c r="U23" s="55"/>
      <c r="V23" s="55"/>
    </row>
    <row r="24" spans="1:22" x14ac:dyDescent="0.3">
      <c r="A24" s="203" t="s">
        <v>329</v>
      </c>
      <c r="B24" s="206"/>
      <c r="C24" s="206"/>
      <c r="D24" s="206"/>
      <c r="E24" s="206"/>
      <c r="F24" s="206"/>
      <c r="G24" s="206"/>
      <c r="H24" s="206"/>
      <c r="I24" s="483"/>
      <c r="J24" s="483"/>
      <c r="K24" s="483"/>
      <c r="L24" s="483"/>
      <c r="M24" s="483"/>
      <c r="N24" s="209"/>
      <c r="O24" s="206"/>
      <c r="P24" s="183"/>
      <c r="Q24" s="183"/>
      <c r="R24" s="183"/>
      <c r="S24" s="183"/>
      <c r="T24" s="183"/>
      <c r="U24" s="55"/>
      <c r="V24" s="55"/>
    </row>
    <row r="25" spans="1:22" x14ac:dyDescent="0.3">
      <c r="A25" s="183"/>
      <c r="B25" s="206"/>
      <c r="C25" s="210"/>
      <c r="D25" s="206"/>
      <c r="E25" s="55"/>
      <c r="F25" s="55"/>
      <c r="G25" s="206"/>
      <c r="H25" s="206"/>
      <c r="I25" s="206"/>
      <c r="J25" s="206"/>
      <c r="K25" s="210"/>
      <c r="L25" s="210"/>
      <c r="M25" s="210"/>
      <c r="N25" s="206"/>
      <c r="O25" s="206"/>
      <c r="P25" s="183"/>
      <c r="Q25" s="183"/>
      <c r="R25" s="183"/>
      <c r="S25" s="183"/>
      <c r="T25" s="183"/>
      <c r="U25" s="183"/>
      <c r="V25" s="55"/>
    </row>
    <row r="26" spans="1:22" x14ac:dyDescent="0.3">
      <c r="A26" s="55"/>
      <c r="B26" s="55"/>
      <c r="C26" s="211" t="str">
        <f>$F$10</f>
        <v>Mme. Lukong Claris</v>
      </c>
      <c r="D26" s="211"/>
      <c r="E26" s="55"/>
      <c r="F26" s="212" t="str">
        <f>$F$12</f>
        <v>Dr.Ngoran George</v>
      </c>
      <c r="G26" s="183"/>
      <c r="H26" s="183"/>
      <c r="I26" s="183"/>
      <c r="J26" s="183"/>
      <c r="K26" s="213" t="str">
        <f>$F$11</f>
        <v>Dr Ngie Florence</v>
      </c>
      <c r="L26" s="213"/>
      <c r="M26" s="213"/>
      <c r="N26" s="211"/>
      <c r="O26" s="183"/>
      <c r="P26" s="212" t="str">
        <f>$F$15</f>
        <v>Mr.Nkeng Blaise</v>
      </c>
      <c r="Q26" s="212"/>
      <c r="R26" s="212"/>
      <c r="S26" s="212"/>
      <c r="T26" s="212"/>
      <c r="U26" s="212"/>
      <c r="V26" s="55"/>
    </row>
    <row r="27" spans="1:22" x14ac:dyDescent="0.3">
      <c r="A27" s="55"/>
      <c r="B27" s="55"/>
      <c r="C27" s="283"/>
      <c r="D27" s="283"/>
      <c r="E27" s="55"/>
      <c r="F27" s="183"/>
      <c r="G27" s="183"/>
      <c r="H27" s="183"/>
      <c r="I27" s="183"/>
      <c r="J27" s="183"/>
      <c r="K27" s="213"/>
      <c r="L27" s="213"/>
      <c r="M27" s="213"/>
      <c r="N27" s="283"/>
      <c r="O27" s="183"/>
      <c r="P27" s="183"/>
      <c r="Q27" s="183"/>
      <c r="R27" s="183"/>
      <c r="S27" s="183"/>
      <c r="T27" s="183"/>
      <c r="U27" s="183"/>
      <c r="V27" s="55"/>
    </row>
    <row r="28" spans="1:22" x14ac:dyDescent="0.3">
      <c r="A28" s="55"/>
      <c r="B28" s="55"/>
      <c r="C28" s="283"/>
      <c r="D28" s="283"/>
      <c r="E28" s="55"/>
      <c r="F28" s="183"/>
      <c r="G28" s="183"/>
      <c r="H28" s="183"/>
      <c r="I28" s="183"/>
      <c r="J28" s="183"/>
      <c r="K28" s="213"/>
      <c r="L28" s="213"/>
      <c r="M28" s="213"/>
      <c r="N28" s="283"/>
      <c r="O28" s="183"/>
      <c r="P28" s="183"/>
      <c r="Q28" s="183"/>
      <c r="R28" s="183"/>
      <c r="S28" s="183"/>
      <c r="T28" s="183"/>
      <c r="U28" s="183"/>
      <c r="V28" s="55"/>
    </row>
    <row r="29" spans="1:22" x14ac:dyDescent="0.3">
      <c r="A29" s="211"/>
      <c r="B29" s="211"/>
      <c r="C29" s="211"/>
      <c r="D29" s="211"/>
      <c r="E29" s="210"/>
      <c r="F29" s="210"/>
      <c r="G29" s="183"/>
      <c r="H29" s="183"/>
      <c r="I29" s="183"/>
      <c r="J29" s="183"/>
      <c r="K29" s="211"/>
      <c r="L29" s="211"/>
      <c r="M29" s="211"/>
      <c r="N29" s="211"/>
      <c r="O29" s="183"/>
      <c r="P29" s="183"/>
      <c r="Q29" s="183"/>
      <c r="R29" s="183"/>
      <c r="S29" s="183"/>
      <c r="T29" s="183"/>
      <c r="U29" s="183"/>
      <c r="V29" s="55"/>
    </row>
    <row r="30" spans="1:22" x14ac:dyDescent="0.3">
      <c r="A30" s="211"/>
      <c r="B30" s="211"/>
      <c r="C30" s="282" t="s">
        <v>352</v>
      </c>
      <c r="D30" s="211"/>
      <c r="E30" s="55" t="s">
        <v>330</v>
      </c>
      <c r="F30" s="55" t="s">
        <v>331</v>
      </c>
      <c r="G30" s="183"/>
      <c r="H30" s="183"/>
      <c r="I30" s="183"/>
      <c r="J30" s="183"/>
      <c r="K30" s="211"/>
      <c r="L30" s="211"/>
      <c r="M30" s="211"/>
      <c r="N30" s="211"/>
      <c r="O30" s="183"/>
      <c r="P30" s="183"/>
      <c r="Q30" s="183"/>
      <c r="R30" s="183"/>
      <c r="S30" s="183"/>
      <c r="T30" s="183"/>
      <c r="U30" s="183"/>
      <c r="V30" s="55"/>
    </row>
    <row r="31" spans="1:22" x14ac:dyDescent="0.3">
      <c r="A31" s="183"/>
      <c r="B31" s="183"/>
      <c r="C31" s="283" t="s">
        <v>353</v>
      </c>
      <c r="D31" s="211"/>
      <c r="E31" s="181"/>
      <c r="F31" s="181" t="s">
        <v>332</v>
      </c>
      <c r="G31" s="183"/>
      <c r="H31" s="183"/>
      <c r="I31" s="183"/>
      <c r="J31" s="183"/>
      <c r="K31" s="183"/>
      <c r="L31" s="183"/>
      <c r="M31" s="183"/>
      <c r="N31" s="183"/>
      <c r="O31" s="183"/>
      <c r="P31" s="183"/>
      <c r="Q31" s="183"/>
      <c r="R31" s="183"/>
      <c r="S31" s="183"/>
      <c r="T31" s="183"/>
      <c r="U31" s="183"/>
      <c r="V31" s="55"/>
    </row>
    <row r="44" spans="1:22" ht="17.399999999999999" x14ac:dyDescent="0.3">
      <c r="A44" s="183"/>
      <c r="B44" s="183"/>
      <c r="C44" s="484" t="s">
        <v>302</v>
      </c>
      <c r="D44" s="484"/>
      <c r="E44" s="484"/>
      <c r="F44" s="484"/>
      <c r="G44" s="484"/>
      <c r="H44" s="484"/>
      <c r="I44" s="484"/>
      <c r="J44" s="484"/>
      <c r="K44" s="484"/>
      <c r="L44" s="484"/>
      <c r="M44" s="484"/>
      <c r="N44" s="484"/>
      <c r="O44" s="484"/>
      <c r="P44" s="484"/>
      <c r="Q44" s="183"/>
      <c r="R44" s="183"/>
      <c r="S44" s="183"/>
      <c r="T44" s="183"/>
      <c r="U44" s="183"/>
      <c r="V44" s="55"/>
    </row>
    <row r="45" spans="1:22" x14ac:dyDescent="0.3">
      <c r="A45" s="183"/>
      <c r="B45" s="183"/>
      <c r="C45" s="183"/>
      <c r="D45" s="183"/>
      <c r="E45" s="183"/>
      <c r="F45" s="183"/>
      <c r="G45" s="183"/>
      <c r="H45" s="183"/>
      <c r="I45" s="183"/>
      <c r="J45" s="183"/>
      <c r="K45" s="183"/>
      <c r="L45" s="183"/>
      <c r="M45" s="183"/>
      <c r="N45" s="183"/>
      <c r="O45" s="183"/>
      <c r="P45" s="183"/>
      <c r="Q45" s="183"/>
      <c r="R45" s="183"/>
      <c r="S45" s="183"/>
      <c r="T45" s="183"/>
      <c r="U45" s="183"/>
      <c r="V45" s="55"/>
    </row>
    <row r="46" spans="1:22" x14ac:dyDescent="0.3">
      <c r="A46" s="184" t="s">
        <v>303</v>
      </c>
      <c r="B46" s="55"/>
      <c r="C46" s="184" t="s">
        <v>304</v>
      </c>
      <c r="D46" s="184"/>
      <c r="E46" s="184"/>
      <c r="F46" s="184"/>
      <c r="G46" s="185"/>
      <c r="H46" s="185"/>
      <c r="I46" s="185"/>
      <c r="J46" s="185"/>
      <c r="K46" s="55"/>
      <c r="L46" s="185" t="s">
        <v>333</v>
      </c>
      <c r="M46" s="55"/>
      <c r="N46" s="185"/>
      <c r="O46" s="185"/>
      <c r="P46" s="185"/>
      <c r="Q46" s="55"/>
      <c r="R46" s="55"/>
      <c r="S46" s="55"/>
      <c r="T46" s="55"/>
      <c r="U46" s="55"/>
      <c r="V46" s="55"/>
    </row>
    <row r="47" spans="1:22" ht="15.6" x14ac:dyDescent="0.3">
      <c r="A47" s="55"/>
      <c r="B47" s="55"/>
      <c r="C47" s="184"/>
      <c r="D47" s="184"/>
      <c r="E47" s="184"/>
      <c r="F47" s="184"/>
      <c r="G47" s="186"/>
      <c r="H47" s="186"/>
      <c r="I47" s="186"/>
      <c r="J47" s="186"/>
      <c r="K47" s="55"/>
      <c r="L47" s="184" t="s">
        <v>306</v>
      </c>
      <c r="M47" s="55"/>
      <c r="N47" s="184"/>
      <c r="O47" s="184"/>
      <c r="P47" s="186"/>
      <c r="Q47" s="186"/>
      <c r="R47" s="55"/>
      <c r="S47" s="55"/>
      <c r="T47" s="55"/>
      <c r="U47" s="55"/>
      <c r="V47" s="55"/>
    </row>
    <row r="48" spans="1:22" ht="15.6" x14ac:dyDescent="0.3">
      <c r="A48" s="187" t="s">
        <v>307</v>
      </c>
      <c r="B48" s="55"/>
      <c r="C48" s="55"/>
      <c r="D48" s="55"/>
      <c r="E48" s="55"/>
      <c r="F48" s="55"/>
      <c r="G48" s="34"/>
      <c r="H48" s="34"/>
      <c r="I48" s="34"/>
      <c r="J48" s="34"/>
      <c r="K48" s="55"/>
      <c r="L48" s="485" t="s">
        <v>1930</v>
      </c>
      <c r="M48" s="485"/>
      <c r="N48" s="485"/>
      <c r="O48" s="485"/>
      <c r="P48" s="485"/>
      <c r="Q48" s="34"/>
      <c r="R48" s="55"/>
      <c r="S48" s="55"/>
      <c r="T48" s="55"/>
      <c r="U48" s="55"/>
      <c r="V48" s="55"/>
    </row>
    <row r="49" spans="1:22" ht="15.6" x14ac:dyDescent="0.3">
      <c r="A49" s="55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55"/>
      <c r="S49" s="55"/>
      <c r="T49" s="55"/>
      <c r="U49" s="55"/>
      <c r="V49" s="55"/>
    </row>
    <row r="50" spans="1:22" x14ac:dyDescent="0.3">
      <c r="A50" s="55"/>
      <c r="B50" s="55"/>
      <c r="C50" s="486" t="s">
        <v>308</v>
      </c>
      <c r="D50" s="486"/>
      <c r="E50" s="486"/>
      <c r="F50" s="486"/>
      <c r="G50" s="486"/>
      <c r="H50" s="486"/>
      <c r="I50" s="486"/>
      <c r="J50" s="486"/>
      <c r="K50" s="486"/>
      <c r="L50" s="486"/>
      <c r="M50" s="486"/>
      <c r="N50" s="486"/>
      <c r="O50" s="486"/>
      <c r="P50" s="486"/>
      <c r="Q50" s="55"/>
      <c r="R50" s="55"/>
      <c r="S50" s="55"/>
      <c r="T50" s="55"/>
      <c r="U50" s="55"/>
      <c r="V50" s="55"/>
    </row>
    <row r="51" spans="1:22" x14ac:dyDescent="0.3">
      <c r="A51" s="472" t="s">
        <v>309</v>
      </c>
      <c r="B51" s="472" t="s">
        <v>310</v>
      </c>
      <c r="C51" s="472" t="s">
        <v>311</v>
      </c>
      <c r="D51" s="472" t="s">
        <v>312</v>
      </c>
      <c r="E51" s="472" t="s">
        <v>313</v>
      </c>
      <c r="F51" s="472" t="s">
        <v>314</v>
      </c>
      <c r="G51" s="473" t="s">
        <v>315</v>
      </c>
      <c r="H51" s="476" t="s">
        <v>316</v>
      </c>
      <c r="I51" s="477"/>
      <c r="J51" s="477"/>
      <c r="K51" s="478"/>
      <c r="L51" s="479" t="s">
        <v>317</v>
      </c>
      <c r="M51" s="479" t="s">
        <v>318</v>
      </c>
      <c r="N51" s="476" t="s">
        <v>316</v>
      </c>
      <c r="O51" s="477"/>
      <c r="P51" s="477"/>
      <c r="Q51" s="477"/>
      <c r="R51" s="477"/>
      <c r="S51" s="477"/>
      <c r="T51" s="477"/>
      <c r="U51" s="478"/>
      <c r="V51" s="55"/>
    </row>
    <row r="52" spans="1:22" x14ac:dyDescent="0.3">
      <c r="A52" s="472"/>
      <c r="B52" s="472"/>
      <c r="C52" s="472"/>
      <c r="D52" s="472"/>
      <c r="E52" s="472"/>
      <c r="F52" s="472"/>
      <c r="G52" s="474"/>
      <c r="H52" s="188" t="s">
        <v>319</v>
      </c>
      <c r="I52" s="188" t="s">
        <v>320</v>
      </c>
      <c r="J52" s="188" t="s">
        <v>321</v>
      </c>
      <c r="K52" s="188" t="s">
        <v>322</v>
      </c>
      <c r="L52" s="480"/>
      <c r="M52" s="480"/>
      <c r="N52" s="190" t="s">
        <v>28</v>
      </c>
      <c r="O52" s="190" t="s">
        <v>29</v>
      </c>
      <c r="P52" s="190" t="s">
        <v>30</v>
      </c>
      <c r="Q52" s="190" t="s">
        <v>31</v>
      </c>
      <c r="R52" s="190" t="s">
        <v>32</v>
      </c>
      <c r="S52" s="190" t="s">
        <v>33</v>
      </c>
      <c r="T52" s="190" t="s">
        <v>34</v>
      </c>
      <c r="U52" s="190" t="s">
        <v>35</v>
      </c>
      <c r="V52" s="55"/>
    </row>
    <row r="53" spans="1:22" ht="27.6" x14ac:dyDescent="0.3">
      <c r="A53" s="191">
        <v>1</v>
      </c>
      <c r="B53" s="192" t="str">
        <f>'[1]level one'!$C$402</f>
        <v>ACC1102H</v>
      </c>
      <c r="C53" s="192" t="str">
        <f>'[1]level one'!$C$403</f>
        <v>OHADA Financial Accounting I</v>
      </c>
      <c r="D53" s="193">
        <v>3</v>
      </c>
      <c r="E53" s="193" t="s">
        <v>32</v>
      </c>
      <c r="F53" s="198" t="s">
        <v>418</v>
      </c>
      <c r="G53" s="194"/>
      <c r="H53" s="155">
        <f>'FBMS-HND LEVEL ONE'!$O$599</f>
        <v>54</v>
      </c>
      <c r="I53" s="155">
        <f>'FBMS-HND LEVEL ONE'!$O$600</f>
        <v>54</v>
      </c>
      <c r="J53" s="155">
        <f>'FBMS-HND LEVEL ONE'!$O$602</f>
        <v>50</v>
      </c>
      <c r="K53" s="155">
        <f>'FBMS-HND LEVEL ONE'!$O$604</f>
        <v>4</v>
      </c>
      <c r="L53" s="195">
        <f t="shared" ref="L53:L60" si="8">J53/I53*100</f>
        <v>92.592592592592595</v>
      </c>
      <c r="M53" s="195">
        <f>K53/I53*100</f>
        <v>7.4074074074074066</v>
      </c>
      <c r="N53" s="196">
        <f>'FBMS-HND LEVEL ONE'!O612</f>
        <v>3</v>
      </c>
      <c r="O53" s="196">
        <f>'FBMS-HND LEVEL ONE'!P612</f>
        <v>12</v>
      </c>
      <c r="P53" s="196">
        <f>'FBMS-HND LEVEL ONE'!Q612</f>
        <v>23</v>
      </c>
      <c r="Q53" s="196">
        <f>'FBMS-HND LEVEL ONE'!R612</f>
        <v>5</v>
      </c>
      <c r="R53" s="196">
        <f>'FBMS-HND LEVEL ONE'!S612</f>
        <v>7</v>
      </c>
      <c r="S53" s="196">
        <f>'FBMS-HND LEVEL ONE'!T612</f>
        <v>1</v>
      </c>
      <c r="T53" s="196">
        <f>'FBMS-HND LEVEL ONE'!U612</f>
        <v>2</v>
      </c>
      <c r="U53" s="196">
        <f>'FBMS-HND LEVEL ONE'!V612</f>
        <v>1</v>
      </c>
      <c r="V53" s="55">
        <f>SUM(N53:U53)</f>
        <v>54</v>
      </c>
    </row>
    <row r="54" spans="1:22" ht="25.5" customHeight="1" x14ac:dyDescent="0.3">
      <c r="A54" s="197">
        <v>2</v>
      </c>
      <c r="B54" s="192" t="s">
        <v>351</v>
      </c>
      <c r="C54" s="192" t="str">
        <f>'[1]level one'!$C$458</f>
        <v>Principles of Taxation</v>
      </c>
      <c r="D54" s="193">
        <f>'[1]level one'!$C$459</f>
        <v>3</v>
      </c>
      <c r="E54" s="193" t="s">
        <v>32</v>
      </c>
      <c r="F54" s="198" t="str">
        <f>'[1]level one'!$C$460</f>
        <v>Mr Youopouo Maurice</v>
      </c>
      <c r="G54" s="194"/>
      <c r="H54" s="196">
        <f>'FBMS-HND LEVEL ONE'!$O$670</f>
        <v>54</v>
      </c>
      <c r="I54" s="196">
        <f>'FBMS-HND LEVEL ONE'!$O$671</f>
        <v>54</v>
      </c>
      <c r="J54" s="196">
        <f>'FBMS-HND LEVEL ONE'!$O$673</f>
        <v>39</v>
      </c>
      <c r="K54" s="196">
        <f>'FBMS-HND LEVEL ONE'!$O$675</f>
        <v>15</v>
      </c>
      <c r="L54" s="195">
        <f t="shared" si="8"/>
        <v>72.222222222222214</v>
      </c>
      <c r="M54" s="195">
        <f t="shared" ref="M54:M60" si="9">K54/I54*100</f>
        <v>27.777777777777779</v>
      </c>
      <c r="N54" s="196">
        <f>'FBMS-HND LEVEL ONE'!O682</f>
        <v>3</v>
      </c>
      <c r="O54" s="196">
        <f>'FBMS-HND LEVEL ONE'!P682</f>
        <v>9</v>
      </c>
      <c r="P54" s="196">
        <f>'FBMS-HND LEVEL ONE'!Q682</f>
        <v>12</v>
      </c>
      <c r="Q54" s="196">
        <f>'FBMS-HND LEVEL ONE'!R682</f>
        <v>8</v>
      </c>
      <c r="R54" s="196">
        <f>'FBMS-HND LEVEL ONE'!S682</f>
        <v>7</v>
      </c>
      <c r="S54" s="196">
        <f>'FBMS-HND LEVEL ONE'!T682</f>
        <v>0</v>
      </c>
      <c r="T54" s="196">
        <f>'FBMS-HND LEVEL ONE'!U682</f>
        <v>1</v>
      </c>
      <c r="U54" s="196">
        <f>'FBMS-HND LEVEL ONE'!V682</f>
        <v>14</v>
      </c>
      <c r="V54" s="55">
        <f t="shared" ref="V54:V60" si="10">SUM(N54:U54)</f>
        <v>54</v>
      </c>
    </row>
    <row r="55" spans="1:22" ht="27.6" x14ac:dyDescent="0.3">
      <c r="A55" s="191">
        <v>3</v>
      </c>
      <c r="B55" s="192" t="str">
        <f>'[1]level one'!$C$563</f>
        <v>ACC1101H</v>
      </c>
      <c r="C55" s="192" t="str">
        <f>'[1]level one'!$C$564</f>
        <v>Principles of Accounting</v>
      </c>
      <c r="D55" s="193">
        <f>'[1]level one'!$C$565</f>
        <v>3</v>
      </c>
      <c r="E55" s="193" t="s">
        <v>32</v>
      </c>
      <c r="F55" s="198" t="s">
        <v>420</v>
      </c>
      <c r="G55" s="194"/>
      <c r="H55" s="196">
        <f>'FBMS-HND LEVEL ONE'!$O$813</f>
        <v>56</v>
      </c>
      <c r="I55" s="196">
        <f>'FBMS-HND LEVEL ONE'!$O$814</f>
        <v>55</v>
      </c>
      <c r="J55" s="196">
        <f>'FBMS-HND LEVEL ONE'!$O$816</f>
        <v>41</v>
      </c>
      <c r="K55" s="196">
        <f>'FBMS-HND LEVEL ONE'!$O$818</f>
        <v>14</v>
      </c>
      <c r="L55" s="195">
        <f t="shared" si="8"/>
        <v>74.545454545454547</v>
      </c>
      <c r="M55" s="195">
        <f t="shared" si="9"/>
        <v>25.454545454545453</v>
      </c>
      <c r="N55" s="196">
        <f>'FBMS-HND LEVEL ONE'!O826</f>
        <v>9</v>
      </c>
      <c r="O55" s="196">
        <f>'FBMS-HND LEVEL ONE'!P826</f>
        <v>14</v>
      </c>
      <c r="P55" s="196">
        <f>'FBMS-HND LEVEL ONE'!Q826</f>
        <v>7</v>
      </c>
      <c r="Q55" s="196">
        <f>'FBMS-HND LEVEL ONE'!R826</f>
        <v>4</v>
      </c>
      <c r="R55" s="196">
        <f>'FBMS-HND LEVEL ONE'!S826</f>
        <v>7</v>
      </c>
      <c r="S55" s="196">
        <f>'FBMS-HND LEVEL ONE'!T826</f>
        <v>2</v>
      </c>
      <c r="T55" s="196">
        <f>'FBMS-HND LEVEL ONE'!U826</f>
        <v>3</v>
      </c>
      <c r="U55" s="196">
        <f>'FBMS-HND LEVEL ONE'!V826</f>
        <v>9</v>
      </c>
      <c r="V55" s="55">
        <f t="shared" si="10"/>
        <v>55</v>
      </c>
    </row>
    <row r="56" spans="1:22" ht="31.5" customHeight="1" x14ac:dyDescent="0.3">
      <c r="A56" s="197">
        <v>4</v>
      </c>
      <c r="B56" s="192" t="str">
        <f>'[1]level two'!$C$104</f>
        <v>ACC 2103H</v>
      </c>
      <c r="C56" s="192" t="str">
        <f>'[1]level two'!$C$105</f>
        <v>Cost &amp; Management Accounting II</v>
      </c>
      <c r="D56" s="193">
        <f>'[1]level two'!$C$106</f>
        <v>3</v>
      </c>
      <c r="E56" s="193" t="s">
        <v>32</v>
      </c>
      <c r="F56" s="198" t="s">
        <v>423</v>
      </c>
      <c r="G56" s="194"/>
      <c r="H56" s="196">
        <f>'FBMS-HND LEVEL TWO'!$O$221</f>
        <v>50</v>
      </c>
      <c r="I56" s="196">
        <f>'FBMS-HND LEVEL TWO'!$O$222</f>
        <v>49</v>
      </c>
      <c r="J56" s="196">
        <f>'FBMS-HND LEVEL TWO'!$O$224</f>
        <v>39</v>
      </c>
      <c r="K56" s="196">
        <f>'FBMS-HND LEVEL TWO'!$O$226</f>
        <v>10</v>
      </c>
      <c r="L56" s="195">
        <f t="shared" si="8"/>
        <v>79.591836734693871</v>
      </c>
      <c r="M56" s="195">
        <f t="shared" si="9"/>
        <v>20.408163265306122</v>
      </c>
      <c r="N56" s="196">
        <f>'FBMS-HND LEVEL TWO'!O233</f>
        <v>9</v>
      </c>
      <c r="O56" s="196">
        <f>'FBMS-HND LEVEL TWO'!P233</f>
        <v>4</v>
      </c>
      <c r="P56" s="196">
        <f>'FBMS-HND LEVEL TWO'!Q233</f>
        <v>19</v>
      </c>
      <c r="Q56" s="196">
        <f>'FBMS-HND LEVEL TWO'!R233</f>
        <v>2</v>
      </c>
      <c r="R56" s="196">
        <f>'FBMS-HND LEVEL TWO'!S233</f>
        <v>5</v>
      </c>
      <c r="S56" s="196">
        <f>'FBMS-HND LEVEL TWO'!T233</f>
        <v>2</v>
      </c>
      <c r="T56" s="196">
        <f>'FBMS-HND LEVEL TWO'!U233</f>
        <v>4</v>
      </c>
      <c r="U56" s="196">
        <f>'FBMS-HND LEVEL TWO'!V233</f>
        <v>4</v>
      </c>
      <c r="V56" s="55">
        <f t="shared" si="10"/>
        <v>49</v>
      </c>
    </row>
    <row r="57" spans="1:22" ht="27.6" x14ac:dyDescent="0.3">
      <c r="A57" s="197">
        <v>5</v>
      </c>
      <c r="B57" s="192" t="str">
        <f>'[1]level two'!$C$174</f>
        <v>ACC 2105H</v>
      </c>
      <c r="C57" s="192" t="str">
        <f>'[1]level two'!$C$175</f>
        <v>Taxation I &amp; II</v>
      </c>
      <c r="D57" s="193">
        <f>'[1]level two'!$C$176</f>
        <v>3</v>
      </c>
      <c r="E57" s="193" t="s">
        <v>32</v>
      </c>
      <c r="F57" s="198" t="str">
        <f>'[1]level two'!$C$177</f>
        <v>Mr. Youopouo Maurice</v>
      </c>
      <c r="G57" s="194"/>
      <c r="H57" s="196">
        <f>'FBMS-HND LEVEL TWO'!$O$370</f>
        <v>29</v>
      </c>
      <c r="I57" s="196">
        <f>'FBMS-HND LEVEL TWO'!$O$371</f>
        <v>29</v>
      </c>
      <c r="J57" s="196">
        <f>'FBMS-HND LEVEL TWO'!$O$373</f>
        <v>25</v>
      </c>
      <c r="K57" s="196">
        <f>'FBMS-HND LEVEL TWO'!$O$375</f>
        <v>4</v>
      </c>
      <c r="L57" s="195">
        <f t="shared" si="8"/>
        <v>86.206896551724128</v>
      </c>
      <c r="M57" s="195">
        <f t="shared" si="9"/>
        <v>13.793103448275861</v>
      </c>
      <c r="N57" s="196">
        <f>'FBMS-HND LEVEL TWO'!O382</f>
        <v>5</v>
      </c>
      <c r="O57" s="196">
        <f>'FBMS-HND LEVEL TWO'!P382</f>
        <v>2</v>
      </c>
      <c r="P57" s="196">
        <f>'FBMS-HND LEVEL TWO'!Q382</f>
        <v>8</v>
      </c>
      <c r="Q57" s="196">
        <f>'FBMS-HND LEVEL TWO'!R382</f>
        <v>4</v>
      </c>
      <c r="R57" s="196">
        <f>'FBMS-HND LEVEL TWO'!S382</f>
        <v>6</v>
      </c>
      <c r="S57" s="196">
        <f>'FBMS-HND LEVEL TWO'!T382</f>
        <v>0</v>
      </c>
      <c r="T57" s="196">
        <f>'FBMS-HND LEVEL TWO'!U382</f>
        <v>2</v>
      </c>
      <c r="U57" s="196">
        <f>'FBMS-HND LEVEL TWO'!V382</f>
        <v>2</v>
      </c>
      <c r="V57" s="55">
        <f t="shared" si="10"/>
        <v>29</v>
      </c>
    </row>
    <row r="58" spans="1:22" ht="27.6" x14ac:dyDescent="0.3">
      <c r="A58" s="197">
        <v>6</v>
      </c>
      <c r="B58" s="192" t="str">
        <f>'[1]level two'!$C$332</f>
        <v>ACC 2102H</v>
      </c>
      <c r="C58" s="192" t="str">
        <f>'[1]level two'!$C$333</f>
        <v>OHADA Financial Accounting III</v>
      </c>
      <c r="D58" s="193">
        <f>'[1]level two'!$C$334</f>
        <v>3</v>
      </c>
      <c r="E58" s="193" t="s">
        <v>32</v>
      </c>
      <c r="F58" s="198" t="str">
        <f>'[1]level two'!$C$335</f>
        <v>Mr. Youopouo Maurice</v>
      </c>
      <c r="G58" s="194"/>
      <c r="H58" s="196">
        <f>'FBMS-HND LEVEL TWO'!$O$699</f>
        <v>29</v>
      </c>
      <c r="I58" s="196">
        <f>'FBMS-HND LEVEL TWO'!$O$700</f>
        <v>28</v>
      </c>
      <c r="J58" s="196">
        <f>'FBMS-HND LEVEL TWO'!$O$702</f>
        <v>22</v>
      </c>
      <c r="K58" s="196">
        <f>'FBMS-HND LEVEL TWO'!$O$704</f>
        <v>6</v>
      </c>
      <c r="L58" s="195">
        <f t="shared" si="8"/>
        <v>78.571428571428569</v>
      </c>
      <c r="M58" s="195">
        <f t="shared" si="9"/>
        <v>21.428571428571427</v>
      </c>
      <c r="N58" s="196">
        <f>'FBMS-HND LEVEL TWO'!O711</f>
        <v>3</v>
      </c>
      <c r="O58" s="196">
        <f>'FBMS-HND LEVEL TWO'!P711</f>
        <v>3</v>
      </c>
      <c r="P58" s="196">
        <f>'FBMS-HND LEVEL TWO'!Q711</f>
        <v>7</v>
      </c>
      <c r="Q58" s="196">
        <f>'FBMS-HND LEVEL TWO'!R711</f>
        <v>1</v>
      </c>
      <c r="R58" s="196">
        <f>'FBMS-HND LEVEL TWO'!S711</f>
        <v>8</v>
      </c>
      <c r="S58" s="196">
        <f>'FBMS-HND LEVEL TWO'!T711</f>
        <v>0</v>
      </c>
      <c r="T58" s="196">
        <f>'FBMS-HND LEVEL TWO'!U711</f>
        <v>3</v>
      </c>
      <c r="U58" s="196">
        <f>'FBMS-HND LEVEL TWO'!V711</f>
        <v>3</v>
      </c>
      <c r="V58" s="55">
        <f t="shared" si="10"/>
        <v>28</v>
      </c>
    </row>
    <row r="59" spans="1:22" x14ac:dyDescent="0.3">
      <c r="A59" s="197">
        <v>7</v>
      </c>
      <c r="B59" s="192" t="str">
        <f>'[1]level two'!$C$364</f>
        <v>ACC 2104H</v>
      </c>
      <c r="C59" s="192" t="str">
        <f>'[1]level two'!$C$365</f>
        <v>Company Accounting</v>
      </c>
      <c r="D59" s="193">
        <v>3</v>
      </c>
      <c r="E59" s="193" t="s">
        <v>32</v>
      </c>
      <c r="F59" s="198" t="str">
        <f>'[1]level two'!$C$367</f>
        <v>Mr. Mforsah Roger</v>
      </c>
      <c r="G59" s="194"/>
      <c r="H59" s="196">
        <f>'FBMS-HND LEVEL TWO'!$O$753</f>
        <v>23</v>
      </c>
      <c r="I59" s="196">
        <f>'FBMS-HND LEVEL TWO'!$O$754</f>
        <v>20</v>
      </c>
      <c r="J59" s="196">
        <f>'FBMS-HND LEVEL TWO'!$O$756</f>
        <v>17</v>
      </c>
      <c r="K59" s="196">
        <f>'FBMS-HND LEVEL TWO'!$O$758</f>
        <v>3</v>
      </c>
      <c r="L59" s="195">
        <f t="shared" si="8"/>
        <v>85</v>
      </c>
      <c r="M59" s="195">
        <f t="shared" si="9"/>
        <v>15</v>
      </c>
      <c r="N59" s="196">
        <f>'FBMS-HND LEVEL TWO'!O765</f>
        <v>3</v>
      </c>
      <c r="O59" s="196">
        <f>'FBMS-HND LEVEL TWO'!P765</f>
        <v>2</v>
      </c>
      <c r="P59" s="196">
        <f>'FBMS-HND LEVEL TWO'!Q765</f>
        <v>4</v>
      </c>
      <c r="Q59" s="196">
        <f>'FBMS-HND LEVEL TWO'!R765</f>
        <v>3</v>
      </c>
      <c r="R59" s="196">
        <f>'FBMS-HND LEVEL TWO'!S765</f>
        <v>5</v>
      </c>
      <c r="S59" s="196">
        <f>'FBMS-HND LEVEL TWO'!T765</f>
        <v>0</v>
      </c>
      <c r="T59" s="196">
        <f>'FBMS-HND LEVEL TWO'!U765</f>
        <v>1</v>
      </c>
      <c r="U59" s="196">
        <f>'FBMS-HND LEVEL TWO'!V765</f>
        <v>2</v>
      </c>
      <c r="V59" s="55">
        <f t="shared" si="10"/>
        <v>20</v>
      </c>
    </row>
    <row r="60" spans="1:22" ht="27.6" x14ac:dyDescent="0.3">
      <c r="A60" s="197">
        <v>8</v>
      </c>
      <c r="B60" s="192" t="str">
        <f>'[1]level two'!$C$395</f>
        <v>ACC 2101H</v>
      </c>
      <c r="C60" s="215" t="str">
        <f>'[1]level two'!$C$396</f>
        <v>Computer Asisted Accounting II</v>
      </c>
      <c r="D60" s="193">
        <f>'[1]level two'!$C$397</f>
        <v>3</v>
      </c>
      <c r="E60" s="193" t="s">
        <v>32</v>
      </c>
      <c r="F60" s="198" t="s">
        <v>418</v>
      </c>
      <c r="G60" s="194"/>
      <c r="H60" s="196">
        <f>'FBMS-HND LEVEL TWO'!$O$797</f>
        <v>21</v>
      </c>
      <c r="I60" s="196">
        <f>'FBMS-HND LEVEL TWO'!$O$798</f>
        <v>21</v>
      </c>
      <c r="J60" s="196">
        <f>'FBMS-HND LEVEL TWO'!$O$800</f>
        <v>19</v>
      </c>
      <c r="K60" s="196">
        <f>'FBMS-HND LEVEL TWO'!$O$802</f>
        <v>2</v>
      </c>
      <c r="L60" s="195">
        <f t="shared" si="8"/>
        <v>90.476190476190482</v>
      </c>
      <c r="M60" s="195">
        <f t="shared" si="9"/>
        <v>9.5238095238095237</v>
      </c>
      <c r="N60" s="196">
        <f>'FBMS-HND LEVEL TWO'!O809</f>
        <v>8</v>
      </c>
      <c r="O60" s="196">
        <f>'FBMS-HND LEVEL TWO'!P809</f>
        <v>4</v>
      </c>
      <c r="P60" s="196">
        <f>'FBMS-HND LEVEL TWO'!Q809</f>
        <v>6</v>
      </c>
      <c r="Q60" s="196">
        <f>'FBMS-HND LEVEL TWO'!R809</f>
        <v>0</v>
      </c>
      <c r="R60" s="196">
        <f>'FBMS-HND LEVEL TWO'!S809</f>
        <v>1</v>
      </c>
      <c r="S60" s="196">
        <f>'FBMS-HND LEVEL TWO'!T809</f>
        <v>1</v>
      </c>
      <c r="T60" s="196">
        <f>'FBMS-HND LEVEL TWO'!U809</f>
        <v>0</v>
      </c>
      <c r="U60" s="196">
        <f>'FBMS-HND LEVEL TWO'!V809</f>
        <v>1</v>
      </c>
      <c r="V60" s="55">
        <f t="shared" si="10"/>
        <v>21</v>
      </c>
    </row>
    <row r="61" spans="1:22" x14ac:dyDescent="0.3">
      <c r="A61" s="199"/>
      <c r="B61" s="199"/>
      <c r="C61" s="487" t="s">
        <v>323</v>
      </c>
      <c r="D61" s="488"/>
      <c r="E61" s="488"/>
      <c r="F61" s="489"/>
      <c r="G61" s="199"/>
      <c r="H61" s="200">
        <f>SUM(H53:H60)</f>
        <v>316</v>
      </c>
      <c r="I61" s="200">
        <f>SUM(I53:I60)</f>
        <v>310</v>
      </c>
      <c r="J61" s="200">
        <f>SUM(J53:J60)</f>
        <v>252</v>
      </c>
      <c r="K61" s="200">
        <f>SUM(K53:K60)</f>
        <v>58</v>
      </c>
      <c r="L61" s="201">
        <f>J61/I61*100</f>
        <v>81.290322580645153</v>
      </c>
      <c r="M61" s="201">
        <f>K61/I61*100</f>
        <v>18.70967741935484</v>
      </c>
      <c r="N61" s="200">
        <f t="shared" ref="N61:U61" si="11">SUM(N53:N60)</f>
        <v>43</v>
      </c>
      <c r="O61" s="200">
        <f t="shared" si="11"/>
        <v>50</v>
      </c>
      <c r="P61" s="200">
        <f t="shared" si="11"/>
        <v>86</v>
      </c>
      <c r="Q61" s="200">
        <f>SUM(Q53:Q60)</f>
        <v>27</v>
      </c>
      <c r="R61" s="200">
        <f t="shared" si="11"/>
        <v>46</v>
      </c>
      <c r="S61" s="200">
        <f>SUM(S53:S60)</f>
        <v>6</v>
      </c>
      <c r="T61" s="200">
        <f t="shared" si="11"/>
        <v>16</v>
      </c>
      <c r="U61" s="200">
        <f t="shared" si="11"/>
        <v>36</v>
      </c>
      <c r="V61" s="55">
        <f>SUM(N61:U61)</f>
        <v>310</v>
      </c>
    </row>
    <row r="62" spans="1:22" x14ac:dyDescent="0.3">
      <c r="A62" s="183"/>
      <c r="B62" s="490" t="s">
        <v>324</v>
      </c>
      <c r="C62" s="490"/>
      <c r="D62" s="490"/>
      <c r="E62" s="490"/>
      <c r="F62" s="490"/>
      <c r="G62" s="490"/>
      <c r="H62" s="490"/>
      <c r="I62" s="490"/>
      <c r="J62" s="490"/>
      <c r="K62" s="490"/>
      <c r="L62" s="490"/>
      <c r="M62" s="490"/>
      <c r="N62" s="490"/>
      <c r="O62" s="490"/>
      <c r="P62" s="490"/>
      <c r="Q62" s="490"/>
      <c r="R62" s="490"/>
      <c r="S62" s="490"/>
      <c r="T62" s="490"/>
      <c r="U62" s="490"/>
      <c r="V62" s="55"/>
    </row>
    <row r="63" spans="1:22" x14ac:dyDescent="0.3">
      <c r="A63" s="183"/>
      <c r="B63" s="202"/>
      <c r="C63" s="202"/>
      <c r="D63" s="202"/>
      <c r="E63" s="202"/>
      <c r="F63" s="202"/>
      <c r="G63" s="202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55"/>
      <c r="V63" s="55"/>
    </row>
    <row r="64" spans="1:22" x14ac:dyDescent="0.3">
      <c r="A64" s="183"/>
      <c r="B64" s="203" t="s">
        <v>325</v>
      </c>
      <c r="C64" s="204"/>
      <c r="D64" s="491">
        <f t="shared" ref="D64" si="12">$I$61</f>
        <v>310</v>
      </c>
      <c r="E64" s="491"/>
      <c r="F64" s="205"/>
      <c r="G64" s="205"/>
      <c r="H64" s="205"/>
      <c r="I64" s="483" t="s">
        <v>326</v>
      </c>
      <c r="J64" s="483"/>
      <c r="K64" s="483"/>
      <c r="L64" s="483"/>
      <c r="M64" s="483"/>
      <c r="N64" s="491">
        <f t="shared" ref="N64" si="13">$K$61</f>
        <v>58</v>
      </c>
      <c r="O64" s="491"/>
      <c r="P64" s="183"/>
      <c r="Q64" s="183"/>
      <c r="R64" s="183"/>
      <c r="S64" s="183"/>
      <c r="T64" s="183"/>
      <c r="U64" s="55"/>
      <c r="V64" s="55"/>
    </row>
    <row r="65" spans="1:22" x14ac:dyDescent="0.3">
      <c r="A65" s="183"/>
      <c r="B65" s="483" t="s">
        <v>327</v>
      </c>
      <c r="C65" s="483"/>
      <c r="D65" s="491">
        <f t="shared" ref="D65" si="14">$J$61</f>
        <v>252</v>
      </c>
      <c r="E65" s="491"/>
      <c r="F65" s="206"/>
      <c r="G65" s="206"/>
      <c r="H65" s="206"/>
      <c r="N65" s="492"/>
      <c r="O65" s="492"/>
      <c r="P65" s="183"/>
      <c r="Q65" s="183"/>
      <c r="R65" s="183"/>
      <c r="S65" s="183"/>
      <c r="T65" s="183"/>
      <c r="U65" s="55"/>
      <c r="V65" s="55"/>
    </row>
    <row r="66" spans="1:22" x14ac:dyDescent="0.3">
      <c r="A66" s="203" t="s">
        <v>329</v>
      </c>
      <c r="B66" s="206"/>
      <c r="C66" s="206"/>
      <c r="D66" s="206"/>
      <c r="E66" s="206"/>
      <c r="F66" s="206"/>
      <c r="G66" s="206"/>
      <c r="H66" s="206"/>
      <c r="I66" s="491" t="s">
        <v>334</v>
      </c>
      <c r="J66" s="491"/>
      <c r="K66" s="491"/>
      <c r="L66" s="491"/>
      <c r="M66" s="209">
        <f>$L$61</f>
        <v>81.290322580645153</v>
      </c>
      <c r="N66" s="206"/>
      <c r="O66" s="206"/>
      <c r="P66" s="183"/>
      <c r="Q66" s="183"/>
      <c r="R66" s="183"/>
      <c r="S66" s="183"/>
      <c r="T66" s="183"/>
      <c r="U66" s="55"/>
      <c r="V66" s="55"/>
    </row>
    <row r="67" spans="1:22" x14ac:dyDescent="0.3">
      <c r="A67" s="183"/>
      <c r="B67" s="206"/>
      <c r="C67" s="210"/>
      <c r="D67" s="206"/>
      <c r="E67" s="55"/>
      <c r="F67" s="55"/>
      <c r="G67" s="206"/>
      <c r="H67" s="206"/>
      <c r="I67" s="206"/>
      <c r="J67" s="206"/>
      <c r="K67" s="210"/>
      <c r="L67" s="210"/>
      <c r="M67" s="210"/>
      <c r="N67" s="206"/>
      <c r="O67" s="206"/>
      <c r="P67" s="183"/>
      <c r="Q67" s="183"/>
      <c r="R67" s="183"/>
      <c r="S67" s="183"/>
      <c r="T67" s="183"/>
      <c r="U67" s="55"/>
      <c r="V67" s="55"/>
    </row>
    <row r="68" spans="1:22" x14ac:dyDescent="0.3">
      <c r="A68" s="55"/>
      <c r="B68" s="55"/>
      <c r="C68" s="211" t="str">
        <f>$F$53</f>
        <v>Mr.Ngondo Charles</v>
      </c>
      <c r="D68" s="211"/>
      <c r="E68" s="55"/>
      <c r="F68" s="212" t="str">
        <f>$F$55</f>
        <v>Mr Nzebir chrysantus</v>
      </c>
      <c r="G68" s="183"/>
      <c r="H68" s="183"/>
      <c r="I68" s="183"/>
      <c r="J68" s="183"/>
      <c r="K68" s="213" t="str">
        <f>$F$56</f>
        <v>Mr.Shiyghan Chrysanctus</v>
      </c>
      <c r="L68" s="211"/>
      <c r="M68" s="211"/>
      <c r="N68" s="211"/>
      <c r="O68" s="183"/>
      <c r="P68" s="183"/>
      <c r="Q68" s="183"/>
      <c r="R68" s="183"/>
      <c r="S68" s="183"/>
      <c r="T68" s="183"/>
      <c r="U68" s="183"/>
      <c r="V68" s="55"/>
    </row>
    <row r="69" spans="1:22" x14ac:dyDescent="0.3">
      <c r="A69" s="55"/>
      <c r="B69" s="55"/>
      <c r="C69" s="283"/>
      <c r="D69" s="283"/>
      <c r="E69" s="55"/>
      <c r="F69" s="183"/>
      <c r="G69" s="183"/>
      <c r="H69" s="183"/>
      <c r="I69" s="183"/>
      <c r="J69" s="183"/>
      <c r="K69" s="213"/>
      <c r="L69" s="283"/>
      <c r="M69" s="283"/>
      <c r="N69" s="283"/>
      <c r="O69" s="183"/>
      <c r="P69" s="183"/>
      <c r="Q69" s="183"/>
      <c r="R69" s="183"/>
      <c r="S69" s="183"/>
      <c r="T69" s="183"/>
      <c r="U69" s="183"/>
      <c r="V69" s="55"/>
    </row>
    <row r="70" spans="1:22" x14ac:dyDescent="0.3">
      <c r="A70" s="55"/>
      <c r="B70" s="55"/>
      <c r="C70" s="283"/>
      <c r="D70" s="283"/>
      <c r="E70" s="55"/>
      <c r="F70" s="183"/>
      <c r="G70" s="183"/>
      <c r="H70" s="183"/>
      <c r="I70" s="183"/>
      <c r="J70" s="183"/>
      <c r="K70" s="213"/>
      <c r="L70" s="283"/>
      <c r="M70" s="283"/>
      <c r="N70" s="283"/>
      <c r="O70" s="183"/>
      <c r="P70" s="183"/>
      <c r="Q70" s="183"/>
      <c r="R70" s="183"/>
      <c r="S70" s="183"/>
      <c r="T70" s="183"/>
      <c r="U70" s="183"/>
      <c r="V70" s="55"/>
    </row>
    <row r="71" spans="1:22" x14ac:dyDescent="0.3">
      <c r="A71" s="55"/>
      <c r="B71" s="55"/>
      <c r="C71" s="211"/>
      <c r="D71" s="211"/>
      <c r="E71" s="55"/>
      <c r="F71" s="183"/>
      <c r="G71" s="183"/>
      <c r="H71" s="183"/>
      <c r="I71" s="183"/>
      <c r="J71" s="183"/>
      <c r="K71" s="213"/>
      <c r="L71" s="211"/>
      <c r="M71" s="211"/>
      <c r="N71" s="211"/>
      <c r="O71" s="183"/>
      <c r="P71" s="183"/>
      <c r="Q71" s="183"/>
      <c r="R71" s="183"/>
      <c r="S71" s="183"/>
      <c r="T71" s="183"/>
      <c r="U71" s="183"/>
      <c r="V71" s="55"/>
    </row>
    <row r="72" spans="1:22" x14ac:dyDescent="0.3">
      <c r="A72" s="211"/>
      <c r="B72" s="211"/>
      <c r="C72" s="282" t="s">
        <v>352</v>
      </c>
      <c r="D72" s="211"/>
      <c r="E72" s="55" t="s">
        <v>330</v>
      </c>
      <c r="F72" s="55" t="s">
        <v>331</v>
      </c>
      <c r="G72" s="183"/>
      <c r="H72" s="183"/>
      <c r="I72" s="183"/>
      <c r="J72" s="183"/>
      <c r="K72" s="211"/>
      <c r="L72" s="211"/>
      <c r="M72" s="211"/>
      <c r="N72" s="211"/>
      <c r="O72" s="183"/>
      <c r="P72" s="183"/>
      <c r="Q72" s="183"/>
      <c r="R72" s="183"/>
      <c r="S72" s="183"/>
      <c r="T72" s="183"/>
      <c r="U72" s="183"/>
      <c r="V72" s="55"/>
    </row>
    <row r="73" spans="1:22" x14ac:dyDescent="0.3">
      <c r="A73" s="183"/>
      <c r="B73" s="183"/>
      <c r="C73" s="283" t="s">
        <v>353</v>
      </c>
      <c r="D73" s="211"/>
      <c r="E73" s="181"/>
      <c r="F73" s="181" t="s">
        <v>332</v>
      </c>
      <c r="G73" s="183"/>
      <c r="H73" s="183"/>
      <c r="I73" s="183"/>
      <c r="J73" s="183"/>
      <c r="K73" s="183"/>
      <c r="L73" s="183"/>
      <c r="M73" s="183"/>
      <c r="N73" s="183"/>
      <c r="O73" s="183"/>
      <c r="P73" s="183"/>
      <c r="Q73" s="183"/>
      <c r="R73" s="183"/>
      <c r="S73" s="183"/>
      <c r="T73" s="183"/>
      <c r="U73" s="183"/>
      <c r="V73" s="55"/>
    </row>
    <row r="74" spans="1:22" x14ac:dyDescent="0.3">
      <c r="A74" s="183"/>
      <c r="B74" s="183"/>
      <c r="C74" s="423"/>
      <c r="D74" s="423"/>
      <c r="E74" s="182"/>
      <c r="F74" s="182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55"/>
    </row>
    <row r="75" spans="1:22" x14ac:dyDescent="0.3">
      <c r="A75" s="183"/>
      <c r="B75" s="183"/>
      <c r="C75" s="423"/>
      <c r="D75" s="423"/>
      <c r="E75" s="182"/>
      <c r="F75" s="182"/>
      <c r="G75" s="183"/>
      <c r="H75" s="183"/>
      <c r="I75" s="183"/>
      <c r="J75" s="183"/>
      <c r="K75" s="183"/>
      <c r="L75" s="183"/>
      <c r="M75" s="183"/>
      <c r="N75" s="183"/>
      <c r="O75" s="183"/>
      <c r="P75" s="183"/>
      <c r="Q75" s="183"/>
      <c r="R75" s="183"/>
      <c r="S75" s="183"/>
      <c r="T75" s="183"/>
      <c r="U75" s="183"/>
      <c r="V75" s="55"/>
    </row>
    <row r="76" spans="1:22" x14ac:dyDescent="0.3">
      <c r="A76" s="183"/>
      <c r="B76" s="183"/>
      <c r="C76" s="423"/>
      <c r="D76" s="423"/>
      <c r="E76" s="182"/>
      <c r="F76" s="182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55"/>
    </row>
    <row r="77" spans="1:22" x14ac:dyDescent="0.3">
      <c r="A77" s="183"/>
      <c r="B77" s="183"/>
      <c r="C77" s="229"/>
      <c r="D77" s="229"/>
      <c r="E77" s="182"/>
      <c r="F77" s="182"/>
      <c r="G77" s="183"/>
      <c r="H77" s="183"/>
      <c r="I77" s="183"/>
      <c r="J77" s="183"/>
      <c r="K77" s="183"/>
      <c r="L77" s="183"/>
      <c r="M77" s="183"/>
      <c r="N77" s="183"/>
      <c r="O77" s="183"/>
      <c r="P77" s="183"/>
      <c r="Q77" s="183"/>
      <c r="R77" s="183"/>
      <c r="S77" s="183"/>
      <c r="T77" s="183"/>
      <c r="U77" s="183"/>
      <c r="V77" s="55"/>
    </row>
    <row r="78" spans="1:22" ht="17.399999999999999" x14ac:dyDescent="0.3">
      <c r="A78" s="183"/>
      <c r="B78" s="183"/>
      <c r="C78" s="484" t="s">
        <v>302</v>
      </c>
      <c r="D78" s="484"/>
      <c r="E78" s="484"/>
      <c r="F78" s="484"/>
      <c r="G78" s="484"/>
      <c r="H78" s="484"/>
      <c r="I78" s="484"/>
      <c r="J78" s="484"/>
      <c r="K78" s="484"/>
      <c r="L78" s="484"/>
      <c r="M78" s="484"/>
      <c r="N78" s="484"/>
      <c r="O78" s="484"/>
      <c r="P78" s="484"/>
      <c r="Q78" s="484"/>
      <c r="R78" s="183"/>
      <c r="S78" s="183"/>
      <c r="T78" s="183"/>
      <c r="U78" s="183"/>
      <c r="V78" s="55"/>
    </row>
    <row r="79" spans="1:22" x14ac:dyDescent="0.3">
      <c r="A79" s="184" t="s">
        <v>335</v>
      </c>
      <c r="B79" s="55"/>
      <c r="C79" s="184"/>
      <c r="D79" s="184"/>
      <c r="E79" s="184"/>
      <c r="F79" s="184"/>
      <c r="G79" s="185"/>
      <c r="H79" s="185"/>
      <c r="I79" s="185"/>
      <c r="J79" s="185"/>
      <c r="K79" s="55"/>
      <c r="L79" s="216" t="s">
        <v>336</v>
      </c>
      <c r="M79" s="55"/>
      <c r="N79" s="185"/>
      <c r="O79" s="185"/>
      <c r="P79" s="185"/>
      <c r="Q79" s="55"/>
      <c r="R79" s="55"/>
      <c r="S79" s="55"/>
      <c r="T79" s="55"/>
      <c r="U79" s="55"/>
      <c r="V79" s="55"/>
    </row>
    <row r="80" spans="1:22" ht="15.6" x14ac:dyDescent="0.3">
      <c r="A80" s="55"/>
      <c r="B80" s="55"/>
      <c r="C80" s="184"/>
      <c r="D80" s="184"/>
      <c r="E80" s="184"/>
      <c r="F80" s="184"/>
      <c r="G80" s="186"/>
      <c r="H80" s="186"/>
      <c r="I80" s="186"/>
      <c r="J80" s="186"/>
      <c r="K80" s="55"/>
      <c r="L80" s="184" t="s">
        <v>306</v>
      </c>
      <c r="M80" s="55"/>
      <c r="N80" s="184"/>
      <c r="O80" s="184"/>
      <c r="P80" s="186"/>
      <c r="Q80" s="186"/>
      <c r="R80" s="55"/>
      <c r="S80" s="55"/>
      <c r="T80" s="55"/>
      <c r="U80" s="55"/>
      <c r="V80" s="55"/>
    </row>
    <row r="81" spans="1:22" ht="15.6" x14ac:dyDescent="0.3">
      <c r="A81" s="187" t="s">
        <v>307</v>
      </c>
      <c r="B81" s="55"/>
      <c r="C81" s="55"/>
      <c r="D81" s="55"/>
      <c r="E81" s="55"/>
      <c r="F81" s="55"/>
      <c r="G81" s="34"/>
      <c r="H81" s="34"/>
      <c r="I81" s="34"/>
      <c r="J81" s="34"/>
      <c r="K81" s="55"/>
      <c r="L81" s="485" t="s">
        <v>1930</v>
      </c>
      <c r="M81" s="485"/>
      <c r="N81" s="485"/>
      <c r="O81" s="485"/>
      <c r="P81" s="485"/>
      <c r="Q81" s="34"/>
      <c r="R81" s="55"/>
      <c r="S81" s="55"/>
      <c r="T81" s="55"/>
      <c r="U81" s="55"/>
      <c r="V81" s="55"/>
    </row>
    <row r="82" spans="1:22" x14ac:dyDescent="0.3">
      <c r="A82" s="55"/>
      <c r="B82" s="55"/>
      <c r="C82" s="486" t="s">
        <v>308</v>
      </c>
      <c r="D82" s="486"/>
      <c r="E82" s="486"/>
      <c r="F82" s="486"/>
      <c r="G82" s="486"/>
      <c r="H82" s="486"/>
      <c r="I82" s="486"/>
      <c r="J82" s="486"/>
      <c r="K82" s="486"/>
      <c r="L82" s="486"/>
      <c r="M82" s="486"/>
      <c r="N82" s="486"/>
      <c r="O82" s="486"/>
      <c r="P82" s="486"/>
      <c r="Q82" s="55"/>
      <c r="R82" s="55"/>
      <c r="S82" s="55"/>
      <c r="T82" s="55"/>
      <c r="U82" s="55"/>
      <c r="V82" s="55"/>
    </row>
    <row r="83" spans="1:22" x14ac:dyDescent="0.3">
      <c r="A83" s="472" t="s">
        <v>309</v>
      </c>
      <c r="B83" s="472" t="s">
        <v>310</v>
      </c>
      <c r="C83" s="472" t="s">
        <v>311</v>
      </c>
      <c r="D83" s="472" t="s">
        <v>312</v>
      </c>
      <c r="E83" s="472" t="s">
        <v>313</v>
      </c>
      <c r="F83" s="472" t="s">
        <v>314</v>
      </c>
      <c r="G83" s="473" t="s">
        <v>315</v>
      </c>
      <c r="H83" s="476" t="s">
        <v>316</v>
      </c>
      <c r="I83" s="477"/>
      <c r="J83" s="477"/>
      <c r="K83" s="478"/>
      <c r="L83" s="188" t="s">
        <v>317</v>
      </c>
      <c r="M83" s="188" t="s">
        <v>318</v>
      </c>
      <c r="N83" s="476" t="s">
        <v>316</v>
      </c>
      <c r="O83" s="477"/>
      <c r="P83" s="477"/>
      <c r="Q83" s="477"/>
      <c r="R83" s="477"/>
      <c r="S83" s="477"/>
      <c r="T83" s="477"/>
      <c r="U83" s="478"/>
      <c r="V83" s="55"/>
    </row>
    <row r="84" spans="1:22" x14ac:dyDescent="0.3">
      <c r="A84" s="472"/>
      <c r="B84" s="472"/>
      <c r="C84" s="472"/>
      <c r="D84" s="472"/>
      <c r="E84" s="472"/>
      <c r="F84" s="472"/>
      <c r="G84" s="493"/>
      <c r="H84" s="188" t="s">
        <v>319</v>
      </c>
      <c r="I84" s="188" t="s">
        <v>320</v>
      </c>
      <c r="J84" s="188" t="s">
        <v>321</v>
      </c>
      <c r="K84" s="188" t="s">
        <v>322</v>
      </c>
      <c r="L84" s="188"/>
      <c r="M84" s="188"/>
      <c r="N84" s="190" t="s">
        <v>28</v>
      </c>
      <c r="O84" s="190" t="s">
        <v>29</v>
      </c>
      <c r="P84" s="190" t="s">
        <v>30</v>
      </c>
      <c r="Q84" s="190" t="s">
        <v>31</v>
      </c>
      <c r="R84" s="190" t="s">
        <v>32</v>
      </c>
      <c r="S84" s="190" t="s">
        <v>33</v>
      </c>
      <c r="T84" s="190" t="s">
        <v>34</v>
      </c>
      <c r="U84" s="190" t="s">
        <v>35</v>
      </c>
      <c r="V84" s="55"/>
    </row>
    <row r="85" spans="1:22" ht="31.2" x14ac:dyDescent="0.3">
      <c r="A85" s="217">
        <v>1</v>
      </c>
      <c r="B85" s="217" t="str">
        <f>'[1]level one'!$C$141</f>
        <v>MGT1101H</v>
      </c>
      <c r="C85" s="218" t="str">
        <f>'[1]level one'!$C$142</f>
        <v>Principles of Management</v>
      </c>
      <c r="D85" s="217">
        <f>'[1]level one'!$C$143</f>
        <v>3</v>
      </c>
      <c r="E85" s="217" t="s">
        <v>32</v>
      </c>
      <c r="F85" s="276" t="s">
        <v>1931</v>
      </c>
      <c r="G85" s="238"/>
      <c r="H85" s="217">
        <f>'FBMS-HND LEVEL ONE'!$O$233</f>
        <v>53</v>
      </c>
      <c r="I85" s="220">
        <f>'FBMS-HND LEVEL ONE'!$O$234</f>
        <v>51</v>
      </c>
      <c r="J85" s="220">
        <f>'FBMS-HND LEVEL ONE'!$O$236</f>
        <v>46</v>
      </c>
      <c r="K85" s="220">
        <f>'FBMS-HND LEVEL ONE'!$O$238</f>
        <v>5</v>
      </c>
      <c r="L85" s="221">
        <f t="shared" ref="L85" si="15">J85/I85*100</f>
        <v>90.196078431372555</v>
      </c>
      <c r="M85" s="221">
        <f>K85/I85*100</f>
        <v>9.8039215686274517</v>
      </c>
      <c r="N85" s="220">
        <f>'FBMS-HND LEVEL ONE'!O244</f>
        <v>1</v>
      </c>
      <c r="O85" s="220">
        <f>'FBMS-HND LEVEL ONE'!P244</f>
        <v>7</v>
      </c>
      <c r="P85" s="217">
        <f>'FBMS-HND LEVEL ONE'!Q244</f>
        <v>19</v>
      </c>
      <c r="Q85" s="217">
        <f>'FBMS-HND LEVEL ONE'!R244</f>
        <v>7</v>
      </c>
      <c r="R85" s="217">
        <f>'FBMS-HND LEVEL ONE'!S244</f>
        <v>12</v>
      </c>
      <c r="S85" s="220">
        <f>'FBMS-HND LEVEL ONE'!T244</f>
        <v>2</v>
      </c>
      <c r="T85" s="220">
        <f>'FBMS-HND LEVEL ONE'!U244</f>
        <v>1</v>
      </c>
      <c r="U85" s="220">
        <f>'FBMS-HND LEVEL ONE'!V244</f>
        <v>2</v>
      </c>
      <c r="V85" s="55">
        <f t="shared" ref="V85:V91" si="16">SUM(N85:U85)</f>
        <v>51</v>
      </c>
    </row>
    <row r="86" spans="1:22" ht="30.75" customHeight="1" x14ac:dyDescent="0.3">
      <c r="A86" s="217">
        <v>2</v>
      </c>
      <c r="B86" s="155" t="str">
        <f>'[1]level two'!$C$239</f>
        <v>LAW 2101H</v>
      </c>
      <c r="C86" s="155" t="str">
        <f>'[1]level two'!$C$240</f>
        <v>Business / Company Law</v>
      </c>
      <c r="D86" s="217">
        <f>'[1]level two'!$C$241</f>
        <v>3</v>
      </c>
      <c r="E86" s="217" t="s">
        <v>32</v>
      </c>
      <c r="F86" s="155" t="str">
        <f>'[1]level two'!$C$242</f>
        <v>Mr. Ajong Jude</v>
      </c>
      <c r="G86" s="239"/>
      <c r="H86" s="155">
        <f>'FBMS-HND LEVEL TWO'!$O$496</f>
        <v>49</v>
      </c>
      <c r="I86" s="155">
        <f>'FBMS-HND LEVEL TWO'!$O$497</f>
        <v>48</v>
      </c>
      <c r="J86" s="155">
        <f>'FBMS-HND LEVEL TWO'!$O$499</f>
        <v>38</v>
      </c>
      <c r="K86" s="155">
        <f>'FBMS-HND LEVEL TWO'!$O$501</f>
        <v>10</v>
      </c>
      <c r="L86" s="221">
        <f t="shared" ref="L86:L90" si="17">J86/I86*100</f>
        <v>79.166666666666657</v>
      </c>
      <c r="M86" s="221">
        <f t="shared" ref="M86:M90" si="18">K86/I86*100</f>
        <v>20.833333333333336</v>
      </c>
      <c r="N86" s="220">
        <f>'FBMS-HND LEVEL TWO'!O508</f>
        <v>11</v>
      </c>
      <c r="O86" s="155">
        <f>'FBMS-HND LEVEL TWO'!P508</f>
        <v>9</v>
      </c>
      <c r="P86" s="155">
        <f>'FBMS-HND LEVEL TWO'!Q508</f>
        <v>10</v>
      </c>
      <c r="Q86" s="155">
        <f>'FBMS-HND LEVEL TWO'!R508</f>
        <v>5</v>
      </c>
      <c r="R86" s="155">
        <f>'FBMS-HND LEVEL TWO'!S508</f>
        <v>3</v>
      </c>
      <c r="S86" s="155">
        <f>'FBMS-HND LEVEL TWO'!T508</f>
        <v>4</v>
      </c>
      <c r="T86" s="155">
        <f>'FBMS-HND LEVEL TWO'!U508</f>
        <v>5</v>
      </c>
      <c r="U86" s="155">
        <f>'FBMS-HND LEVEL TWO'!V508</f>
        <v>1</v>
      </c>
      <c r="V86" s="55">
        <f t="shared" si="16"/>
        <v>48</v>
      </c>
    </row>
    <row r="87" spans="1:22" ht="31.2" x14ac:dyDescent="0.3">
      <c r="A87" s="217">
        <v>3</v>
      </c>
      <c r="B87" s="155" t="str">
        <f>'[1]level two'!$C$514</f>
        <v>MGT2104H</v>
      </c>
      <c r="C87" s="155" t="str">
        <f>'[1]level two'!$C$515</f>
        <v>Social Environment I &amp; II</v>
      </c>
      <c r="D87" s="217">
        <f>'[1]level two'!$C$516</f>
        <v>3</v>
      </c>
      <c r="E87" s="217" t="s">
        <v>32</v>
      </c>
      <c r="F87" s="155" t="str">
        <f>'[1]level two'!$C$517</f>
        <v xml:space="preserve">Mr Mohammadou </v>
      </c>
      <c r="G87" s="239"/>
      <c r="H87" s="155">
        <f>'FBMS-HND LEVEL TWO'!$O$1200</f>
        <v>10</v>
      </c>
      <c r="I87" s="155">
        <f>'FBMS-HND LEVEL TWO'!$O$1201</f>
        <v>9</v>
      </c>
      <c r="J87" s="155">
        <f>'FBMS-HND LEVEL TWO'!$O$1203</f>
        <v>9</v>
      </c>
      <c r="K87" s="155">
        <f>'FBMS-HND LEVEL TWO'!$O$1205</f>
        <v>0</v>
      </c>
      <c r="L87" s="221">
        <f t="shared" si="17"/>
        <v>100</v>
      </c>
      <c r="M87" s="221">
        <f t="shared" si="18"/>
        <v>0</v>
      </c>
      <c r="N87" s="220">
        <f>'FBMS-HND LEVEL TWO'!O1211</f>
        <v>6</v>
      </c>
      <c r="O87" s="155">
        <f>'FBMS-HND LEVEL TWO'!P1211</f>
        <v>3</v>
      </c>
      <c r="P87" s="155">
        <f>'FBMS-HND LEVEL TWO'!Q1211</f>
        <v>0</v>
      </c>
      <c r="Q87" s="155">
        <f>'FBMS-HND LEVEL TWO'!R1211</f>
        <v>0</v>
      </c>
      <c r="R87" s="155">
        <f>'FBMS-HND LEVEL TWO'!S1211</f>
        <v>0</v>
      </c>
      <c r="S87" s="155">
        <f>'FBMS-HND LEVEL TWO'!T1211</f>
        <v>0</v>
      </c>
      <c r="T87" s="155">
        <f>'FBMS-HND LEVEL TWO'!U1211</f>
        <v>0</v>
      </c>
      <c r="U87" s="155">
        <f>'FBMS-HND LEVEL TWO'!V1211</f>
        <v>0</v>
      </c>
      <c r="V87" s="55">
        <f t="shared" si="16"/>
        <v>9</v>
      </c>
    </row>
    <row r="88" spans="1:22" ht="31.2" x14ac:dyDescent="0.3">
      <c r="A88" s="222">
        <v>4</v>
      </c>
      <c r="B88" s="155" t="str">
        <f>'[1]level two'!$C$551</f>
        <v>MGT 2102H</v>
      </c>
      <c r="C88" s="155" t="str">
        <f>'[1]level two'!$C$552</f>
        <v>Organization and Management I</v>
      </c>
      <c r="D88" s="214">
        <f>'[1]level two'!$C$553</f>
        <v>3</v>
      </c>
      <c r="E88" s="214" t="s">
        <v>32</v>
      </c>
      <c r="F88" s="155" t="str">
        <f>'[1]level two'!$C$517</f>
        <v xml:space="preserve">Mr Mohammadou </v>
      </c>
      <c r="G88" s="279"/>
      <c r="H88" s="196">
        <f>'FBMS-HND LEVEL TWO'!$O$1166</f>
        <v>10</v>
      </c>
      <c r="I88" s="196">
        <f>'FBMS-HND LEVEL TWO'!$O$1167</f>
        <v>9</v>
      </c>
      <c r="J88" s="196">
        <f>'FBMS-HND LEVEL TWO'!$O$1169</f>
        <v>9</v>
      </c>
      <c r="K88" s="196">
        <f>'FBMS-HND LEVEL TWO'!$O$1171</f>
        <v>0</v>
      </c>
      <c r="L88" s="195">
        <f t="shared" si="17"/>
        <v>100</v>
      </c>
      <c r="M88" s="195">
        <f t="shared" si="18"/>
        <v>0</v>
      </c>
      <c r="N88" s="220">
        <f>'FBMS-HND LEVEL TWO'!O1177</f>
        <v>5</v>
      </c>
      <c r="O88" s="196">
        <f>'FBMS-HND LEVEL TWO'!P1177</f>
        <v>3</v>
      </c>
      <c r="P88" s="196">
        <f>'FBMS-HND LEVEL TWO'!Q1177</f>
        <v>1</v>
      </c>
      <c r="Q88" s="196">
        <f>'FBMS-HND LEVEL TWO'!R1177</f>
        <v>0</v>
      </c>
      <c r="R88" s="196">
        <f>'FBMS-HND LEVEL TWO'!S1177</f>
        <v>0</v>
      </c>
      <c r="S88" s="196">
        <f>'FBMS-HND LEVEL TWO'!T1177</f>
        <v>0</v>
      </c>
      <c r="T88" s="196">
        <f>'FBMS-HND LEVEL TWO'!U1177</f>
        <v>0</v>
      </c>
      <c r="U88" s="196">
        <f>'FBMS-HND LEVEL TWO'!V1177</f>
        <v>0</v>
      </c>
      <c r="V88" s="55">
        <f t="shared" si="16"/>
        <v>9</v>
      </c>
    </row>
    <row r="89" spans="1:22" ht="15.6" x14ac:dyDescent="0.3">
      <c r="A89" s="222">
        <v>5</v>
      </c>
      <c r="B89" s="155" t="str">
        <f>'[1]level two'!$C$582</f>
        <v>MGT 2103H</v>
      </c>
      <c r="C89" s="155" t="str">
        <f>'[1]level two'!$C$583</f>
        <v>Practice of HRM</v>
      </c>
      <c r="D89" s="214">
        <f>'[1]level two'!$C$584</f>
        <v>3</v>
      </c>
      <c r="E89" s="214" t="s">
        <v>32</v>
      </c>
      <c r="F89" s="155" t="str">
        <f>'[1]level two'!$C$585</f>
        <v>Mr. Neba Befrieden</v>
      </c>
      <c r="G89" s="279"/>
      <c r="H89" s="196">
        <f>'FBMS-HND LEVEL TWO'!$O$1232</f>
        <v>9</v>
      </c>
      <c r="I89" s="196">
        <f>'FBMS-HND LEVEL TWO'!$O$930</f>
        <v>9</v>
      </c>
      <c r="J89" s="196">
        <f>'FBMS-HND LEVEL TWO'!$O$932</f>
        <v>9</v>
      </c>
      <c r="K89" s="196">
        <f>'FBMS-HND LEVEL TWO'!$O$934</f>
        <v>0</v>
      </c>
      <c r="L89" s="195">
        <f t="shared" si="17"/>
        <v>100</v>
      </c>
      <c r="M89" s="195">
        <f t="shared" si="18"/>
        <v>0</v>
      </c>
      <c r="N89" s="220">
        <f>'FBMS-HND LEVEL TWO'!O1243</f>
        <v>0</v>
      </c>
      <c r="O89" s="196">
        <f>'FBMS-HND LEVEL TWO'!P1243</f>
        <v>3</v>
      </c>
      <c r="P89" s="196">
        <f>'FBMS-HND LEVEL TWO'!Q1243</f>
        <v>3</v>
      </c>
      <c r="Q89" s="196">
        <f>'FBMS-HND LEVEL TWO'!R1243</f>
        <v>1</v>
      </c>
      <c r="R89" s="196">
        <f>'FBMS-HND LEVEL TWO'!S1243</f>
        <v>2</v>
      </c>
      <c r="S89" s="196">
        <f>'FBMS-HND LEVEL TWO'!T1243</f>
        <v>0</v>
      </c>
      <c r="T89" s="196">
        <f>'FBMS-HND LEVEL TWO'!U1243</f>
        <v>0</v>
      </c>
      <c r="U89" s="196">
        <f>'FBMS-HND LEVEL TWO'!V1243</f>
        <v>0</v>
      </c>
      <c r="V89" s="55">
        <f t="shared" si="16"/>
        <v>9</v>
      </c>
    </row>
    <row r="90" spans="1:22" ht="15.6" x14ac:dyDescent="0.3">
      <c r="A90" s="222">
        <v>6</v>
      </c>
      <c r="B90" s="155" t="str">
        <f>'[1]level two'!$C$618</f>
        <v>MGT 2101H</v>
      </c>
      <c r="C90" s="224" t="str">
        <f>'[1]level two'!$C$619</f>
        <v>Human Relations II</v>
      </c>
      <c r="D90" s="214">
        <f>'[1]level two'!$C$620</f>
        <v>3</v>
      </c>
      <c r="E90" s="214" t="s">
        <v>32</v>
      </c>
      <c r="F90" s="235" t="str">
        <f>'[1]level two'!$C$621</f>
        <v>Mr. Neba Befrieden</v>
      </c>
      <c r="G90" s="279"/>
      <c r="H90" s="196">
        <f>'FBMS-HND LEVEL TWO'!$O$1268</f>
        <v>9</v>
      </c>
      <c r="I90" s="196">
        <f>'FBMS-HND LEVEL TWO'!$O$1269</f>
        <v>9</v>
      </c>
      <c r="J90" s="196">
        <f>'FBMS-HND LEVEL TWO'!$O$1271</f>
        <v>9</v>
      </c>
      <c r="K90" s="196">
        <f>'FBMS-HND LEVEL TWO'!$O$1273</f>
        <v>0</v>
      </c>
      <c r="L90" s="195">
        <f t="shared" si="17"/>
        <v>100</v>
      </c>
      <c r="M90" s="195">
        <f t="shared" si="18"/>
        <v>0</v>
      </c>
      <c r="N90" s="220">
        <f>'FBMS-HND LEVEL TWO'!O1279</f>
        <v>1</v>
      </c>
      <c r="O90" s="196">
        <f>'FBMS-HND LEVEL TWO'!P1279</f>
        <v>2</v>
      </c>
      <c r="P90" s="196">
        <f>'FBMS-HND LEVEL TWO'!Q1279</f>
        <v>5</v>
      </c>
      <c r="Q90" s="196">
        <f>'FBMS-HND LEVEL TWO'!R1279</f>
        <v>0</v>
      </c>
      <c r="R90" s="225">
        <f>'FBMS-HND LEVEL TWO'!S1279</f>
        <v>1</v>
      </c>
      <c r="S90" s="196">
        <f>'FBMS-HND LEVEL TWO'!T1279</f>
        <v>0</v>
      </c>
      <c r="T90" s="196">
        <f>'FBMS-HND LEVEL TWO'!U1279</f>
        <v>0</v>
      </c>
      <c r="U90" s="196">
        <f>'FBMS-HND LEVEL TWO'!V1279</f>
        <v>0</v>
      </c>
      <c r="V90" s="55">
        <f t="shared" si="16"/>
        <v>9</v>
      </c>
    </row>
    <row r="91" spans="1:22" ht="15.6" x14ac:dyDescent="0.3">
      <c r="A91" s="199"/>
      <c r="B91" s="199"/>
      <c r="C91" s="487" t="s">
        <v>323</v>
      </c>
      <c r="D91" s="488"/>
      <c r="E91" s="488"/>
      <c r="F91" s="489"/>
      <c r="G91" s="237"/>
      <c r="H91" s="200">
        <f>SUM(H85:H90)</f>
        <v>140</v>
      </c>
      <c r="I91" s="200">
        <f>SUM(I85:I90)</f>
        <v>135</v>
      </c>
      <c r="J91" s="200">
        <f>SUM(J85:J90)</f>
        <v>120</v>
      </c>
      <c r="K91" s="200">
        <f>SUM(K85:K90)</f>
        <v>15</v>
      </c>
      <c r="L91" s="201">
        <f>J91/I91*100</f>
        <v>88.888888888888886</v>
      </c>
      <c r="M91" s="201">
        <f>K91/I91*100</f>
        <v>11.111111111111111</v>
      </c>
      <c r="N91" s="226">
        <f t="shared" ref="N91:U91" si="19">SUM(N85:N90)</f>
        <v>24</v>
      </c>
      <c r="O91" s="200">
        <f t="shared" si="19"/>
        <v>27</v>
      </c>
      <c r="P91" s="200">
        <f t="shared" si="19"/>
        <v>38</v>
      </c>
      <c r="Q91" s="200">
        <f t="shared" si="19"/>
        <v>13</v>
      </c>
      <c r="R91" s="200">
        <f t="shared" si="19"/>
        <v>18</v>
      </c>
      <c r="S91" s="200">
        <f t="shared" si="19"/>
        <v>6</v>
      </c>
      <c r="T91" s="200">
        <f t="shared" si="19"/>
        <v>6</v>
      </c>
      <c r="U91" s="200">
        <f t="shared" si="19"/>
        <v>3</v>
      </c>
      <c r="V91" s="55">
        <f t="shared" si="16"/>
        <v>135</v>
      </c>
    </row>
    <row r="92" spans="1:22" x14ac:dyDescent="0.3">
      <c r="A92" s="183"/>
      <c r="B92" s="490" t="s">
        <v>324</v>
      </c>
      <c r="C92" s="490"/>
      <c r="D92" s="490"/>
      <c r="E92" s="490"/>
      <c r="F92" s="490"/>
      <c r="G92" s="490"/>
      <c r="H92" s="490"/>
      <c r="I92" s="490"/>
      <c r="J92" s="490"/>
      <c r="K92" s="490"/>
      <c r="L92" s="490"/>
      <c r="M92" s="490"/>
      <c r="N92" s="490"/>
      <c r="O92" s="490"/>
      <c r="P92" s="490"/>
      <c r="Q92" s="490"/>
      <c r="R92" s="490"/>
      <c r="S92" s="490"/>
      <c r="T92" s="490"/>
      <c r="U92" s="55"/>
      <c r="V92" s="55"/>
    </row>
    <row r="93" spans="1:22" x14ac:dyDescent="0.3">
      <c r="A93" s="183"/>
      <c r="B93" s="202"/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02"/>
      <c r="P93" s="202"/>
      <c r="Q93" s="202"/>
      <c r="R93" s="202"/>
      <c r="S93" s="202"/>
      <c r="T93" s="202"/>
      <c r="U93" s="55"/>
      <c r="V93" s="55"/>
    </row>
    <row r="94" spans="1:22" x14ac:dyDescent="0.3">
      <c r="A94" s="183"/>
      <c r="B94" s="203" t="s">
        <v>325</v>
      </c>
      <c r="C94" s="204">
        <f>'FBMS-HND LEVEL TWO'!$O$853</f>
        <v>0</v>
      </c>
      <c r="D94" s="491">
        <f t="shared" ref="D94" si="20">$I$91</f>
        <v>135</v>
      </c>
      <c r="E94" s="491"/>
      <c r="F94" s="205"/>
      <c r="G94" s="205"/>
      <c r="H94" s="205"/>
      <c r="I94" s="483" t="s">
        <v>326</v>
      </c>
      <c r="J94" s="483"/>
      <c r="K94" s="483"/>
      <c r="L94" s="483"/>
      <c r="M94" s="483"/>
      <c r="N94" s="494">
        <f t="shared" ref="N94" si="21">$K$91</f>
        <v>15</v>
      </c>
      <c r="O94" s="494"/>
      <c r="P94" s="183"/>
      <c r="Q94" s="183"/>
      <c r="R94" s="183"/>
      <c r="S94" s="183"/>
      <c r="T94" s="183"/>
      <c r="U94" s="55"/>
      <c r="V94" s="55"/>
    </row>
    <row r="95" spans="1:22" x14ac:dyDescent="0.3">
      <c r="A95" s="183"/>
      <c r="B95" s="483" t="s">
        <v>327</v>
      </c>
      <c r="C95" s="483"/>
      <c r="D95" s="495">
        <f t="shared" ref="D95" si="22">$J$91</f>
        <v>120</v>
      </c>
      <c r="E95" s="495"/>
      <c r="F95" s="206"/>
      <c r="G95" s="206"/>
      <c r="H95" s="206"/>
      <c r="N95" s="492"/>
      <c r="O95" s="492"/>
      <c r="P95" s="183"/>
      <c r="Q95" s="183"/>
      <c r="R95" s="183"/>
      <c r="S95" s="183"/>
      <c r="T95" s="183"/>
      <c r="U95" s="55"/>
      <c r="V95" s="55"/>
    </row>
    <row r="96" spans="1:22" x14ac:dyDescent="0.3">
      <c r="A96" s="183"/>
      <c r="B96" s="206"/>
      <c r="C96" s="206"/>
      <c r="D96" s="206"/>
      <c r="E96" s="206"/>
      <c r="F96" s="206"/>
      <c r="G96" s="206"/>
      <c r="H96" s="206"/>
      <c r="I96" s="491" t="s">
        <v>328</v>
      </c>
      <c r="J96" s="491"/>
      <c r="K96" s="491"/>
      <c r="L96" s="491"/>
      <c r="M96" s="209">
        <f>$L$91</f>
        <v>88.888888888888886</v>
      </c>
      <c r="N96" s="206"/>
      <c r="O96" s="206"/>
      <c r="P96" s="183"/>
      <c r="Q96" s="183"/>
      <c r="R96" s="183"/>
      <c r="S96" s="183"/>
      <c r="T96" s="183"/>
      <c r="U96" s="55"/>
      <c r="V96" s="55"/>
    </row>
    <row r="97" spans="1:22" x14ac:dyDescent="0.3">
      <c r="A97" s="203" t="s">
        <v>329</v>
      </c>
      <c r="B97" s="206"/>
      <c r="C97" s="206"/>
      <c r="D97" s="206"/>
      <c r="E97" s="206"/>
      <c r="F97" s="206"/>
      <c r="G97" s="206"/>
      <c r="H97" s="206"/>
      <c r="I97" s="206"/>
      <c r="J97" s="206"/>
      <c r="K97" s="206"/>
      <c r="L97" s="206"/>
      <c r="M97" s="206"/>
      <c r="N97" s="206"/>
      <c r="O97" s="206"/>
      <c r="P97" s="183"/>
      <c r="Q97" s="183"/>
      <c r="R97" s="183"/>
      <c r="S97" s="183"/>
      <c r="T97" s="183"/>
      <c r="U97" s="55"/>
      <c r="V97" s="55"/>
    </row>
    <row r="98" spans="1:22" x14ac:dyDescent="0.3">
      <c r="A98" s="55"/>
      <c r="B98" s="55"/>
      <c r="C98" s="496" t="str">
        <f t="shared" ref="C98" si="23">$F$85</f>
        <v>Mr. Neba Befrieden</v>
      </c>
      <c r="D98" s="496"/>
      <c r="E98" s="213"/>
      <c r="F98" s="278" t="str">
        <f>$F$86</f>
        <v>Mr. Ajong Jude</v>
      </c>
      <c r="G98" s="183"/>
      <c r="H98" s="212" t="str">
        <f>$F$89</f>
        <v>Mr. Neba Befrieden</v>
      </c>
      <c r="I98" s="212"/>
      <c r="J98" s="212"/>
      <c r="K98" s="212"/>
      <c r="L98" s="212"/>
      <c r="M98" s="183"/>
      <c r="N98" s="278" t="str">
        <f>$F$87</f>
        <v xml:space="preserve">Mr Mohammadou </v>
      </c>
      <c r="O98" s="278"/>
      <c r="P98" s="278"/>
      <c r="Q98" s="278"/>
      <c r="R98" s="278"/>
      <c r="S98" s="183"/>
      <c r="T98" s="183"/>
      <c r="U98" s="183"/>
      <c r="V98" s="55"/>
    </row>
    <row r="99" spans="1:22" x14ac:dyDescent="0.3">
      <c r="A99" s="55"/>
      <c r="B99" s="55"/>
      <c r="C99" s="283"/>
      <c r="D99" s="283"/>
      <c r="E99" s="213"/>
      <c r="F99" s="183"/>
      <c r="G99" s="183"/>
      <c r="H99" s="183"/>
      <c r="I99" s="183"/>
      <c r="J99" s="183"/>
      <c r="K99" s="183"/>
      <c r="L99" s="183"/>
      <c r="M99" s="183"/>
      <c r="N99" s="183"/>
      <c r="O99" s="183"/>
      <c r="P99" s="183"/>
      <c r="Q99" s="183"/>
      <c r="R99" s="183"/>
      <c r="S99" s="183"/>
      <c r="T99" s="183"/>
      <c r="U99" s="183"/>
      <c r="V99" s="55"/>
    </row>
    <row r="100" spans="1:22" x14ac:dyDescent="0.3">
      <c r="A100" s="55"/>
      <c r="B100" s="55"/>
      <c r="C100" s="283"/>
      <c r="D100" s="283"/>
      <c r="E100" s="213"/>
      <c r="F100" s="183"/>
      <c r="G100" s="183"/>
      <c r="H100" s="183"/>
      <c r="I100" s="183"/>
      <c r="J100" s="183"/>
      <c r="K100" s="183"/>
      <c r="L100" s="183"/>
      <c r="M100" s="183"/>
      <c r="N100" s="183"/>
      <c r="O100" s="183"/>
      <c r="P100" s="183"/>
      <c r="Q100" s="183"/>
      <c r="R100" s="183"/>
      <c r="S100" s="183"/>
      <c r="T100" s="183"/>
      <c r="U100" s="183"/>
      <c r="V100" s="55"/>
    </row>
    <row r="101" spans="1:22" x14ac:dyDescent="0.3">
      <c r="A101" s="55"/>
      <c r="B101" s="55"/>
      <c r="C101" s="211"/>
      <c r="D101" s="211"/>
      <c r="E101" s="213"/>
      <c r="F101" s="183"/>
      <c r="G101" s="183"/>
      <c r="H101" s="183"/>
      <c r="I101" s="183"/>
      <c r="J101" s="183"/>
      <c r="K101" s="55"/>
      <c r="L101" s="55"/>
      <c r="M101" s="55"/>
      <c r="N101" s="55"/>
      <c r="O101" s="55"/>
      <c r="P101" s="183"/>
      <c r="Q101" s="183"/>
      <c r="R101" s="183"/>
      <c r="S101" s="183"/>
      <c r="T101" s="183"/>
      <c r="U101" s="183"/>
      <c r="V101" s="55"/>
    </row>
    <row r="102" spans="1:22" x14ac:dyDescent="0.3">
      <c r="A102" s="55"/>
      <c r="B102" s="55"/>
      <c r="C102" s="282" t="s">
        <v>352</v>
      </c>
      <c r="D102" s="211"/>
      <c r="E102" s="213"/>
      <c r="F102" s="230" t="s">
        <v>337</v>
      </c>
      <c r="G102" s="231"/>
      <c r="H102" s="231"/>
      <c r="I102" s="183"/>
      <c r="M102" s="183"/>
      <c r="N102" s="55"/>
      <c r="O102" s="55"/>
      <c r="P102" s="55"/>
      <c r="Q102" s="55"/>
      <c r="R102" s="55"/>
      <c r="S102" s="183"/>
      <c r="T102" s="183"/>
      <c r="U102" s="183"/>
      <c r="V102" s="55"/>
    </row>
    <row r="103" spans="1:22" x14ac:dyDescent="0.3">
      <c r="A103" s="55"/>
      <c r="B103" s="55"/>
      <c r="C103" s="283" t="s">
        <v>353</v>
      </c>
      <c r="D103" s="211"/>
      <c r="E103" s="213"/>
      <c r="F103" s="232" t="s">
        <v>338</v>
      </c>
      <c r="G103" s="232"/>
      <c r="H103" s="231"/>
      <c r="I103" s="183"/>
      <c r="M103" s="183"/>
      <c r="N103" s="55"/>
      <c r="O103" s="55"/>
      <c r="P103" s="55"/>
      <c r="Q103" s="55"/>
      <c r="R103" s="55"/>
      <c r="S103" s="183"/>
      <c r="T103" s="183"/>
      <c r="U103" s="183"/>
      <c r="V103" s="55"/>
    </row>
    <row r="111" spans="1:22" ht="17.399999999999999" x14ac:dyDescent="0.3">
      <c r="A111" s="183"/>
      <c r="B111" s="183"/>
      <c r="C111" s="484" t="s">
        <v>302</v>
      </c>
      <c r="D111" s="484"/>
      <c r="E111" s="484"/>
      <c r="F111" s="484"/>
      <c r="G111" s="484"/>
      <c r="H111" s="484"/>
      <c r="I111" s="484"/>
      <c r="J111" s="484"/>
      <c r="K111" s="484"/>
      <c r="L111" s="484"/>
      <c r="M111" s="484"/>
      <c r="N111" s="484"/>
      <c r="O111" s="484"/>
      <c r="P111" s="484"/>
      <c r="Q111" s="183"/>
      <c r="R111" s="183"/>
      <c r="S111" s="183"/>
      <c r="T111" s="183"/>
      <c r="U111" s="183"/>
      <c r="V111" s="55"/>
    </row>
    <row r="112" spans="1:22" x14ac:dyDescent="0.3">
      <c r="A112" s="184" t="s">
        <v>303</v>
      </c>
      <c r="B112" s="55"/>
      <c r="C112" s="184" t="s">
        <v>304</v>
      </c>
      <c r="D112" s="184"/>
      <c r="E112" s="184"/>
      <c r="F112" s="184"/>
      <c r="G112" s="185"/>
      <c r="H112" s="185"/>
      <c r="I112" s="185"/>
      <c r="J112" s="185"/>
      <c r="K112" s="55"/>
      <c r="L112" s="185" t="s">
        <v>339</v>
      </c>
      <c r="M112" s="55"/>
      <c r="N112" s="185"/>
      <c r="O112" s="185"/>
      <c r="P112" s="185"/>
      <c r="Q112" s="55"/>
      <c r="R112" s="55"/>
      <c r="S112" s="55"/>
      <c r="T112" s="55"/>
      <c r="U112" s="55"/>
      <c r="V112" s="55"/>
    </row>
    <row r="113" spans="1:22" ht="15.6" x14ac:dyDescent="0.3">
      <c r="A113" s="55"/>
      <c r="B113" s="55"/>
      <c r="C113" s="184"/>
      <c r="D113" s="184"/>
      <c r="E113" s="184"/>
      <c r="F113" s="184"/>
      <c r="G113" s="186"/>
      <c r="H113" s="186"/>
      <c r="I113" s="186"/>
      <c r="J113" s="186"/>
      <c r="K113" s="55"/>
      <c r="L113" s="184" t="s">
        <v>306</v>
      </c>
      <c r="M113" s="55"/>
      <c r="N113" s="184"/>
      <c r="O113" s="184"/>
      <c r="P113" s="186"/>
      <c r="Q113" s="186"/>
      <c r="R113" s="55"/>
      <c r="S113" s="55"/>
      <c r="T113" s="55"/>
      <c r="U113" s="55"/>
      <c r="V113" s="55"/>
    </row>
    <row r="114" spans="1:22" ht="15.6" x14ac:dyDescent="0.3">
      <c r="A114" s="187" t="s">
        <v>307</v>
      </c>
      <c r="B114" s="55"/>
      <c r="C114" s="55"/>
      <c r="D114" s="55"/>
      <c r="E114" s="55"/>
      <c r="F114" s="55"/>
      <c r="G114" s="34"/>
      <c r="H114" s="34"/>
      <c r="I114" s="34"/>
      <c r="J114" s="34"/>
      <c r="K114" s="55"/>
      <c r="L114" s="485" t="s">
        <v>1930</v>
      </c>
      <c r="M114" s="485"/>
      <c r="N114" s="485"/>
      <c r="O114" s="485"/>
      <c r="P114" s="485"/>
      <c r="Q114" s="34"/>
      <c r="R114" s="55"/>
      <c r="S114" s="55"/>
      <c r="T114" s="55"/>
      <c r="U114" s="55"/>
      <c r="V114" s="55"/>
    </row>
    <row r="115" spans="1:22" x14ac:dyDescent="0.3">
      <c r="A115" s="55"/>
      <c r="B115" s="55"/>
      <c r="C115" s="486" t="s">
        <v>308</v>
      </c>
      <c r="D115" s="486"/>
      <c r="E115" s="486"/>
      <c r="F115" s="486"/>
      <c r="G115" s="486"/>
      <c r="H115" s="486"/>
      <c r="I115" s="486"/>
      <c r="J115" s="486"/>
      <c r="K115" s="486"/>
      <c r="L115" s="486"/>
      <c r="M115" s="486"/>
      <c r="N115" s="486"/>
      <c r="O115" s="486"/>
      <c r="P115" s="486"/>
      <c r="Q115" s="55"/>
      <c r="R115" s="55"/>
      <c r="S115" s="55"/>
      <c r="T115" s="55"/>
      <c r="U115" s="55"/>
      <c r="V115" s="55"/>
    </row>
    <row r="116" spans="1:22" x14ac:dyDescent="0.3">
      <c r="A116" s="472" t="s">
        <v>309</v>
      </c>
      <c r="B116" s="472" t="s">
        <v>310</v>
      </c>
      <c r="C116" s="472" t="s">
        <v>311</v>
      </c>
      <c r="D116" s="472" t="s">
        <v>312</v>
      </c>
      <c r="E116" s="472" t="s">
        <v>313</v>
      </c>
      <c r="F116" s="472" t="s">
        <v>314</v>
      </c>
      <c r="G116" s="473" t="s">
        <v>315</v>
      </c>
      <c r="H116" s="476" t="s">
        <v>316</v>
      </c>
      <c r="I116" s="477"/>
      <c r="J116" s="477"/>
      <c r="K116" s="478"/>
      <c r="L116" s="479" t="s">
        <v>317</v>
      </c>
      <c r="M116" s="479" t="s">
        <v>318</v>
      </c>
      <c r="N116" s="476" t="s">
        <v>316</v>
      </c>
      <c r="O116" s="477"/>
      <c r="P116" s="477"/>
      <c r="Q116" s="477"/>
      <c r="R116" s="477"/>
      <c r="S116" s="477"/>
      <c r="T116" s="477"/>
      <c r="U116" s="478"/>
      <c r="V116" s="55"/>
    </row>
    <row r="117" spans="1:22" x14ac:dyDescent="0.3">
      <c r="A117" s="472"/>
      <c r="B117" s="472"/>
      <c r="C117" s="472"/>
      <c r="D117" s="472"/>
      <c r="E117" s="472"/>
      <c r="F117" s="472"/>
      <c r="G117" s="474"/>
      <c r="H117" s="188" t="s">
        <v>319</v>
      </c>
      <c r="I117" s="188" t="s">
        <v>320</v>
      </c>
      <c r="J117" s="188" t="s">
        <v>321</v>
      </c>
      <c r="K117" s="188" t="s">
        <v>322</v>
      </c>
      <c r="L117" s="480"/>
      <c r="M117" s="480"/>
      <c r="N117" s="190" t="s">
        <v>28</v>
      </c>
      <c r="O117" s="190" t="s">
        <v>29</v>
      </c>
      <c r="P117" s="190" t="s">
        <v>30</v>
      </c>
      <c r="Q117" s="190" t="s">
        <v>31</v>
      </c>
      <c r="R117" s="190" t="s">
        <v>32</v>
      </c>
      <c r="S117" s="190" t="s">
        <v>33</v>
      </c>
      <c r="T117" s="190" t="s">
        <v>34</v>
      </c>
      <c r="U117" s="190" t="s">
        <v>35</v>
      </c>
      <c r="V117" s="55"/>
    </row>
    <row r="118" spans="1:22" ht="31.2" x14ac:dyDescent="0.3">
      <c r="A118" s="191">
        <v>1</v>
      </c>
      <c r="B118" s="155" t="str">
        <f>'[1]level one'!$C$193</f>
        <v>MKT1101H</v>
      </c>
      <c r="C118" s="155" t="str">
        <f>'[1]level one'!$C$194</f>
        <v>Principles of Marketing</v>
      </c>
      <c r="D118" s="193">
        <f>'[1]level one'!$C$195</f>
        <v>3</v>
      </c>
      <c r="E118" s="193" t="s">
        <v>32</v>
      </c>
      <c r="F118" s="198" t="s">
        <v>413</v>
      </c>
      <c r="G118" s="233"/>
      <c r="H118" s="155">
        <f>'FBMS-HND LEVEL ONE'!$O$304</f>
        <v>54</v>
      </c>
      <c r="I118" s="155">
        <f>'FBMS-HND LEVEL ONE'!$O$305</f>
        <v>54</v>
      </c>
      <c r="J118" s="155">
        <f>'FBMS-HND LEVEL ONE'!$O$307</f>
        <v>26</v>
      </c>
      <c r="K118" s="155">
        <f>'FBMS-HND LEVEL ONE'!$O$309</f>
        <v>28</v>
      </c>
      <c r="L118" s="195">
        <f t="shared" ref="L118:L123" si="24">J118/I118*100</f>
        <v>48.148148148148145</v>
      </c>
      <c r="M118" s="195">
        <f>K118/I118*100</f>
        <v>51.851851851851848</v>
      </c>
      <c r="N118" s="196">
        <f>'FBMS-HND LEVEL ONE'!O314</f>
        <v>0</v>
      </c>
      <c r="O118" s="196">
        <f>'FBMS-HND LEVEL ONE'!P314</f>
        <v>3</v>
      </c>
      <c r="P118" s="196">
        <f>'FBMS-HND LEVEL ONE'!Q314</f>
        <v>3</v>
      </c>
      <c r="Q118" s="196">
        <f>'FBMS-HND LEVEL ONE'!R314</f>
        <v>7</v>
      </c>
      <c r="R118" s="196">
        <f>'FBMS-HND LEVEL ONE'!S314</f>
        <v>13</v>
      </c>
      <c r="S118" s="196">
        <f>'FBMS-HND LEVEL ONE'!T314</f>
        <v>5</v>
      </c>
      <c r="T118" s="196">
        <f>'FBMS-HND LEVEL ONE'!U314</f>
        <v>8</v>
      </c>
      <c r="U118" s="196">
        <f>'FBMS-HND LEVEL ONE'!V314</f>
        <v>15</v>
      </c>
      <c r="V118" s="55">
        <f>SUM(N118:U118)</f>
        <v>54</v>
      </c>
    </row>
    <row r="119" spans="1:22" ht="31.2" x14ac:dyDescent="0.3">
      <c r="A119" s="191">
        <v>2</v>
      </c>
      <c r="B119" s="155" t="s">
        <v>191</v>
      </c>
      <c r="C119" s="224" t="s">
        <v>192</v>
      </c>
      <c r="D119" s="193">
        <v>3</v>
      </c>
      <c r="E119" s="193" t="s">
        <v>32</v>
      </c>
      <c r="F119" s="198" t="s">
        <v>413</v>
      </c>
      <c r="G119" s="233"/>
      <c r="H119" s="155">
        <f>'FBMS-HND LEVEL TWO'!$O$1063</f>
        <v>10</v>
      </c>
      <c r="I119" s="155">
        <f>'FBMS-HND LEVEL TWO'!$O$1064</f>
        <v>10</v>
      </c>
      <c r="J119" s="155">
        <f>'FBMS-HND LEVEL TWO'!$O$1066</f>
        <v>9</v>
      </c>
      <c r="K119" s="155">
        <f>'FBMS-HND LEVEL TWO'!$O$1068</f>
        <v>1</v>
      </c>
      <c r="L119" s="195">
        <f>J119/I119*100</f>
        <v>90</v>
      </c>
      <c r="M119" s="195">
        <f>K119/I119*100</f>
        <v>10</v>
      </c>
      <c r="N119" s="196">
        <f>'FBMS-HND LEVEL TWO'!O1074</f>
        <v>0</v>
      </c>
      <c r="O119" s="196">
        <f>'FBMS-HND LEVEL TWO'!P1074</f>
        <v>1</v>
      </c>
      <c r="P119" s="196">
        <f>'FBMS-HND LEVEL TWO'!Q1074</f>
        <v>4</v>
      </c>
      <c r="Q119" s="196">
        <f>'FBMS-HND LEVEL TWO'!R1074</f>
        <v>0</v>
      </c>
      <c r="R119" s="196">
        <f>'FBMS-HND LEVEL TWO'!S1074</f>
        <v>4</v>
      </c>
      <c r="S119" s="196">
        <f>'FBMS-HND LEVEL TWO'!T1074</f>
        <v>0</v>
      </c>
      <c r="T119" s="196">
        <f>'FBMS-HND LEVEL TWO'!U1074</f>
        <v>0</v>
      </c>
      <c r="U119" s="196">
        <f>'FBMS-HND LEVEL TWO'!V1074</f>
        <v>1</v>
      </c>
      <c r="V119" s="55">
        <f t="shared" ref="V119:V123" si="25">SUM(N119:U119)</f>
        <v>10</v>
      </c>
    </row>
    <row r="120" spans="1:22" ht="34.5" customHeight="1" x14ac:dyDescent="0.3">
      <c r="A120" s="191">
        <v>3</v>
      </c>
      <c r="B120" s="4" t="s">
        <v>189</v>
      </c>
      <c r="C120" s="281" t="s">
        <v>190</v>
      </c>
      <c r="D120" s="193">
        <v>3</v>
      </c>
      <c r="E120" s="193" t="s">
        <v>32</v>
      </c>
      <c r="F120" s="274" t="s">
        <v>1932</v>
      </c>
      <c r="G120" s="233"/>
      <c r="H120" s="155">
        <f>'FBMS-HND LEVEL TWO'!$O$1028</f>
        <v>10</v>
      </c>
      <c r="I120" s="155">
        <f>'FBMS-HND LEVEL TWO'!$O$1029</f>
        <v>10</v>
      </c>
      <c r="J120" s="155">
        <f>'FBMS-HND LEVEL TWO'!$O$1031</f>
        <v>9</v>
      </c>
      <c r="K120" s="155">
        <f>'FBMS-HND LEVEL TWO'!$O$1033</f>
        <v>1</v>
      </c>
      <c r="L120" s="195">
        <f>J120/I120*100</f>
        <v>90</v>
      </c>
      <c r="M120" s="195">
        <f>K120/I120*100</f>
        <v>10</v>
      </c>
      <c r="N120" s="196">
        <f>'FBMS-HND LEVEL TWO'!O1040</f>
        <v>3</v>
      </c>
      <c r="O120" s="196">
        <f>'FBMS-HND LEVEL TWO'!P1040</f>
        <v>1</v>
      </c>
      <c r="P120" s="196">
        <f>'FBMS-HND LEVEL TWO'!Q1040</f>
        <v>5</v>
      </c>
      <c r="Q120" s="196">
        <f>'FBMS-HND LEVEL TWO'!R1040</f>
        <v>0</v>
      </c>
      <c r="R120" s="196">
        <f>'FBMS-HND LEVEL TWO'!S1040</f>
        <v>0</v>
      </c>
      <c r="S120" s="196">
        <f>'FBMS-HND LEVEL TWO'!T1040</f>
        <v>0</v>
      </c>
      <c r="T120" s="196">
        <f>'FBMS-HND LEVEL TWO'!U1040</f>
        <v>0</v>
      </c>
      <c r="U120" s="196">
        <f>'FBMS-HND LEVEL TWO'!V1040</f>
        <v>1</v>
      </c>
      <c r="V120" s="55">
        <f t="shared" si="25"/>
        <v>10</v>
      </c>
    </row>
    <row r="121" spans="1:22" ht="31.2" x14ac:dyDescent="0.3">
      <c r="A121" s="191">
        <v>4</v>
      </c>
      <c r="B121" s="155" t="s">
        <v>222</v>
      </c>
      <c r="C121" s="224" t="s">
        <v>346</v>
      </c>
      <c r="D121" s="193">
        <v>3</v>
      </c>
      <c r="E121" s="193" t="s">
        <v>32</v>
      </c>
      <c r="F121" s="274" t="s">
        <v>1932</v>
      </c>
      <c r="G121" s="233"/>
      <c r="H121" s="155">
        <f>'FBMS-HND LEVEL TWO'!$O$1130</f>
        <v>10</v>
      </c>
      <c r="I121" s="155">
        <f>'FBMS-HND LEVEL TWO'!$O$1131</f>
        <v>10</v>
      </c>
      <c r="J121" s="155">
        <f>'FBMS-HND LEVEL TWO'!$O$1133</f>
        <v>9</v>
      </c>
      <c r="K121" s="155">
        <f>'FBMS-HND LEVEL TWO'!$O$1135</f>
        <v>1</v>
      </c>
      <c r="L121" s="195">
        <f>J121/I121*100</f>
        <v>90</v>
      </c>
      <c r="M121" s="195">
        <f>K121/I121*100</f>
        <v>10</v>
      </c>
      <c r="N121" s="196">
        <f>'FBMS-HND LEVEL TWO'!O1141</f>
        <v>0</v>
      </c>
      <c r="O121" s="196">
        <f>'FBMS-HND LEVEL TWO'!P1141</f>
        <v>2</v>
      </c>
      <c r="P121" s="196">
        <f>'FBMS-HND LEVEL TWO'!Q1141</f>
        <v>4</v>
      </c>
      <c r="Q121" s="196">
        <f>'FBMS-HND LEVEL TWO'!R1141</f>
        <v>2</v>
      </c>
      <c r="R121" s="196">
        <f>'FBMS-HND LEVEL TWO'!S1141</f>
        <v>1</v>
      </c>
      <c r="S121" s="196">
        <f>'FBMS-HND LEVEL TWO'!T1141</f>
        <v>1</v>
      </c>
      <c r="T121" s="196">
        <f>'FBMS-HND LEVEL TWO'!U1141</f>
        <v>0</v>
      </c>
      <c r="U121" s="196">
        <f>'FBMS-HND LEVEL TWO'!V1141</f>
        <v>0</v>
      </c>
      <c r="V121" s="55">
        <f t="shared" si="25"/>
        <v>10</v>
      </c>
    </row>
    <row r="122" spans="1:22" ht="27.6" x14ac:dyDescent="0.3">
      <c r="A122" s="191">
        <v>5</v>
      </c>
      <c r="B122" s="4" t="s">
        <v>187</v>
      </c>
      <c r="C122" s="37" t="s">
        <v>188</v>
      </c>
      <c r="D122" s="277">
        <v>3</v>
      </c>
      <c r="E122" s="193" t="s">
        <v>32</v>
      </c>
      <c r="F122" s="198" t="s">
        <v>413</v>
      </c>
      <c r="G122" s="233"/>
      <c r="H122" s="155">
        <f>'FBMS-HND LEVEL TWO'!$O$996</f>
        <v>10</v>
      </c>
      <c r="I122" s="155">
        <f>'FBMS-HND LEVEL TWO'!$O$997</f>
        <v>10</v>
      </c>
      <c r="J122" s="155">
        <f>'FBMS-HND LEVEL TWO'!$O$999</f>
        <v>9</v>
      </c>
      <c r="K122" s="155">
        <f>'FBMS-HND LEVEL TWO'!$O$1001</f>
        <v>1</v>
      </c>
      <c r="L122" s="195">
        <f t="shared" si="24"/>
        <v>90</v>
      </c>
      <c r="M122" s="195">
        <f t="shared" ref="M122:M123" si="26">K122/I122*100</f>
        <v>10</v>
      </c>
      <c r="N122" s="196">
        <f>'FBMS-HND LEVEL TWO'!O1074</f>
        <v>0</v>
      </c>
      <c r="O122" s="196">
        <f>'FBMS-HND LEVEL TWO'!P1074</f>
        <v>1</v>
      </c>
      <c r="P122" s="196">
        <f>'FBMS-HND LEVEL TWO'!Q1074</f>
        <v>4</v>
      </c>
      <c r="Q122" s="196">
        <f>'FBMS-HND LEVEL TWO'!R1074</f>
        <v>0</v>
      </c>
      <c r="R122" s="196">
        <f>'FBMS-HND LEVEL TWO'!S1074</f>
        <v>4</v>
      </c>
      <c r="S122" s="196">
        <f>'FBMS-HND LEVEL TWO'!T1074</f>
        <v>0</v>
      </c>
      <c r="T122" s="196">
        <f>'FBMS-HND LEVEL TWO'!U1074</f>
        <v>0</v>
      </c>
      <c r="U122" s="196">
        <f>'FBMS-HND LEVEL TWO'!V1074</f>
        <v>1</v>
      </c>
      <c r="V122" s="55">
        <f t="shared" si="25"/>
        <v>10</v>
      </c>
    </row>
    <row r="123" spans="1:22" ht="31.2" x14ac:dyDescent="0.3">
      <c r="A123" s="191">
        <v>6</v>
      </c>
      <c r="B123" s="155" t="s">
        <v>193</v>
      </c>
      <c r="C123" s="224" t="s">
        <v>194</v>
      </c>
      <c r="D123" s="193">
        <v>3</v>
      </c>
      <c r="E123" s="193" t="s">
        <v>32</v>
      </c>
      <c r="F123" s="274" t="s">
        <v>1932</v>
      </c>
      <c r="G123" s="233"/>
      <c r="H123" s="155">
        <f>'FBMS-HND LEVEL TWO'!$O$1098</f>
        <v>10</v>
      </c>
      <c r="I123" s="155">
        <f>'FBMS-HND LEVEL TWO'!$O$1099</f>
        <v>10</v>
      </c>
      <c r="J123" s="155">
        <f>'FBMS-HND LEVEL TWO'!$O$1101</f>
        <v>7</v>
      </c>
      <c r="K123" s="155">
        <f>'FBMS-HND LEVEL TWO'!$O$1103</f>
        <v>3</v>
      </c>
      <c r="L123" s="195">
        <f t="shared" si="24"/>
        <v>70</v>
      </c>
      <c r="M123" s="195">
        <f t="shared" si="26"/>
        <v>30</v>
      </c>
      <c r="N123" s="196">
        <f>'FBMS-HND LEVEL TWO'!O1109</f>
        <v>2</v>
      </c>
      <c r="O123" s="196">
        <f>'FBMS-HND LEVEL TWO'!P1109</f>
        <v>2</v>
      </c>
      <c r="P123" s="196">
        <f>'FBMS-HND LEVEL TWO'!Q1109</f>
        <v>1</v>
      </c>
      <c r="Q123" s="196">
        <f>'FBMS-HND LEVEL TWO'!R1109</f>
        <v>2</v>
      </c>
      <c r="R123" s="196">
        <f>'FBMS-HND LEVEL TWO'!S1109</f>
        <v>0</v>
      </c>
      <c r="S123" s="196">
        <f>'FBMS-HND LEVEL TWO'!T1109</f>
        <v>2</v>
      </c>
      <c r="T123" s="196">
        <f>'FBMS-HND LEVEL TWO'!U1109</f>
        <v>0</v>
      </c>
      <c r="U123" s="196">
        <f>'FBMS-HND LEVEL TWO'!V1109</f>
        <v>1</v>
      </c>
      <c r="V123" s="55">
        <f t="shared" si="25"/>
        <v>10</v>
      </c>
    </row>
    <row r="124" spans="1:22" x14ac:dyDescent="0.3">
      <c r="A124" s="199"/>
      <c r="B124" s="199"/>
      <c r="C124" s="487" t="s">
        <v>323</v>
      </c>
      <c r="D124" s="488"/>
      <c r="E124" s="488"/>
      <c r="F124" s="489"/>
      <c r="G124" s="199"/>
      <c r="H124" s="200">
        <f>SUM(H118:H123)</f>
        <v>104</v>
      </c>
      <c r="I124" s="200">
        <f>SUM(I118:I123)</f>
        <v>104</v>
      </c>
      <c r="J124" s="200">
        <f>SUM(J118:J123)</f>
        <v>69</v>
      </c>
      <c r="K124" s="200">
        <f>SUM(K118:K123)</f>
        <v>35</v>
      </c>
      <c r="L124" s="201">
        <f>J124/I124*100</f>
        <v>66.34615384615384</v>
      </c>
      <c r="M124" s="201">
        <f>K124/I124*100</f>
        <v>33.653846153846153</v>
      </c>
      <c r="N124" s="200">
        <f t="shared" ref="N124:U124" si="27">SUM(N118:N123)</f>
        <v>5</v>
      </c>
      <c r="O124" s="200">
        <f t="shared" si="27"/>
        <v>10</v>
      </c>
      <c r="P124" s="200">
        <f t="shared" si="27"/>
        <v>21</v>
      </c>
      <c r="Q124" s="200">
        <f t="shared" si="27"/>
        <v>11</v>
      </c>
      <c r="R124" s="200">
        <f t="shared" si="27"/>
        <v>22</v>
      </c>
      <c r="S124" s="200">
        <f t="shared" si="27"/>
        <v>8</v>
      </c>
      <c r="T124" s="200">
        <f t="shared" si="27"/>
        <v>8</v>
      </c>
      <c r="U124" s="200">
        <f t="shared" si="27"/>
        <v>19</v>
      </c>
      <c r="V124" s="55">
        <f t="shared" ref="V124" si="28">SUM(N124:U124)</f>
        <v>104</v>
      </c>
    </row>
    <row r="125" spans="1:22" x14ac:dyDescent="0.3">
      <c r="A125" s="183"/>
      <c r="B125" s="490" t="s">
        <v>324</v>
      </c>
      <c r="C125" s="490"/>
      <c r="D125" s="490"/>
      <c r="E125" s="490"/>
      <c r="F125" s="490"/>
      <c r="G125" s="490"/>
      <c r="H125" s="490"/>
      <c r="I125" s="490"/>
      <c r="J125" s="490"/>
      <c r="K125" s="490"/>
      <c r="L125" s="490"/>
      <c r="M125" s="490"/>
      <c r="N125" s="490"/>
      <c r="O125" s="490"/>
      <c r="P125" s="490"/>
      <c r="Q125" s="490"/>
      <c r="R125" s="490"/>
      <c r="S125" s="490"/>
      <c r="T125" s="490"/>
      <c r="U125" s="490"/>
      <c r="V125" s="55"/>
    </row>
    <row r="126" spans="1:22" x14ac:dyDescent="0.3">
      <c r="A126" s="183"/>
      <c r="B126" s="202"/>
      <c r="C126" s="202"/>
      <c r="D126" s="202"/>
      <c r="E126" s="202"/>
      <c r="F126" s="202"/>
      <c r="G126" s="202"/>
      <c r="H126" s="202"/>
      <c r="I126" s="202"/>
      <c r="J126" s="202"/>
      <c r="K126" s="202"/>
      <c r="L126" s="202"/>
      <c r="M126" s="202"/>
      <c r="N126" s="202"/>
      <c r="O126" s="202"/>
      <c r="P126" s="202"/>
      <c r="Q126" s="202"/>
      <c r="R126" s="202"/>
      <c r="S126" s="202"/>
      <c r="T126" s="202"/>
      <c r="U126" s="55"/>
      <c r="V126" s="55"/>
    </row>
    <row r="127" spans="1:22" x14ac:dyDescent="0.3">
      <c r="A127" s="183"/>
      <c r="B127" s="203" t="s">
        <v>325</v>
      </c>
      <c r="C127" s="204"/>
      <c r="D127" s="491">
        <f t="shared" ref="D127" si="29">$I$124</f>
        <v>104</v>
      </c>
      <c r="E127" s="491"/>
      <c r="F127" s="205"/>
      <c r="G127" s="205"/>
      <c r="H127" s="205"/>
      <c r="I127" s="483" t="s">
        <v>326</v>
      </c>
      <c r="J127" s="483"/>
      <c r="K127" s="483"/>
      <c r="L127" s="483"/>
      <c r="M127" s="483"/>
      <c r="N127" s="491">
        <f t="shared" ref="N127" si="30">$K$124</f>
        <v>35</v>
      </c>
      <c r="O127" s="491"/>
      <c r="P127" s="183"/>
      <c r="Q127" s="183"/>
      <c r="R127" s="183"/>
      <c r="S127" s="183"/>
      <c r="T127" s="183"/>
      <c r="U127" s="55"/>
      <c r="V127" s="55"/>
    </row>
    <row r="128" spans="1:22" x14ac:dyDescent="0.3">
      <c r="A128" s="183"/>
      <c r="B128" s="483"/>
      <c r="C128" s="483"/>
      <c r="D128" s="483"/>
      <c r="E128" s="483"/>
      <c r="F128" s="206"/>
      <c r="G128" s="206"/>
      <c r="H128" s="206"/>
      <c r="I128" s="55"/>
      <c r="J128" s="55"/>
      <c r="K128" s="55"/>
      <c r="L128" s="55"/>
      <c r="M128" s="55"/>
      <c r="N128" s="483"/>
      <c r="O128" s="483"/>
      <c r="P128" s="183"/>
      <c r="Q128" s="183"/>
      <c r="R128" s="183"/>
      <c r="S128" s="183"/>
      <c r="T128" s="183"/>
      <c r="U128" s="55"/>
      <c r="V128" s="55"/>
    </row>
    <row r="129" spans="1:22" x14ac:dyDescent="0.3">
      <c r="A129" s="183"/>
      <c r="B129" s="483" t="s">
        <v>327</v>
      </c>
      <c r="C129" s="483"/>
      <c r="D129" s="491">
        <f t="shared" ref="D129" si="31">$J$124</f>
        <v>69</v>
      </c>
      <c r="E129" s="491"/>
      <c r="F129" s="206"/>
      <c r="G129" s="206"/>
      <c r="H129" s="206"/>
      <c r="N129" s="492"/>
      <c r="O129" s="492"/>
      <c r="P129" s="183"/>
      <c r="Q129" s="183"/>
      <c r="R129" s="183"/>
      <c r="S129" s="183"/>
      <c r="T129" s="183"/>
      <c r="U129" s="55"/>
      <c r="V129" s="55"/>
    </row>
    <row r="130" spans="1:22" x14ac:dyDescent="0.3">
      <c r="A130" s="183"/>
      <c r="B130" s="206"/>
      <c r="C130" s="206"/>
      <c r="D130" s="206"/>
      <c r="E130" s="206"/>
      <c r="F130" s="206"/>
      <c r="G130" s="206"/>
      <c r="H130" s="206"/>
      <c r="I130" s="483" t="s">
        <v>354</v>
      </c>
      <c r="J130" s="483"/>
      <c r="K130" s="483"/>
      <c r="L130" s="483"/>
      <c r="M130" s="483"/>
      <c r="N130" s="209"/>
      <c r="O130" s="206"/>
      <c r="P130" s="183"/>
      <c r="Q130" s="183"/>
      <c r="R130" s="183"/>
      <c r="S130" s="183"/>
      <c r="T130" s="183"/>
      <c r="U130" s="55"/>
      <c r="V130" s="55"/>
    </row>
    <row r="131" spans="1:22" x14ac:dyDescent="0.3">
      <c r="A131" s="203" t="s">
        <v>329</v>
      </c>
      <c r="B131" s="206"/>
      <c r="C131" s="210"/>
      <c r="D131" s="210"/>
      <c r="E131" s="206"/>
      <c r="F131" s="206"/>
      <c r="G131" s="206"/>
      <c r="H131" s="206"/>
      <c r="I131" s="420"/>
      <c r="J131" s="420"/>
      <c r="K131" s="420"/>
      <c r="L131" s="420"/>
      <c r="M131" s="206"/>
      <c r="N131" s="206"/>
      <c r="O131" s="206"/>
      <c r="P131" s="183"/>
      <c r="Q131" s="183"/>
      <c r="R131" s="183"/>
      <c r="S131" s="183"/>
      <c r="T131" s="183"/>
      <c r="U131" s="55"/>
      <c r="V131" s="55"/>
    </row>
    <row r="132" spans="1:22" x14ac:dyDescent="0.3">
      <c r="A132" s="55"/>
      <c r="B132" s="55"/>
      <c r="C132" s="211" t="str">
        <f>$F$118</f>
        <v>Mme. Teneng Conscience</v>
      </c>
      <c r="D132" s="211"/>
      <c r="E132" s="55"/>
      <c r="F132" s="55"/>
      <c r="G132" s="183"/>
      <c r="H132" s="183"/>
      <c r="I132" s="497"/>
      <c r="J132" s="497"/>
      <c r="K132" s="497"/>
      <c r="L132" s="497"/>
      <c r="M132" s="211"/>
      <c r="N132" s="211"/>
      <c r="O132" s="498" t="s">
        <v>1932</v>
      </c>
      <c r="P132" s="498"/>
      <c r="Q132" s="498"/>
      <c r="R132" s="498"/>
      <c r="S132" s="498"/>
      <c r="T132" s="183"/>
      <c r="U132" s="183"/>
      <c r="V132" s="55"/>
    </row>
    <row r="133" spans="1:22" x14ac:dyDescent="0.3">
      <c r="A133" s="55"/>
      <c r="B133" s="55"/>
      <c r="C133" s="283"/>
      <c r="D133" s="283"/>
      <c r="E133" s="55"/>
      <c r="F133" s="55"/>
      <c r="G133" s="183"/>
      <c r="H133" s="183"/>
      <c r="I133" s="183"/>
      <c r="J133" s="183"/>
      <c r="K133" s="183"/>
      <c r="L133" s="183"/>
      <c r="M133" s="283"/>
      <c r="N133" s="283"/>
      <c r="O133" s="183"/>
      <c r="P133" s="183"/>
      <c r="Q133" s="183"/>
      <c r="R133" s="183"/>
      <c r="S133" s="183"/>
      <c r="T133" s="183"/>
      <c r="U133" s="183"/>
      <c r="V133" s="55"/>
    </row>
    <row r="134" spans="1:22" x14ac:dyDescent="0.3">
      <c r="A134" s="55"/>
      <c r="B134" s="55"/>
      <c r="C134" s="283"/>
      <c r="D134" s="283"/>
      <c r="E134" s="55"/>
      <c r="F134" s="55"/>
      <c r="G134" s="183"/>
      <c r="H134" s="183"/>
      <c r="I134" s="183"/>
      <c r="J134" s="183"/>
      <c r="K134" s="183"/>
      <c r="L134" s="183"/>
      <c r="M134" s="283"/>
      <c r="N134" s="283"/>
      <c r="O134" s="183"/>
      <c r="P134" s="183"/>
      <c r="Q134" s="183"/>
      <c r="R134" s="183"/>
      <c r="S134" s="183"/>
      <c r="T134" s="183"/>
      <c r="U134" s="183"/>
      <c r="V134" s="55"/>
    </row>
    <row r="135" spans="1:22" x14ac:dyDescent="0.3">
      <c r="A135" s="211"/>
      <c r="B135" s="211"/>
      <c r="C135" s="211"/>
      <c r="D135" s="211"/>
      <c r="E135" s="210"/>
      <c r="F135" s="210"/>
      <c r="G135" s="183"/>
      <c r="H135" s="183"/>
      <c r="I135" s="183"/>
      <c r="J135" s="183"/>
      <c r="K135" s="211"/>
      <c r="L135" s="211"/>
      <c r="M135" s="211"/>
      <c r="N135" s="211"/>
      <c r="O135" s="183"/>
      <c r="P135" s="183"/>
      <c r="Q135" s="183"/>
      <c r="R135" s="183"/>
      <c r="S135" s="183"/>
      <c r="T135" s="183"/>
      <c r="U135" s="183"/>
      <c r="V135" s="55"/>
    </row>
    <row r="136" spans="1:22" x14ac:dyDescent="0.3">
      <c r="A136" s="211"/>
      <c r="B136" s="211"/>
      <c r="C136" s="282" t="s">
        <v>352</v>
      </c>
      <c r="D136" s="211"/>
      <c r="E136" s="55" t="s">
        <v>340</v>
      </c>
      <c r="F136" s="55" t="s">
        <v>331</v>
      </c>
      <c r="G136" s="183"/>
      <c r="H136" s="183"/>
      <c r="I136" s="183"/>
      <c r="J136" s="183"/>
      <c r="K136" s="211"/>
      <c r="L136" s="211"/>
      <c r="M136" s="211"/>
      <c r="N136" s="211"/>
      <c r="O136" s="183"/>
      <c r="P136" s="183"/>
      <c r="Q136" s="183"/>
      <c r="R136" s="183"/>
      <c r="S136" s="183"/>
      <c r="T136" s="183"/>
      <c r="U136" s="183"/>
      <c r="V136" s="55"/>
    </row>
    <row r="137" spans="1:22" x14ac:dyDescent="0.3">
      <c r="A137" s="183"/>
      <c r="B137" s="183"/>
      <c r="C137" s="283" t="s">
        <v>353</v>
      </c>
      <c r="D137" s="211"/>
      <c r="E137" s="181"/>
      <c r="F137" s="181" t="s">
        <v>338</v>
      </c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3"/>
      <c r="V137" s="55"/>
    </row>
    <row r="138" spans="1:22" x14ac:dyDescent="0.3">
      <c r="A138" s="183"/>
      <c r="B138" s="183"/>
      <c r="C138" s="229"/>
      <c r="D138" s="229"/>
      <c r="E138" s="182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3"/>
      <c r="V138" s="55"/>
    </row>
    <row r="139" spans="1:22" ht="17.399999999999999" x14ac:dyDescent="0.3">
      <c r="A139" s="183"/>
      <c r="B139" s="183"/>
      <c r="C139" s="484" t="s">
        <v>302</v>
      </c>
      <c r="D139" s="484"/>
      <c r="E139" s="484"/>
      <c r="F139" s="484"/>
      <c r="G139" s="484"/>
      <c r="H139" s="484"/>
      <c r="I139" s="484"/>
      <c r="J139" s="484"/>
      <c r="K139" s="484"/>
      <c r="L139" s="484"/>
      <c r="M139" s="484"/>
      <c r="N139" s="484"/>
      <c r="O139" s="484"/>
      <c r="P139" s="484"/>
      <c r="Q139" s="484"/>
      <c r="R139" s="183"/>
      <c r="S139" s="183"/>
      <c r="T139" s="183"/>
      <c r="U139" s="183"/>
      <c r="V139" s="55"/>
    </row>
    <row r="140" spans="1:22" x14ac:dyDescent="0.3">
      <c r="A140" s="183"/>
      <c r="B140" s="183"/>
      <c r="C140" s="183"/>
      <c r="D140" s="183"/>
      <c r="E140" s="183"/>
      <c r="F140" s="183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55"/>
      <c r="U140" s="55"/>
      <c r="V140" s="55"/>
    </row>
    <row r="141" spans="1:22" x14ac:dyDescent="0.3">
      <c r="A141" s="184" t="s">
        <v>335</v>
      </c>
      <c r="B141" s="55"/>
      <c r="C141" s="184"/>
      <c r="D141" s="184"/>
      <c r="E141" s="184"/>
      <c r="F141" s="184"/>
      <c r="G141" s="185"/>
      <c r="H141" s="185"/>
      <c r="I141" s="185"/>
      <c r="J141" s="185"/>
      <c r="K141" s="55"/>
      <c r="L141" s="216" t="s">
        <v>341</v>
      </c>
      <c r="M141" s="55"/>
      <c r="N141" s="185"/>
      <c r="O141" s="185"/>
      <c r="P141" s="185"/>
      <c r="Q141" s="55"/>
      <c r="R141" s="55"/>
      <c r="S141" s="55"/>
      <c r="T141" s="55"/>
      <c r="U141" s="55"/>
      <c r="V141" s="55"/>
    </row>
    <row r="142" spans="1:22" ht="15.6" x14ac:dyDescent="0.3">
      <c r="A142" s="55"/>
      <c r="B142" s="55"/>
      <c r="C142" s="184"/>
      <c r="D142" s="184"/>
      <c r="E142" s="184"/>
      <c r="F142" s="184"/>
      <c r="G142" s="186"/>
      <c r="H142" s="186"/>
      <c r="I142" s="186"/>
      <c r="J142" s="186"/>
      <c r="K142" s="55"/>
      <c r="L142" s="184" t="s">
        <v>306</v>
      </c>
      <c r="M142" s="55"/>
      <c r="N142" s="184"/>
      <c r="O142" s="184"/>
      <c r="P142" s="186"/>
      <c r="Q142" s="186"/>
      <c r="R142" s="55"/>
      <c r="S142" s="55"/>
      <c r="T142" s="55"/>
      <c r="U142" s="55"/>
      <c r="V142" s="55"/>
    </row>
    <row r="143" spans="1:22" ht="15.6" x14ac:dyDescent="0.3">
      <c r="A143" s="187" t="s">
        <v>307</v>
      </c>
      <c r="B143" s="55"/>
      <c r="C143" s="55"/>
      <c r="D143" s="55"/>
      <c r="E143" s="55"/>
      <c r="F143" s="55"/>
      <c r="G143" s="34"/>
      <c r="H143" s="34"/>
      <c r="I143" s="34"/>
      <c r="J143" s="34"/>
      <c r="K143" s="55"/>
      <c r="L143" s="485" t="s">
        <v>1930</v>
      </c>
      <c r="M143" s="485"/>
      <c r="N143" s="485"/>
      <c r="O143" s="485"/>
      <c r="P143" s="485"/>
      <c r="Q143" s="34"/>
      <c r="R143" s="55"/>
      <c r="S143" s="55"/>
      <c r="T143" s="55"/>
      <c r="U143" s="55"/>
      <c r="V143" s="55"/>
    </row>
    <row r="144" spans="1:22" ht="15.6" x14ac:dyDescent="0.3">
      <c r="A144" s="55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55"/>
      <c r="S144" s="55"/>
      <c r="T144" s="55"/>
      <c r="U144" s="55"/>
      <c r="V144" s="55"/>
    </row>
    <row r="145" spans="1:22" x14ac:dyDescent="0.3">
      <c r="A145" s="55"/>
      <c r="B145" s="55"/>
      <c r="C145" s="486" t="s">
        <v>308</v>
      </c>
      <c r="D145" s="486"/>
      <c r="E145" s="486"/>
      <c r="F145" s="486"/>
      <c r="G145" s="486"/>
      <c r="H145" s="486"/>
      <c r="I145" s="486"/>
      <c r="J145" s="486"/>
      <c r="K145" s="486"/>
      <c r="L145" s="486"/>
      <c r="M145" s="486"/>
      <c r="N145" s="486"/>
      <c r="O145" s="486"/>
      <c r="P145" s="486"/>
      <c r="Q145" s="55"/>
      <c r="R145" s="55"/>
      <c r="S145" s="55"/>
      <c r="T145" s="55"/>
      <c r="U145" s="55"/>
      <c r="V145" s="55"/>
    </row>
    <row r="146" spans="1:22" x14ac:dyDescent="0.3">
      <c r="A146" s="472" t="s">
        <v>309</v>
      </c>
      <c r="B146" s="472" t="s">
        <v>310</v>
      </c>
      <c r="C146" s="472" t="s">
        <v>311</v>
      </c>
      <c r="D146" s="472" t="s">
        <v>312</v>
      </c>
      <c r="E146" s="472" t="s">
        <v>313</v>
      </c>
      <c r="F146" s="472" t="s">
        <v>314</v>
      </c>
      <c r="G146" s="473" t="s">
        <v>315</v>
      </c>
      <c r="H146" s="476" t="s">
        <v>316</v>
      </c>
      <c r="I146" s="477"/>
      <c r="J146" s="477"/>
      <c r="K146" s="478"/>
      <c r="L146" s="188" t="s">
        <v>317</v>
      </c>
      <c r="M146" s="188" t="s">
        <v>318</v>
      </c>
      <c r="N146" s="476" t="s">
        <v>316</v>
      </c>
      <c r="O146" s="477"/>
      <c r="P146" s="477"/>
      <c r="Q146" s="477"/>
      <c r="R146" s="477"/>
      <c r="S146" s="477"/>
      <c r="T146" s="477"/>
      <c r="U146" s="478"/>
      <c r="V146" s="55"/>
    </row>
    <row r="147" spans="1:22" x14ac:dyDescent="0.3">
      <c r="A147" s="472"/>
      <c r="B147" s="472"/>
      <c r="C147" s="472"/>
      <c r="D147" s="472"/>
      <c r="E147" s="472"/>
      <c r="F147" s="472"/>
      <c r="G147" s="493"/>
      <c r="H147" s="188" t="s">
        <v>319</v>
      </c>
      <c r="I147" s="188" t="s">
        <v>320</v>
      </c>
      <c r="J147" s="188" t="s">
        <v>321</v>
      </c>
      <c r="K147" s="188" t="s">
        <v>322</v>
      </c>
      <c r="L147" s="188"/>
      <c r="M147" s="188"/>
      <c r="N147" s="189" t="s">
        <v>28</v>
      </c>
      <c r="O147" s="190" t="s">
        <v>29</v>
      </c>
      <c r="P147" s="190" t="s">
        <v>30</v>
      </c>
      <c r="Q147" s="190" t="s">
        <v>31</v>
      </c>
      <c r="R147" s="190" t="s">
        <v>32</v>
      </c>
      <c r="S147" s="190" t="s">
        <v>33</v>
      </c>
      <c r="T147" s="190" t="s">
        <v>34</v>
      </c>
      <c r="U147" s="190" t="s">
        <v>35</v>
      </c>
      <c r="V147" s="55"/>
    </row>
    <row r="148" spans="1:22" ht="31.2" x14ac:dyDescent="0.3">
      <c r="A148" s="217">
        <v>1</v>
      </c>
      <c r="B148" s="218" t="str">
        <f>'[1]level one'!$C$5</f>
        <v>BFI1101H</v>
      </c>
      <c r="C148" s="218" t="str">
        <f>'[1]level one'!$C$6</f>
        <v>Principles  of Banking</v>
      </c>
      <c r="D148" s="217">
        <f>'[1]level one'!$C$7</f>
        <v>3</v>
      </c>
      <c r="E148" s="217" t="s">
        <v>32</v>
      </c>
      <c r="F148" s="219" t="s">
        <v>364</v>
      </c>
      <c r="G148" s="238"/>
      <c r="H148" s="220">
        <f>'FBMS-HND LEVEL ONE'!$O$13</f>
        <v>54</v>
      </c>
      <c r="I148" s="220">
        <f>'FBMS-HND LEVEL ONE'!$O$14</f>
        <v>54</v>
      </c>
      <c r="J148" s="220">
        <f>'FBMS-HND LEVEL ONE'!$O$16</f>
        <v>47</v>
      </c>
      <c r="K148" s="220">
        <f>'FBMS-HND LEVEL ONE'!$O$18</f>
        <v>7</v>
      </c>
      <c r="L148" s="221">
        <f t="shared" ref="L148:L149" si="32">J148/I148*100</f>
        <v>87.037037037037038</v>
      </c>
      <c r="M148" s="221">
        <f t="shared" ref="M148:M149" si="33">K148/I148*100</f>
        <v>12.962962962962962</v>
      </c>
      <c r="N148" s="220">
        <f>'FBMS-HND LEVEL ONE'!R25</f>
        <v>12</v>
      </c>
      <c r="O148" s="217">
        <f>'FBMS-HND LEVEL ONE'!S25</f>
        <v>17</v>
      </c>
      <c r="P148" s="217">
        <f>'FBMS-HND LEVEL ONE'!T25</f>
        <v>9</v>
      </c>
      <c r="Q148" s="217">
        <f>'FBMS-HND LEVEL ONE'!U25</f>
        <v>4</v>
      </c>
      <c r="R148" s="217">
        <f>'FBMS-HND LEVEL ONE'!V25</f>
        <v>5</v>
      </c>
      <c r="S148" s="217">
        <f>'FBMS-HND LEVEL ONE'!W25</f>
        <v>1</v>
      </c>
      <c r="T148" s="217">
        <f>'FBMS-HND LEVEL ONE'!X25</f>
        <v>2</v>
      </c>
      <c r="U148" s="220">
        <f>'FBMS-HND LEVEL ONE'!Y25</f>
        <v>4</v>
      </c>
      <c r="V148" s="55">
        <f t="shared" ref="V148:V153" si="34">SUM(N148:U148)</f>
        <v>54</v>
      </c>
    </row>
    <row r="149" spans="1:22" ht="19.5" customHeight="1" x14ac:dyDescent="0.3">
      <c r="A149" s="217">
        <v>2</v>
      </c>
      <c r="B149" s="155" t="str">
        <f>'[1]level one'!$C$44</f>
        <v>BFI1102H</v>
      </c>
      <c r="C149" s="155" t="str">
        <f>'[1]level one'!$C$45</f>
        <v>Principles of Finance</v>
      </c>
      <c r="D149" s="217">
        <f>'[1]level one'!$C$46</f>
        <v>3</v>
      </c>
      <c r="E149" s="217" t="s">
        <v>32</v>
      </c>
      <c r="F149" s="155" t="s">
        <v>364</v>
      </c>
      <c r="G149" s="239"/>
      <c r="H149" s="220">
        <f>'FBMS-HND LEVEL ONE'!$O$83</f>
        <v>64</v>
      </c>
      <c r="I149" s="220">
        <f>'FBMS-HND LEVEL ONE'!$O$84</f>
        <v>59</v>
      </c>
      <c r="J149" s="220">
        <f>'FBMS-HND LEVEL ONE'!$O$86</f>
        <v>52</v>
      </c>
      <c r="K149" s="220">
        <f>'FBMS-HND LEVEL ONE'!$O$88</f>
        <v>7</v>
      </c>
      <c r="L149" s="221">
        <f t="shared" si="32"/>
        <v>88.135593220338976</v>
      </c>
      <c r="M149" s="221">
        <f t="shared" si="33"/>
        <v>11.864406779661017</v>
      </c>
      <c r="N149" s="220">
        <f>'FBMS-HND LEVEL ONE'!O95</f>
        <v>2</v>
      </c>
      <c r="O149" s="217">
        <f>'FBMS-HND LEVEL ONE'!P95</f>
        <v>9</v>
      </c>
      <c r="P149" s="217">
        <f>'FBMS-HND LEVEL ONE'!Q95</f>
        <v>19</v>
      </c>
      <c r="Q149" s="217">
        <f>'FBMS-HND LEVEL ONE'!R95</f>
        <v>11</v>
      </c>
      <c r="R149" s="155">
        <f>'FBMS-HND LEVEL ONE'!S95</f>
        <v>11</v>
      </c>
      <c r="S149" s="155">
        <f>'FBMS-HND LEVEL ONE'!T95</f>
        <v>3</v>
      </c>
      <c r="T149" s="155">
        <f>'FBMS-HND LEVEL ONE'!U95</f>
        <v>3</v>
      </c>
      <c r="U149" s="155">
        <f>'FBMS-HND LEVEL ONE'!V95</f>
        <v>1</v>
      </c>
      <c r="V149" s="55">
        <f t="shared" si="34"/>
        <v>59</v>
      </c>
    </row>
    <row r="150" spans="1:22" ht="31.5" customHeight="1" x14ac:dyDescent="0.3">
      <c r="A150" s="217"/>
      <c r="B150" s="155" t="s">
        <v>834</v>
      </c>
      <c r="C150" s="155" t="s">
        <v>486</v>
      </c>
      <c r="D150" s="217">
        <v>3</v>
      </c>
      <c r="E150" s="217" t="s">
        <v>32</v>
      </c>
      <c r="F150" s="155" t="s">
        <v>833</v>
      </c>
      <c r="G150" s="239"/>
      <c r="H150" s="220">
        <f>'FBMS-HND LEVEL TWO'!$O$962</f>
        <v>9</v>
      </c>
      <c r="I150" s="220">
        <f>'FBMS-HND LEVEL TWO'!$O$963</f>
        <v>9</v>
      </c>
      <c r="J150" s="220">
        <f>'FBMS-HND LEVEL TWO'!$O$965</f>
        <v>9</v>
      </c>
      <c r="K150" s="220">
        <f>'FBMS-HND LEVEL TWO'!$O$967</f>
        <v>0</v>
      </c>
      <c r="L150" s="221">
        <f t="shared" ref="L150" si="35">J150/I150*100</f>
        <v>100</v>
      </c>
      <c r="M150" s="221">
        <f t="shared" ref="M150" si="36">K150/I150*100</f>
        <v>0</v>
      </c>
      <c r="N150" s="220">
        <f>'FBMS-HND LEVEL TWO'!O973</f>
        <v>0</v>
      </c>
      <c r="O150" s="217">
        <f>'FBMS-HND LEVEL TWO'!P973</f>
        <v>1</v>
      </c>
      <c r="P150" s="217">
        <f>'FBMS-HND LEVEL TWO'!Q973</f>
        <v>5</v>
      </c>
      <c r="Q150" s="217">
        <f>'FBMS-HND LEVEL TWO'!R973</f>
        <v>2</v>
      </c>
      <c r="R150" s="155">
        <f>'FBMS-HND LEVEL TWO'!S973</f>
        <v>1</v>
      </c>
      <c r="S150" s="155">
        <f>'FBMS-HND LEVEL TWO'!T973</f>
        <v>0</v>
      </c>
      <c r="T150" s="155">
        <f>'FBMS-HND LEVEL TWO'!U973</f>
        <v>0</v>
      </c>
      <c r="U150" s="155">
        <f>'FBMS-HND LEVEL TWO'!V973</f>
        <v>0</v>
      </c>
      <c r="V150" s="55">
        <f t="shared" si="34"/>
        <v>9</v>
      </c>
    </row>
    <row r="151" spans="1:22" ht="30" customHeight="1" x14ac:dyDescent="0.3">
      <c r="A151" s="217">
        <v>3</v>
      </c>
      <c r="B151" s="155" t="str">
        <f>'[1]level two'!$C$302</f>
        <v>BFI 2102H</v>
      </c>
      <c r="C151" s="155" t="str">
        <f>'[1]level two'!$C$303</f>
        <v>Financial Accounting for Banks &amp; MFIs I</v>
      </c>
      <c r="D151" s="214">
        <f>'[1]level two'!$C$304</f>
        <v>3</v>
      </c>
      <c r="E151" s="214" t="s">
        <v>32</v>
      </c>
      <c r="F151" s="155" t="str">
        <f>'[1]level two'!$C$305</f>
        <v>Mr. Ngwa Hedwig</v>
      </c>
      <c r="G151" s="223"/>
      <c r="H151" s="196">
        <f>'FBMS-HND LEVEL TWO'!$O$647</f>
        <v>29</v>
      </c>
      <c r="I151" s="196">
        <f>'FBMS-HND LEVEL TWO'!$O$648</f>
        <v>29</v>
      </c>
      <c r="J151" s="234">
        <f>'FBMS-HND LEVEL TWO'!$O$650</f>
        <v>19</v>
      </c>
      <c r="K151" s="234">
        <f>'FBMS-HND LEVEL TWO'!$O$652</f>
        <v>10</v>
      </c>
      <c r="L151" s="195">
        <f>J151/I151*100</f>
        <v>65.517241379310349</v>
      </c>
      <c r="M151" s="195">
        <f>K151/I151*100</f>
        <v>34.482758620689658</v>
      </c>
      <c r="N151" s="196">
        <f>'FBMS-HND LEVEL TWO'!O659</f>
        <v>3</v>
      </c>
      <c r="O151" s="196">
        <f>'FBMS-HND LEVEL TWO'!P659</f>
        <v>6</v>
      </c>
      <c r="P151" s="196">
        <f>'FBMS-HND LEVEL TWO'!Q659</f>
        <v>4</v>
      </c>
      <c r="Q151" s="196">
        <f>'FBMS-HND LEVEL TWO'!R659</f>
        <v>5</v>
      </c>
      <c r="R151" s="196">
        <f>'FBMS-HND LEVEL TWO'!S659</f>
        <v>1</v>
      </c>
      <c r="S151" s="196">
        <f>'FBMS-HND LEVEL TWO'!T659</f>
        <v>1</v>
      </c>
      <c r="T151" s="196">
        <f>'FBMS-HND LEVEL TWO'!U659</f>
        <v>3</v>
      </c>
      <c r="U151" s="196">
        <f>'FBMS-HND LEVEL TWO'!V659</f>
        <v>6</v>
      </c>
      <c r="V151" s="55">
        <f>SUM(N151:U151)</f>
        <v>29</v>
      </c>
    </row>
    <row r="152" spans="1:22" ht="31.5" customHeight="1" x14ac:dyDescent="0.3">
      <c r="A152" s="217">
        <v>4</v>
      </c>
      <c r="B152" s="155" t="str">
        <f>'[1]level two'!$C$272</f>
        <v>BFI 2103H</v>
      </c>
      <c r="C152" s="155" t="str">
        <f>'[1]level two'!$C$273</f>
        <v>Financial Analysis I</v>
      </c>
      <c r="D152" s="217">
        <f>'[1]level two'!$C$274</f>
        <v>3</v>
      </c>
      <c r="E152" s="217" t="s">
        <v>32</v>
      </c>
      <c r="F152" s="155" t="s">
        <v>833</v>
      </c>
      <c r="G152" s="240"/>
      <c r="H152" s="155">
        <f>'FBMS-HND LEVEL TWO'!$O$838</f>
        <v>31</v>
      </c>
      <c r="I152" s="155">
        <f>'FBMS-HND LEVEL TWO'!$O$839</f>
        <v>30</v>
      </c>
      <c r="J152" s="220">
        <f>'FBMS-HND LEVEL TWO'!$O$841</f>
        <v>27</v>
      </c>
      <c r="K152" s="220">
        <f>'FBMS-HND LEVEL TWO'!$O$843</f>
        <v>3</v>
      </c>
      <c r="L152" s="221">
        <f t="shared" ref="L152" si="37">J152/I152*100</f>
        <v>90</v>
      </c>
      <c r="M152" s="221">
        <f t="shared" ref="M152" si="38">K152/I152*100</f>
        <v>10</v>
      </c>
      <c r="N152" s="155">
        <f>'FBMS-HND LEVEL TWO'!O850</f>
        <v>4</v>
      </c>
      <c r="O152" s="155">
        <f>'FBMS-HND LEVEL TWO'!P850</f>
        <v>2</v>
      </c>
      <c r="P152" s="155">
        <f>'FBMS-HND LEVEL TWO'!Q850</f>
        <v>7</v>
      </c>
      <c r="Q152" s="155">
        <f>'FBMS-HND LEVEL TWO'!R850</f>
        <v>7</v>
      </c>
      <c r="R152" s="155">
        <f>'FBMS-HND LEVEL TWO'!S850</f>
        <v>7</v>
      </c>
      <c r="S152" s="155">
        <f>'FBMS-HND LEVEL TWO'!T850</f>
        <v>0</v>
      </c>
      <c r="T152" s="155">
        <f>'FBMS-HND LEVEL TWO'!U850</f>
        <v>1</v>
      </c>
      <c r="U152" s="155">
        <f>'FBMS-HND LEVEL TWO'!V850</f>
        <v>2</v>
      </c>
      <c r="V152" s="55">
        <f t="shared" si="34"/>
        <v>30</v>
      </c>
    </row>
    <row r="153" spans="1:22" ht="15.6" x14ac:dyDescent="0.3">
      <c r="A153" s="217">
        <v>5</v>
      </c>
      <c r="B153" s="155" t="s">
        <v>1519</v>
      </c>
      <c r="C153" s="155" t="s">
        <v>485</v>
      </c>
      <c r="D153" s="217">
        <v>3</v>
      </c>
      <c r="E153" s="217" t="s">
        <v>32</v>
      </c>
      <c r="F153" s="155" t="s">
        <v>833</v>
      </c>
      <c r="G153" s="240"/>
      <c r="H153" s="155">
        <f>'FBMS-HND LEVEL TWO'!$O$929</f>
        <v>9</v>
      </c>
      <c r="I153" s="155">
        <f>'FBMS-HND LEVEL TWO'!$O$930</f>
        <v>9</v>
      </c>
      <c r="J153" s="220">
        <f>'FBMS-HND LEVEL TWO'!$O$932</f>
        <v>9</v>
      </c>
      <c r="K153" s="220">
        <f>'FBMS-HND LEVEL TWO'!$O$934</f>
        <v>0</v>
      </c>
      <c r="L153" s="221">
        <f t="shared" ref="L153" si="39">J153/I153*100</f>
        <v>100</v>
      </c>
      <c r="M153" s="221">
        <f t="shared" ref="M153" si="40">K153/I153*100</f>
        <v>0</v>
      </c>
      <c r="N153" s="155">
        <f>'FBMS-HND LEVEL TWO'!O940</f>
        <v>1</v>
      </c>
      <c r="O153" s="155">
        <f>'FBMS-HND LEVEL TWO'!P940</f>
        <v>0</v>
      </c>
      <c r="P153" s="155">
        <f>'FBMS-HND LEVEL TWO'!Q940</f>
        <v>8</v>
      </c>
      <c r="Q153" s="155">
        <f>'FBMS-HND LEVEL TWO'!R940</f>
        <v>0</v>
      </c>
      <c r="R153" s="155">
        <f>'FBMS-HND LEVEL TWO'!S940</f>
        <v>0</v>
      </c>
      <c r="S153" s="155">
        <f>'FBMS-HND LEVEL TWO'!T940</f>
        <v>0</v>
      </c>
      <c r="T153" s="155">
        <f>'FBMS-HND LEVEL TWO'!U940</f>
        <v>0</v>
      </c>
      <c r="U153" s="155">
        <f>'FBMS-HND LEVEL TWO'!V940</f>
        <v>0</v>
      </c>
      <c r="V153" s="55">
        <f t="shared" si="34"/>
        <v>9</v>
      </c>
    </row>
    <row r="154" spans="1:22" ht="31.2" x14ac:dyDescent="0.3">
      <c r="A154" s="217"/>
      <c r="B154" s="155" t="s">
        <v>1539</v>
      </c>
      <c r="C154" s="155" t="s">
        <v>482</v>
      </c>
      <c r="D154" s="217">
        <v>3</v>
      </c>
      <c r="E154" s="217" t="s">
        <v>32</v>
      </c>
      <c r="F154" s="155" t="s">
        <v>833</v>
      </c>
      <c r="G154" s="240"/>
      <c r="H154" s="155">
        <f>'FBMS-HND LEVEL TWO'!$O$894</f>
        <v>9</v>
      </c>
      <c r="I154" s="155">
        <f>'FBMS-HND LEVEL TWO'!$O$895</f>
        <v>9</v>
      </c>
      <c r="J154" s="220">
        <f>'FBMS-HND LEVEL TWO'!$O$897</f>
        <v>8</v>
      </c>
      <c r="K154" s="220">
        <f>'FBMS-HND LEVEL TWO'!$O$899</f>
        <v>1</v>
      </c>
      <c r="L154" s="221">
        <f t="shared" ref="L154" si="41">J154/I154*100</f>
        <v>88.888888888888886</v>
      </c>
      <c r="M154" s="221">
        <f t="shared" ref="M154" si="42">K154/I154*100</f>
        <v>11.111111111111111</v>
      </c>
      <c r="N154" s="155">
        <f>'FBMS-HND LEVEL TWO'!O905</f>
        <v>1</v>
      </c>
      <c r="O154" s="155">
        <f>'FBMS-HND LEVEL TWO'!P905</f>
        <v>2</v>
      </c>
      <c r="P154" s="155">
        <f>'FBMS-HND LEVEL TWO'!Q905</f>
        <v>4</v>
      </c>
      <c r="Q154" s="155">
        <f>'FBMS-HND LEVEL TWO'!R905</f>
        <v>0</v>
      </c>
      <c r="R154" s="155">
        <f>'FBMS-HND LEVEL TWO'!S905</f>
        <v>1</v>
      </c>
      <c r="S154" s="155">
        <f>'FBMS-HND LEVEL TWO'!T905</f>
        <v>0</v>
      </c>
      <c r="T154" s="155">
        <f>'FBMS-HND LEVEL TWO'!U905</f>
        <v>1</v>
      </c>
      <c r="U154" s="155">
        <f>'FBMS-HND LEVEL TWO'!V905</f>
        <v>0</v>
      </c>
      <c r="V154" s="55"/>
    </row>
    <row r="155" spans="1:22" x14ac:dyDescent="0.3">
      <c r="A155" s="199"/>
      <c r="B155" s="199"/>
      <c r="C155" s="487" t="s">
        <v>323</v>
      </c>
      <c r="D155" s="488"/>
      <c r="E155" s="488"/>
      <c r="F155" s="489"/>
      <c r="G155" s="199"/>
      <c r="H155" s="200">
        <f>SUM(H148:H154)</f>
        <v>205</v>
      </c>
      <c r="I155" s="200">
        <f>SUM(I148:I154)</f>
        <v>199</v>
      </c>
      <c r="J155" s="200">
        <f>SUM(J148:J154)</f>
        <v>171</v>
      </c>
      <c r="K155" s="200">
        <f>SUM(K148:K154)</f>
        <v>28</v>
      </c>
      <c r="L155" s="201">
        <f>J155/I155*100</f>
        <v>85.929648241206024</v>
      </c>
      <c r="M155" s="201">
        <f>K155/I155*100</f>
        <v>14.07035175879397</v>
      </c>
      <c r="N155" s="200">
        <f t="shared" ref="N155:U155" si="43">SUM(N148:N154)</f>
        <v>23</v>
      </c>
      <c r="O155" s="200">
        <f t="shared" si="43"/>
        <v>37</v>
      </c>
      <c r="P155" s="200">
        <f t="shared" si="43"/>
        <v>56</v>
      </c>
      <c r="Q155" s="200">
        <f t="shared" si="43"/>
        <v>29</v>
      </c>
      <c r="R155" s="200">
        <f t="shared" si="43"/>
        <v>26</v>
      </c>
      <c r="S155" s="200">
        <f t="shared" si="43"/>
        <v>5</v>
      </c>
      <c r="T155" s="200">
        <f t="shared" si="43"/>
        <v>10</v>
      </c>
      <c r="U155" s="200">
        <f t="shared" si="43"/>
        <v>13</v>
      </c>
      <c r="V155" s="55">
        <f>SUM(N155:U155)</f>
        <v>199</v>
      </c>
    </row>
    <row r="156" spans="1:22" x14ac:dyDescent="0.3">
      <c r="A156" s="183"/>
      <c r="B156" s="490" t="s">
        <v>324</v>
      </c>
      <c r="C156" s="490"/>
      <c r="D156" s="490"/>
      <c r="E156" s="490"/>
      <c r="F156" s="490"/>
      <c r="G156" s="490"/>
      <c r="H156" s="490"/>
      <c r="I156" s="490"/>
      <c r="J156" s="490"/>
      <c r="K156" s="490"/>
      <c r="L156" s="490"/>
      <c r="M156" s="490"/>
      <c r="N156" s="490"/>
      <c r="O156" s="490"/>
      <c r="P156" s="490"/>
      <c r="Q156" s="490"/>
      <c r="R156" s="490"/>
      <c r="S156" s="490"/>
      <c r="T156" s="490"/>
      <c r="U156" s="55"/>
      <c r="V156" s="55"/>
    </row>
    <row r="157" spans="1:22" x14ac:dyDescent="0.3">
      <c r="A157" s="183"/>
      <c r="B157" s="203" t="s">
        <v>325</v>
      </c>
      <c r="C157" s="204"/>
      <c r="D157" s="491">
        <f t="shared" ref="D157" si="44">$I$155</f>
        <v>199</v>
      </c>
      <c r="E157" s="491"/>
      <c r="F157" s="205"/>
      <c r="G157" s="205"/>
      <c r="H157" s="205"/>
      <c r="I157" s="483" t="s">
        <v>326</v>
      </c>
      <c r="J157" s="483"/>
      <c r="K157" s="483"/>
      <c r="L157" s="483"/>
      <c r="M157" s="483"/>
      <c r="N157" s="491">
        <f t="shared" ref="N157" si="45">$K$155</f>
        <v>28</v>
      </c>
      <c r="O157" s="491"/>
      <c r="P157" s="183"/>
      <c r="Q157" s="183"/>
      <c r="R157" s="183"/>
      <c r="S157" s="183"/>
      <c r="T157" s="183"/>
      <c r="U157" s="55"/>
      <c r="V157" s="55"/>
    </row>
    <row r="158" spans="1:22" x14ac:dyDescent="0.3">
      <c r="A158" s="183"/>
      <c r="B158" s="483" t="s">
        <v>327</v>
      </c>
      <c r="C158" s="483"/>
      <c r="D158" s="495">
        <f t="shared" ref="D158" si="46">$J$155</f>
        <v>171</v>
      </c>
      <c r="E158" s="495"/>
      <c r="F158" s="206"/>
      <c r="G158" s="206"/>
      <c r="H158" s="206"/>
      <c r="N158" s="492"/>
      <c r="O158" s="492"/>
      <c r="P158" s="183"/>
      <c r="Q158" s="183"/>
      <c r="R158" s="183"/>
      <c r="S158" s="183"/>
      <c r="T158" s="183"/>
      <c r="U158" s="55"/>
      <c r="V158" s="55"/>
    </row>
    <row r="159" spans="1:22" x14ac:dyDescent="0.3">
      <c r="A159" s="183"/>
      <c r="B159" s="206"/>
      <c r="C159" s="206"/>
      <c r="D159" s="206"/>
      <c r="E159" s="206"/>
      <c r="F159" s="206"/>
      <c r="G159" s="206"/>
      <c r="H159" s="206"/>
      <c r="I159" s="483" t="s">
        <v>342</v>
      </c>
      <c r="J159" s="483"/>
      <c r="K159" s="483"/>
      <c r="L159" s="483"/>
      <c r="M159" s="483"/>
      <c r="N159" s="209"/>
      <c r="O159" s="206"/>
      <c r="P159" s="183"/>
      <c r="Q159" s="183"/>
      <c r="R159" s="183"/>
      <c r="S159" s="183"/>
      <c r="T159" s="183"/>
      <c r="U159" s="55"/>
      <c r="V159" s="55"/>
    </row>
    <row r="160" spans="1:22" x14ac:dyDescent="0.3">
      <c r="A160" s="203" t="s">
        <v>329</v>
      </c>
      <c r="B160" s="206"/>
      <c r="C160" s="206"/>
      <c r="D160" s="206"/>
      <c r="E160" s="206"/>
      <c r="F160" s="206"/>
      <c r="G160" s="206"/>
      <c r="H160" s="206"/>
      <c r="I160" s="206"/>
      <c r="J160" s="206"/>
      <c r="K160" s="206"/>
      <c r="L160" s="206"/>
      <c r="M160" s="206"/>
      <c r="N160" s="206"/>
      <c r="O160" s="206"/>
      <c r="P160" s="183"/>
      <c r="Q160" s="183"/>
      <c r="R160" s="183"/>
      <c r="S160" s="183"/>
      <c r="T160" s="183"/>
      <c r="U160" s="55"/>
      <c r="V160" s="55"/>
    </row>
    <row r="161" spans="1:22" x14ac:dyDescent="0.3">
      <c r="A161" s="183"/>
      <c r="B161" s="227"/>
      <c r="C161" s="228"/>
      <c r="D161" s="227"/>
      <c r="E161" s="227"/>
      <c r="F161" s="227"/>
      <c r="G161" s="227"/>
      <c r="H161" s="183"/>
      <c r="I161" s="183"/>
      <c r="J161" s="227"/>
      <c r="K161" s="227"/>
      <c r="L161" s="227"/>
      <c r="M161" s="227"/>
      <c r="N161" s="228"/>
      <c r="O161" s="228"/>
      <c r="P161" s="228"/>
      <c r="Q161" s="228"/>
      <c r="R161" s="55"/>
      <c r="S161" s="183"/>
      <c r="T161" s="183"/>
      <c r="U161" s="55"/>
      <c r="V161" s="55"/>
    </row>
    <row r="162" spans="1:22" x14ac:dyDescent="0.3">
      <c r="A162" s="55"/>
      <c r="B162" s="55"/>
      <c r="C162" s="500" t="str">
        <f t="shared" ref="C162" si="47">$F$148</f>
        <v>Mme. Lukong Claris</v>
      </c>
      <c r="D162" s="500"/>
      <c r="E162" s="213"/>
      <c r="F162" s="183"/>
      <c r="G162" s="183"/>
      <c r="H162" s="183"/>
      <c r="I162" s="183"/>
      <c r="J162" s="183"/>
      <c r="K162" s="183"/>
      <c r="L162" s="183"/>
      <c r="M162" s="183"/>
      <c r="N162" s="183" t="str">
        <f>$F$152</f>
        <v>Mr Nkwa Felix</v>
      </c>
      <c r="O162" s="183"/>
      <c r="P162" s="183"/>
      <c r="Q162" s="183"/>
      <c r="R162" s="55"/>
      <c r="S162" s="55"/>
      <c r="T162" s="55"/>
      <c r="U162" s="55"/>
      <c r="V162" s="55"/>
    </row>
    <row r="163" spans="1:22" x14ac:dyDescent="0.3">
      <c r="A163" s="55"/>
      <c r="B163" s="55"/>
      <c r="C163" s="283"/>
      <c r="D163" s="283"/>
      <c r="E163" s="213"/>
      <c r="F163" s="183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55"/>
      <c r="S163" s="55"/>
      <c r="T163" s="55"/>
      <c r="U163" s="55"/>
      <c r="V163" s="55"/>
    </row>
    <row r="164" spans="1:22" x14ac:dyDescent="0.3">
      <c r="A164" s="55"/>
      <c r="B164" s="55"/>
      <c r="C164" s="283"/>
      <c r="D164" s="283"/>
      <c r="E164" s="213"/>
      <c r="F164" s="183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55"/>
      <c r="S164" s="55"/>
      <c r="T164" s="55"/>
      <c r="U164" s="55"/>
      <c r="V164" s="55"/>
    </row>
    <row r="165" spans="1:22" x14ac:dyDescent="0.3">
      <c r="A165" s="55"/>
      <c r="B165" s="55"/>
      <c r="C165" s="211"/>
      <c r="D165" s="211"/>
      <c r="E165" s="213"/>
      <c r="F165" s="183"/>
      <c r="G165" s="183"/>
      <c r="H165" s="183"/>
      <c r="I165" s="183"/>
      <c r="J165" s="183"/>
      <c r="K165" s="55"/>
      <c r="L165" s="55"/>
      <c r="M165" s="55"/>
      <c r="N165" s="55"/>
      <c r="O165" s="55"/>
      <c r="P165" s="183"/>
      <c r="Q165" s="183"/>
      <c r="R165" s="183"/>
      <c r="S165" s="183"/>
      <c r="T165" s="183"/>
      <c r="U165" s="183"/>
      <c r="V165" s="55"/>
    </row>
    <row r="166" spans="1:22" x14ac:dyDescent="0.3">
      <c r="A166" s="55"/>
      <c r="B166" s="55"/>
      <c r="C166" s="282" t="s">
        <v>352</v>
      </c>
      <c r="D166" s="211"/>
      <c r="E166" s="213"/>
      <c r="F166" s="183"/>
      <c r="G166" s="212" t="s">
        <v>343</v>
      </c>
      <c r="H166" s="212"/>
      <c r="I166" s="212"/>
      <c r="J166" s="212"/>
      <c r="K166" s="55"/>
      <c r="L166" s="55"/>
      <c r="M166" s="55"/>
      <c r="N166" s="55"/>
      <c r="O166" s="55"/>
      <c r="P166" s="183"/>
      <c r="Q166" s="183"/>
      <c r="R166" s="183"/>
      <c r="S166" s="183"/>
      <c r="T166" s="183"/>
      <c r="U166" s="183"/>
      <c r="V166" s="55"/>
    </row>
    <row r="167" spans="1:22" x14ac:dyDescent="0.3">
      <c r="A167" s="55"/>
      <c r="B167" s="55"/>
      <c r="C167" s="283" t="s">
        <v>353</v>
      </c>
      <c r="D167" s="211"/>
      <c r="E167" s="213"/>
      <c r="F167" s="183"/>
      <c r="G167" s="181" t="s">
        <v>338</v>
      </c>
      <c r="H167" s="183"/>
      <c r="I167" s="183"/>
      <c r="J167" s="183"/>
      <c r="K167" s="55"/>
      <c r="L167" s="55"/>
      <c r="M167" s="55"/>
      <c r="N167" s="55"/>
      <c r="O167" s="55"/>
      <c r="P167" s="183"/>
      <c r="Q167" s="183"/>
      <c r="R167" s="183"/>
      <c r="S167" s="183"/>
      <c r="T167" s="183"/>
      <c r="U167" s="183"/>
      <c r="V167" s="55"/>
    </row>
    <row r="168" spans="1:22" x14ac:dyDescent="0.3">
      <c r="A168" s="55"/>
      <c r="B168" s="55"/>
      <c r="C168" s="211"/>
      <c r="D168" s="211"/>
      <c r="E168" s="213"/>
      <c r="F168" s="183"/>
      <c r="G168" s="183"/>
      <c r="H168" s="183"/>
      <c r="I168" s="183"/>
      <c r="J168" s="183"/>
      <c r="K168" s="55"/>
      <c r="L168" s="55"/>
      <c r="M168" s="55"/>
      <c r="N168" s="55"/>
      <c r="O168" s="55"/>
      <c r="P168" s="183"/>
      <c r="Q168" s="183"/>
      <c r="R168" s="183"/>
      <c r="S168" s="183"/>
      <c r="T168" s="183"/>
      <c r="U168" s="183"/>
      <c r="V168" s="55"/>
    </row>
    <row r="169" spans="1:22" x14ac:dyDescent="0.3">
      <c r="A169" s="55"/>
      <c r="B169" s="55"/>
      <c r="C169" s="211"/>
      <c r="D169" s="211"/>
      <c r="E169" s="213"/>
      <c r="F169" s="227"/>
      <c r="G169" s="227"/>
      <c r="H169" s="183"/>
      <c r="I169" s="183"/>
      <c r="J169" s="183"/>
      <c r="K169" s="183"/>
      <c r="L169" s="183"/>
      <c r="M169" s="183"/>
      <c r="N169" s="55"/>
      <c r="O169" s="55"/>
      <c r="P169" s="55"/>
      <c r="Q169" s="55"/>
      <c r="R169" s="55"/>
      <c r="S169" s="183"/>
      <c r="T169" s="183"/>
      <c r="U169" s="183"/>
      <c r="V169" s="55"/>
    </row>
    <row r="170" spans="1:22" x14ac:dyDescent="0.3">
      <c r="A170" s="55"/>
      <c r="B170" s="55"/>
      <c r="C170" s="211"/>
      <c r="D170" s="211"/>
      <c r="E170" s="213"/>
      <c r="F170" s="183"/>
      <c r="G170" s="183"/>
      <c r="H170" s="183"/>
      <c r="I170" s="183"/>
      <c r="M170" s="183"/>
      <c r="N170" s="55"/>
      <c r="O170" s="55"/>
      <c r="P170" s="55"/>
      <c r="Q170" s="55"/>
      <c r="R170" s="55"/>
      <c r="S170" s="183"/>
      <c r="T170" s="183"/>
      <c r="U170" s="183"/>
      <c r="V170" s="55"/>
    </row>
    <row r="171" spans="1:22" x14ac:dyDescent="0.3">
      <c r="A171" s="55"/>
      <c r="B171" s="55"/>
      <c r="C171" s="211"/>
      <c r="D171" s="211"/>
      <c r="E171" s="213"/>
      <c r="F171" s="55"/>
      <c r="G171" s="183"/>
      <c r="H171" s="183"/>
      <c r="I171" s="183"/>
      <c r="M171" s="183"/>
      <c r="N171" s="55"/>
      <c r="O171" s="55"/>
      <c r="P171" s="55"/>
      <c r="Q171" s="55"/>
      <c r="R171" s="55"/>
      <c r="S171" s="183"/>
      <c r="T171" s="183"/>
      <c r="U171" s="183"/>
      <c r="V171" s="55"/>
    </row>
    <row r="178" spans="1:22" ht="17.399999999999999" x14ac:dyDescent="0.3">
      <c r="A178" s="183"/>
      <c r="B178" s="183"/>
      <c r="C178" s="484" t="s">
        <v>302</v>
      </c>
      <c r="D178" s="484"/>
      <c r="E178" s="484"/>
      <c r="F178" s="484"/>
      <c r="G178" s="484"/>
      <c r="H178" s="484"/>
      <c r="I178" s="484"/>
      <c r="J178" s="484"/>
      <c r="K178" s="484"/>
      <c r="L178" s="484"/>
      <c r="M178" s="484"/>
      <c r="N178" s="484"/>
      <c r="O178" s="484"/>
      <c r="P178" s="484"/>
      <c r="Q178" s="183"/>
      <c r="R178" s="183"/>
      <c r="S178" s="183"/>
      <c r="T178" s="183"/>
      <c r="U178" s="183"/>
      <c r="V178" s="55"/>
    </row>
    <row r="179" spans="1:22" x14ac:dyDescent="0.3">
      <c r="A179" s="183"/>
      <c r="B179" s="183"/>
      <c r="C179" s="183"/>
      <c r="D179" s="183"/>
      <c r="E179" s="183"/>
      <c r="F179" s="183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3"/>
      <c r="V179" s="55"/>
    </row>
    <row r="180" spans="1:22" x14ac:dyDescent="0.3">
      <c r="A180" s="184" t="s">
        <v>303</v>
      </c>
      <c r="B180" s="55"/>
      <c r="C180" s="184" t="s">
        <v>304</v>
      </c>
      <c r="D180" s="184"/>
      <c r="E180" s="184"/>
      <c r="F180" s="184"/>
      <c r="G180" s="185"/>
      <c r="H180" s="185"/>
      <c r="I180" s="185"/>
      <c r="J180" s="185"/>
      <c r="K180" s="55"/>
      <c r="L180" s="185" t="s">
        <v>344</v>
      </c>
      <c r="M180" s="55"/>
      <c r="N180" s="185"/>
      <c r="O180" s="185"/>
      <c r="P180" s="185"/>
      <c r="Q180" s="55"/>
      <c r="R180" s="55"/>
      <c r="S180" s="55"/>
      <c r="T180" s="55"/>
      <c r="U180" s="55"/>
      <c r="V180" s="55"/>
    </row>
    <row r="181" spans="1:22" ht="15.6" x14ac:dyDescent="0.3">
      <c r="A181" s="55"/>
      <c r="B181" s="55"/>
      <c r="C181" s="184"/>
      <c r="D181" s="184"/>
      <c r="E181" s="184"/>
      <c r="F181" s="184"/>
      <c r="G181" s="186"/>
      <c r="H181" s="186"/>
      <c r="I181" s="186"/>
      <c r="J181" s="186"/>
      <c r="K181" s="55"/>
      <c r="L181" s="184" t="s">
        <v>306</v>
      </c>
      <c r="M181" s="55"/>
      <c r="N181" s="184"/>
      <c r="O181" s="184"/>
      <c r="P181" s="186"/>
      <c r="Q181" s="186"/>
      <c r="R181" s="55"/>
      <c r="S181" s="55"/>
      <c r="T181" s="55"/>
      <c r="U181" s="55"/>
      <c r="V181" s="55"/>
    </row>
    <row r="182" spans="1:22" ht="15.6" x14ac:dyDescent="0.3">
      <c r="A182" s="187" t="s">
        <v>307</v>
      </c>
      <c r="B182" s="55"/>
      <c r="C182" s="55"/>
      <c r="D182" s="55"/>
      <c r="E182" s="55"/>
      <c r="F182" s="55"/>
      <c r="G182" s="34"/>
      <c r="H182" s="34"/>
      <c r="I182" s="34"/>
      <c r="J182" s="34"/>
      <c r="K182" s="55"/>
      <c r="L182" s="485" t="s">
        <v>1930</v>
      </c>
      <c r="M182" s="485"/>
      <c r="N182" s="485"/>
      <c r="O182" s="485"/>
      <c r="P182" s="485"/>
      <c r="Q182" s="34"/>
      <c r="R182" s="55"/>
      <c r="S182" s="55"/>
      <c r="T182" s="55"/>
      <c r="U182" s="55"/>
      <c r="V182" s="55"/>
    </row>
    <row r="183" spans="1:22" ht="15.6" x14ac:dyDescent="0.3">
      <c r="A183" s="55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55"/>
      <c r="S183" s="55"/>
      <c r="T183" s="55"/>
      <c r="U183" s="55"/>
      <c r="V183" s="55"/>
    </row>
    <row r="184" spans="1:22" x14ac:dyDescent="0.3">
      <c r="A184" s="55"/>
      <c r="B184" s="55"/>
      <c r="C184" s="486" t="s">
        <v>308</v>
      </c>
      <c r="D184" s="486"/>
      <c r="E184" s="486"/>
      <c r="F184" s="486"/>
      <c r="G184" s="486"/>
      <c r="H184" s="486"/>
      <c r="I184" s="486"/>
      <c r="J184" s="486"/>
      <c r="K184" s="486"/>
      <c r="L184" s="486"/>
      <c r="M184" s="486"/>
      <c r="N184" s="486"/>
      <c r="O184" s="486"/>
      <c r="P184" s="486"/>
      <c r="Q184" s="55"/>
      <c r="R184" s="55"/>
      <c r="S184" s="55"/>
      <c r="T184" s="55"/>
      <c r="U184" s="55"/>
      <c r="V184" s="55"/>
    </row>
    <row r="185" spans="1:22" x14ac:dyDescent="0.3">
      <c r="A185" s="472" t="s">
        <v>309</v>
      </c>
      <c r="B185" s="472" t="s">
        <v>310</v>
      </c>
      <c r="C185" s="472" t="s">
        <v>311</v>
      </c>
      <c r="D185" s="472" t="s">
        <v>312</v>
      </c>
      <c r="E185" s="472" t="s">
        <v>313</v>
      </c>
      <c r="F185" s="472" t="s">
        <v>314</v>
      </c>
      <c r="G185" s="473" t="s">
        <v>315</v>
      </c>
      <c r="H185" s="476" t="s">
        <v>316</v>
      </c>
      <c r="I185" s="477"/>
      <c r="J185" s="477"/>
      <c r="K185" s="478"/>
      <c r="L185" s="479" t="s">
        <v>317</v>
      </c>
      <c r="M185" s="479" t="s">
        <v>318</v>
      </c>
      <c r="N185" s="476" t="s">
        <v>316</v>
      </c>
      <c r="O185" s="477"/>
      <c r="P185" s="477"/>
      <c r="Q185" s="477"/>
      <c r="R185" s="477"/>
      <c r="S185" s="477"/>
      <c r="T185" s="477"/>
      <c r="U185" s="478"/>
      <c r="V185" s="55"/>
    </row>
    <row r="186" spans="1:22" x14ac:dyDescent="0.3">
      <c r="A186" s="472"/>
      <c r="B186" s="472"/>
      <c r="C186" s="472"/>
      <c r="D186" s="472"/>
      <c r="E186" s="472"/>
      <c r="F186" s="472"/>
      <c r="G186" s="474"/>
      <c r="H186" s="188" t="s">
        <v>319</v>
      </c>
      <c r="I186" s="188" t="s">
        <v>320</v>
      </c>
      <c r="J186" s="188" t="s">
        <v>321</v>
      </c>
      <c r="K186" s="188" t="s">
        <v>322</v>
      </c>
      <c r="L186" s="480"/>
      <c r="M186" s="480"/>
      <c r="N186" s="190" t="s">
        <v>28</v>
      </c>
      <c r="O186" s="190" t="s">
        <v>29</v>
      </c>
      <c r="P186" s="190" t="s">
        <v>30</v>
      </c>
      <c r="Q186" s="190" t="s">
        <v>31</v>
      </c>
      <c r="R186" s="190" t="s">
        <v>32</v>
      </c>
      <c r="S186" s="190" t="s">
        <v>33</v>
      </c>
      <c r="T186" s="190" t="s">
        <v>34</v>
      </c>
      <c r="U186" s="190" t="s">
        <v>35</v>
      </c>
      <c r="V186" s="55"/>
    </row>
    <row r="187" spans="1:22" ht="31.2" x14ac:dyDescent="0.3">
      <c r="A187" s="191">
        <v>1</v>
      </c>
      <c r="B187" s="155" t="str">
        <f>'[1]level one'!$C$245</f>
        <v>ECO1101H</v>
      </c>
      <c r="C187" s="155" t="str">
        <f>'[1]level one'!$C$246</f>
        <v>Principles of Micro-economics</v>
      </c>
      <c r="D187" s="193">
        <f>'[1]level one'!$C$247</f>
        <v>2</v>
      </c>
      <c r="E187" s="193" t="s">
        <v>32</v>
      </c>
      <c r="F187" s="193" t="s">
        <v>1933</v>
      </c>
      <c r="G187" s="194"/>
      <c r="H187" s="155">
        <f>'FBMS-HND LEVEL ONE'!$O$375</f>
        <v>54</v>
      </c>
      <c r="I187" s="155">
        <f>'FBMS-HND LEVEL ONE'!$O$376</f>
        <v>54</v>
      </c>
      <c r="J187" s="155">
        <f>'FBMS-HND LEVEL ONE'!$O$378</f>
        <v>44</v>
      </c>
      <c r="K187" s="155">
        <f>'FBMS-HND LEVEL ONE'!$O$380</f>
        <v>10</v>
      </c>
      <c r="L187" s="195">
        <f t="shared" ref="L187:L191" si="48">J187/I187*100</f>
        <v>81.481481481481481</v>
      </c>
      <c r="M187" s="195">
        <f>K187/I187*100</f>
        <v>18.518518518518519</v>
      </c>
      <c r="N187" s="196">
        <f>'FBMS-HND LEVEL ONE'!O386</f>
        <v>8</v>
      </c>
      <c r="O187" s="196">
        <f>'FBMS-HND LEVEL ONE'!P386</f>
        <v>7</v>
      </c>
      <c r="P187" s="196">
        <f>'FBMS-HND LEVEL ONE'!Q386</f>
        <v>13</v>
      </c>
      <c r="Q187" s="196">
        <f>'FBMS-HND LEVEL ONE'!R386</f>
        <v>7</v>
      </c>
      <c r="R187" s="196">
        <f>'FBMS-HND LEVEL ONE'!S386</f>
        <v>9</v>
      </c>
      <c r="S187" s="196">
        <f>'FBMS-HND LEVEL ONE'!T386</f>
        <v>3</v>
      </c>
      <c r="T187" s="196">
        <f>'FBMS-HND LEVEL ONE'!U386</f>
        <v>3</v>
      </c>
      <c r="U187" s="196">
        <f>'FBMS-HND LEVEL ONE'!V386</f>
        <v>4</v>
      </c>
      <c r="V187" s="55">
        <f>SUM(N187:U187)</f>
        <v>54</v>
      </c>
    </row>
    <row r="188" spans="1:22" ht="46.8" x14ac:dyDescent="0.3">
      <c r="A188" s="197">
        <v>2</v>
      </c>
      <c r="B188" s="155" t="str">
        <f>'[1]level one'!$C$349</f>
        <v>ECO1102H</v>
      </c>
      <c r="C188" s="155" t="str">
        <f>'[1]level one'!$C$350</f>
        <v>Statuistics and Business Mathematicss</v>
      </c>
      <c r="D188" s="193">
        <f>'[1]level one'!$C$351</f>
        <v>2</v>
      </c>
      <c r="E188" s="193" t="s">
        <v>32</v>
      </c>
      <c r="F188" s="219" t="s">
        <v>364</v>
      </c>
      <c r="G188" s="194"/>
      <c r="H188" s="196">
        <f>'FBMS-HND LEVEL ONE'!$O$529</f>
        <v>56</v>
      </c>
      <c r="I188" s="196">
        <f>'FBMS-HND LEVEL ONE'!$O$530</f>
        <v>55</v>
      </c>
      <c r="J188" s="196">
        <f>'FBMS-HND LEVEL ONE'!$O$532</f>
        <v>43</v>
      </c>
      <c r="K188" s="196">
        <f>'FBMS-HND LEVEL ONE'!$O$534</f>
        <v>12</v>
      </c>
      <c r="L188" s="195">
        <f t="shared" si="48"/>
        <v>78.181818181818187</v>
      </c>
      <c r="M188" s="195">
        <f t="shared" ref="M188:M191" si="49">K188/I188*100</f>
        <v>21.818181818181817</v>
      </c>
      <c r="N188" s="196">
        <f>'FBMS-HND LEVEL ONE'!O541</f>
        <v>5</v>
      </c>
      <c r="O188" s="196">
        <f>'FBMS-HND LEVEL ONE'!P541</f>
        <v>7</v>
      </c>
      <c r="P188" s="196">
        <f>'FBMS-HND LEVEL ONE'!Q541</f>
        <v>14</v>
      </c>
      <c r="Q188" s="196">
        <f>'FBMS-HND LEVEL ONE'!R541</f>
        <v>6</v>
      </c>
      <c r="R188" s="196">
        <f>'FBMS-HND LEVEL ONE'!S541</f>
        <v>11</v>
      </c>
      <c r="S188" s="196">
        <f>'FBMS-HND LEVEL ONE'!T541</f>
        <v>1</v>
      </c>
      <c r="T188" s="196">
        <f>'FBMS-HND LEVEL ONE'!U541</f>
        <v>4</v>
      </c>
      <c r="U188" s="196">
        <f>'FBMS-HND LEVEL ONE'!V541</f>
        <v>7</v>
      </c>
      <c r="V188" s="55">
        <f t="shared" ref="V188:V191" si="50">SUM(N188:U188)</f>
        <v>55</v>
      </c>
    </row>
    <row r="189" spans="1:22" ht="31.2" x14ac:dyDescent="0.3">
      <c r="A189" s="197"/>
      <c r="B189" s="155" t="s">
        <v>186</v>
      </c>
      <c r="C189" s="155" t="s">
        <v>185</v>
      </c>
      <c r="D189" s="193">
        <v>2</v>
      </c>
      <c r="E189" s="193" t="s">
        <v>32</v>
      </c>
      <c r="F189" s="193" t="s">
        <v>1934</v>
      </c>
      <c r="G189" s="194"/>
      <c r="H189" s="196">
        <f>'FBMS-HND LEVEL ONE'!$O$453</f>
        <v>54</v>
      </c>
      <c r="I189" s="196">
        <f>'FBMS-HND LEVEL ONE'!$O$454</f>
        <v>54</v>
      </c>
      <c r="J189" s="196">
        <f>'FBMS-HND LEVEL ONE'!$O$456</f>
        <v>53</v>
      </c>
      <c r="K189" s="196">
        <f>'FBMS-HND LEVEL ONE'!$O$458</f>
        <v>1</v>
      </c>
      <c r="L189" s="195">
        <f t="shared" si="48"/>
        <v>98.148148148148152</v>
      </c>
      <c r="M189" s="195">
        <f t="shared" si="49"/>
        <v>1.8518518518518516</v>
      </c>
      <c r="N189" s="196">
        <f>'FBMS-HND LEVEL ONE'!O465</f>
        <v>6</v>
      </c>
      <c r="O189" s="196">
        <f>'FBMS-HND LEVEL ONE'!P465</f>
        <v>7</v>
      </c>
      <c r="P189" s="196">
        <f>'FBMS-HND LEVEL ONE'!Q465</f>
        <v>16</v>
      </c>
      <c r="Q189" s="196">
        <f>'FBMS-HND LEVEL ONE'!R465</f>
        <v>10</v>
      </c>
      <c r="R189" s="196">
        <f>'FBMS-HND LEVEL ONE'!S465</f>
        <v>14</v>
      </c>
      <c r="S189" s="196">
        <f>'FBMS-HND LEVEL ONE'!T465</f>
        <v>1</v>
      </c>
      <c r="T189" s="196">
        <f>'FBMS-HND LEVEL ONE'!U465</f>
        <v>0</v>
      </c>
      <c r="U189" s="196">
        <f>'FBMS-HND LEVEL ONE'!V465</f>
        <v>0</v>
      </c>
      <c r="V189" s="55">
        <f t="shared" si="50"/>
        <v>54</v>
      </c>
    </row>
    <row r="190" spans="1:22" ht="31.2" x14ac:dyDescent="0.3">
      <c r="A190" s="191">
        <v>3</v>
      </c>
      <c r="B190" s="155" t="str">
        <f>'[1]level two'!$C$70</f>
        <v>ECO 2102H</v>
      </c>
      <c r="C190" s="155" t="str">
        <f>'[1]level two'!$C$71</f>
        <v>Statistics &amp; business Mathematics III</v>
      </c>
      <c r="D190" s="193">
        <f>'[1]level two'!$C$72</f>
        <v>2</v>
      </c>
      <c r="E190" s="193" t="s">
        <v>32</v>
      </c>
      <c r="F190" s="193" t="s">
        <v>1936</v>
      </c>
      <c r="G190" s="194"/>
      <c r="H190" s="196">
        <f>'FBMS-HND LEVEL TWO'!$O$148</f>
        <v>51</v>
      </c>
      <c r="I190" s="196">
        <f>'FBMS-HND LEVEL TWO'!$O$149</f>
        <v>49</v>
      </c>
      <c r="J190" s="196">
        <f>'FBMS-HND LEVEL TWO'!$O$151</f>
        <v>49</v>
      </c>
      <c r="K190" s="196">
        <f>'FBMS-HND LEVEL TWO'!$O$153</f>
        <v>0</v>
      </c>
      <c r="L190" s="195">
        <f t="shared" si="48"/>
        <v>100</v>
      </c>
      <c r="M190" s="195">
        <f t="shared" si="49"/>
        <v>0</v>
      </c>
      <c r="N190" s="196">
        <f>'FBMS-HND LEVEL TWO'!O158</f>
        <v>2</v>
      </c>
      <c r="O190" s="196">
        <f>'FBMS-HND LEVEL TWO'!P158</f>
        <v>13</v>
      </c>
      <c r="P190" s="196">
        <f>'FBMS-HND LEVEL TWO'!Q158</f>
        <v>25</v>
      </c>
      <c r="Q190" s="196">
        <f>'FBMS-HND LEVEL TWO'!R158</f>
        <v>8</v>
      </c>
      <c r="R190" s="196">
        <f>'FBMS-HND LEVEL TWO'!S158</f>
        <v>1</v>
      </c>
      <c r="S190" s="196">
        <f>'FBMS-HND LEVEL TWO'!T158</f>
        <v>0</v>
      </c>
      <c r="T190" s="196">
        <f>'FBMS-HND LEVEL TWO'!U158</f>
        <v>0</v>
      </c>
      <c r="U190" s="196">
        <f>'FBMS-HND LEVEL TWO'!V158</f>
        <v>0</v>
      </c>
      <c r="V190" s="55">
        <f t="shared" si="50"/>
        <v>49</v>
      </c>
    </row>
    <row r="191" spans="1:22" ht="31.2" x14ac:dyDescent="0.3">
      <c r="A191" s="197">
        <v>4</v>
      </c>
      <c r="B191" s="155" t="str">
        <f>'[1]level two'!$C$207</f>
        <v>ECO 2101H</v>
      </c>
      <c r="C191" s="155" t="str">
        <f>'[1]level two'!$C$208</f>
        <v>Managerial Economics</v>
      </c>
      <c r="D191" s="193">
        <f>'[1]level two'!$C$209</f>
        <v>2</v>
      </c>
      <c r="E191" s="193" t="s">
        <v>32</v>
      </c>
      <c r="F191" s="193" t="s">
        <v>1933</v>
      </c>
      <c r="G191" s="194"/>
      <c r="H191" s="196">
        <f>'FBMS-HND LEVEL TWO'!$O$421</f>
        <v>49</v>
      </c>
      <c r="I191" s="196">
        <f>'FBMS-HND LEVEL TWO'!$O$422</f>
        <v>47</v>
      </c>
      <c r="J191" s="196">
        <f>'FBMS-HND LEVEL TWO'!$O$424</f>
        <v>46</v>
      </c>
      <c r="K191" s="196">
        <f>'FBMS-HND LEVEL TWO'!$O$426</f>
        <v>1</v>
      </c>
      <c r="L191" s="195">
        <f t="shared" si="48"/>
        <v>97.872340425531917</v>
      </c>
      <c r="M191" s="195">
        <f t="shared" si="49"/>
        <v>2.1276595744680851</v>
      </c>
      <c r="N191" s="196">
        <f>'FBMS-HND LEVEL TWO'!O433</f>
        <v>15</v>
      </c>
      <c r="O191" s="196">
        <f>'FBMS-HND LEVEL TWO'!P433</f>
        <v>13</v>
      </c>
      <c r="P191" s="196">
        <f>'FBMS-HND LEVEL TWO'!Q433</f>
        <v>9</v>
      </c>
      <c r="Q191" s="196">
        <f>'FBMS-HND LEVEL TWO'!R433</f>
        <v>4</v>
      </c>
      <c r="R191" s="196">
        <f>'FBMS-HND LEVEL TWO'!S433</f>
        <v>5</v>
      </c>
      <c r="S191" s="196">
        <f>'FBMS-HND LEVEL TWO'!T433</f>
        <v>0</v>
      </c>
      <c r="T191" s="196">
        <f>'FBMS-HND LEVEL TWO'!U433</f>
        <v>0</v>
      </c>
      <c r="U191" s="196">
        <f>'FBMS-HND LEVEL TWO'!V433</f>
        <v>1</v>
      </c>
      <c r="V191" s="55">
        <f t="shared" si="50"/>
        <v>47</v>
      </c>
    </row>
    <row r="192" spans="1:22" x14ac:dyDescent="0.3">
      <c r="A192" s="199"/>
      <c r="B192" s="199"/>
      <c r="C192" s="487" t="s">
        <v>323</v>
      </c>
      <c r="D192" s="488"/>
      <c r="E192" s="488"/>
      <c r="F192" s="489"/>
      <c r="G192" s="199"/>
      <c r="H192" s="200">
        <f>SUM(H187:H191)</f>
        <v>264</v>
      </c>
      <c r="I192" s="200">
        <f>SUM(I187:I191)</f>
        <v>259</v>
      </c>
      <c r="J192" s="200">
        <f>SUM(J187:J191)</f>
        <v>235</v>
      </c>
      <c r="K192" s="200">
        <f>SUM(K187:K191)</f>
        <v>24</v>
      </c>
      <c r="L192" s="201">
        <f>J192/I192*100</f>
        <v>90.733590733590731</v>
      </c>
      <c r="M192" s="201">
        <f>K192/I192*100</f>
        <v>9.2664092664092657</v>
      </c>
      <c r="N192" s="200">
        <f t="shared" ref="N192:T192" si="51">SUM(N187:N191)</f>
        <v>36</v>
      </c>
      <c r="O192" s="200">
        <f t="shared" si="51"/>
        <v>47</v>
      </c>
      <c r="P192" s="200">
        <f t="shared" si="51"/>
        <v>77</v>
      </c>
      <c r="Q192" s="200">
        <f t="shared" si="51"/>
        <v>35</v>
      </c>
      <c r="R192" s="200">
        <f t="shared" si="51"/>
        <v>40</v>
      </c>
      <c r="S192" s="200">
        <f t="shared" si="51"/>
        <v>5</v>
      </c>
      <c r="T192" s="200">
        <f t="shared" si="51"/>
        <v>7</v>
      </c>
      <c r="U192" s="200">
        <f t="shared" ref="U192" si="52">SUM(U187:U191)</f>
        <v>12</v>
      </c>
      <c r="V192" s="55">
        <f t="shared" ref="V192" si="53">SUM(N192:U192)</f>
        <v>259</v>
      </c>
    </row>
    <row r="193" spans="1:22" x14ac:dyDescent="0.3">
      <c r="A193" s="183"/>
      <c r="B193" s="490" t="s">
        <v>324</v>
      </c>
      <c r="C193" s="490"/>
      <c r="D193" s="490"/>
      <c r="E193" s="490"/>
      <c r="F193" s="490"/>
      <c r="G193" s="490"/>
      <c r="H193" s="490"/>
      <c r="I193" s="490"/>
      <c r="J193" s="490"/>
      <c r="K193" s="490"/>
      <c r="L193" s="490"/>
      <c r="M193" s="490"/>
      <c r="N193" s="490"/>
      <c r="O193" s="490"/>
      <c r="P193" s="490"/>
      <c r="Q193" s="490"/>
      <c r="R193" s="490"/>
      <c r="S193" s="490"/>
      <c r="T193" s="490"/>
      <c r="U193" s="490"/>
      <c r="V193" s="55"/>
    </row>
    <row r="194" spans="1:22" x14ac:dyDescent="0.3">
      <c r="A194" s="183"/>
      <c r="B194" s="202"/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02"/>
      <c r="P194" s="202"/>
      <c r="Q194" s="202"/>
      <c r="R194" s="202"/>
      <c r="S194" s="202"/>
      <c r="T194" s="202"/>
      <c r="U194" s="55"/>
      <c r="V194" s="55"/>
    </row>
    <row r="195" spans="1:22" x14ac:dyDescent="0.3">
      <c r="A195" s="183"/>
      <c r="B195" s="203" t="s">
        <v>325</v>
      </c>
      <c r="C195" s="204"/>
      <c r="D195" s="491">
        <f t="shared" ref="D195" si="54">$I$192</f>
        <v>259</v>
      </c>
      <c r="E195" s="491"/>
      <c r="F195" s="205"/>
      <c r="G195" s="205"/>
      <c r="H195" s="205"/>
      <c r="I195" s="483" t="s">
        <v>326</v>
      </c>
      <c r="J195" s="483"/>
      <c r="K195" s="483"/>
      <c r="L195" s="483"/>
      <c r="M195" s="483"/>
      <c r="N195" s="491">
        <f t="shared" ref="N195" si="55">$K$192</f>
        <v>24</v>
      </c>
      <c r="O195" s="491"/>
      <c r="P195" s="183"/>
      <c r="Q195" s="183"/>
      <c r="R195" s="183"/>
      <c r="S195" s="183"/>
      <c r="T195" s="183"/>
      <c r="U195" s="55"/>
      <c r="V195" s="55"/>
    </row>
    <row r="196" spans="1:22" x14ac:dyDescent="0.3">
      <c r="A196" s="183"/>
      <c r="B196" s="483"/>
      <c r="C196" s="483"/>
      <c r="D196" s="483"/>
      <c r="E196" s="483"/>
      <c r="F196" s="206"/>
      <c r="G196" s="206"/>
      <c r="H196" s="206"/>
      <c r="I196" s="55"/>
      <c r="J196" s="55"/>
      <c r="K196" s="55"/>
      <c r="L196" s="55"/>
      <c r="M196" s="55"/>
      <c r="N196" s="483"/>
      <c r="O196" s="483"/>
      <c r="P196" s="183"/>
      <c r="Q196" s="183"/>
      <c r="R196" s="183"/>
      <c r="S196" s="183"/>
      <c r="T196" s="183"/>
      <c r="U196" s="55"/>
      <c r="V196" s="55"/>
    </row>
    <row r="197" spans="1:22" x14ac:dyDescent="0.3">
      <c r="A197" s="183"/>
      <c r="B197" s="483" t="s">
        <v>327</v>
      </c>
      <c r="C197" s="483"/>
      <c r="D197" s="491">
        <f t="shared" ref="D197" si="56">$J$192</f>
        <v>235</v>
      </c>
      <c r="E197" s="491"/>
      <c r="F197" s="206"/>
      <c r="G197" s="206"/>
      <c r="H197" s="206"/>
      <c r="I197" s="481" t="s">
        <v>328</v>
      </c>
      <c r="J197" s="482"/>
      <c r="K197" s="482"/>
      <c r="L197" s="482"/>
      <c r="M197" s="208">
        <f>$L$192</f>
        <v>90.733590733590731</v>
      </c>
      <c r="N197" s="492"/>
      <c r="O197" s="492"/>
      <c r="P197" s="183"/>
      <c r="Q197" s="183"/>
      <c r="R197" s="183"/>
      <c r="S197" s="183"/>
      <c r="T197" s="183"/>
      <c r="U197" s="55"/>
      <c r="V197" s="55"/>
    </row>
    <row r="198" spans="1:22" x14ac:dyDescent="0.3">
      <c r="A198" s="183"/>
      <c r="B198" s="206"/>
      <c r="C198" s="206"/>
      <c r="D198" s="206"/>
      <c r="E198" s="206"/>
      <c r="F198" s="206"/>
      <c r="G198" s="206"/>
      <c r="H198" s="206"/>
      <c r="I198" s="483"/>
      <c r="J198" s="483"/>
      <c r="K198" s="483"/>
      <c r="L198" s="483"/>
      <c r="M198" s="483"/>
      <c r="N198" s="209"/>
      <c r="O198" s="206"/>
      <c r="P198" s="183"/>
      <c r="Q198" s="183"/>
      <c r="R198" s="183"/>
      <c r="S198" s="183"/>
      <c r="T198" s="183"/>
      <c r="U198" s="55"/>
      <c r="V198" s="55"/>
    </row>
    <row r="199" spans="1:22" x14ac:dyDescent="0.3">
      <c r="A199" s="203" t="s">
        <v>329</v>
      </c>
      <c r="B199" s="206"/>
      <c r="C199" s="206"/>
      <c r="D199" s="206"/>
      <c r="E199" s="420"/>
      <c r="F199" s="420"/>
      <c r="G199" s="206"/>
      <c r="H199" s="206"/>
      <c r="I199" s="206"/>
      <c r="J199" s="206"/>
      <c r="K199" s="206"/>
      <c r="L199" s="206"/>
      <c r="M199" s="206"/>
      <c r="N199" s="206"/>
      <c r="O199" s="206"/>
      <c r="P199" s="183"/>
      <c r="Q199" s="183"/>
      <c r="R199" s="183"/>
      <c r="S199" s="183"/>
      <c r="T199" s="183"/>
      <c r="U199" s="55"/>
      <c r="V199" s="55"/>
    </row>
    <row r="200" spans="1:22" x14ac:dyDescent="0.3">
      <c r="A200" s="183"/>
      <c r="B200" s="206"/>
      <c r="C200" s="210"/>
      <c r="D200" s="206"/>
      <c r="E200" s="183"/>
      <c r="F200" s="183"/>
      <c r="G200" s="206"/>
      <c r="H200" s="206"/>
      <c r="I200" s="206"/>
      <c r="J200" s="206"/>
      <c r="K200" s="210"/>
      <c r="L200" s="210"/>
      <c r="M200" s="210"/>
      <c r="N200" s="206"/>
      <c r="O200" s="206"/>
      <c r="P200" s="183"/>
      <c r="Q200" s="183"/>
      <c r="R200" s="183"/>
      <c r="S200" s="183"/>
      <c r="T200" s="183"/>
      <c r="U200" s="55"/>
      <c r="V200" s="55"/>
    </row>
    <row r="201" spans="1:22" x14ac:dyDescent="0.3">
      <c r="A201" s="55"/>
      <c r="B201" s="55"/>
      <c r="C201" s="211" t="str">
        <f>$F$187</f>
        <v>Mr Kedju Robert Nembo</v>
      </c>
      <c r="D201" s="211"/>
      <c r="E201" s="183"/>
      <c r="F201" s="183"/>
      <c r="G201" s="183"/>
      <c r="H201" s="183"/>
      <c r="I201" s="183"/>
      <c r="J201" s="183"/>
      <c r="K201" s="213" t="s">
        <v>1937</v>
      </c>
      <c r="L201" s="211" t="str">
        <f t="shared" ref="L201" si="57">$F$190</f>
        <v>Mr Ghondo charles</v>
      </c>
      <c r="M201" s="211"/>
      <c r="N201" s="211"/>
      <c r="O201" s="183"/>
      <c r="P201" s="183"/>
      <c r="Q201" s="183"/>
      <c r="R201" s="183"/>
      <c r="S201" s="183"/>
      <c r="T201" s="183"/>
      <c r="U201" s="183"/>
      <c r="V201" s="55"/>
    </row>
    <row r="202" spans="1:22" x14ac:dyDescent="0.3">
      <c r="A202" s="55"/>
      <c r="B202" s="55"/>
      <c r="C202" s="283"/>
      <c r="D202" s="283"/>
      <c r="E202" s="55"/>
      <c r="F202" s="55"/>
      <c r="G202" s="183"/>
      <c r="H202" s="183"/>
      <c r="I202" s="183"/>
      <c r="J202" s="183"/>
      <c r="K202" s="213"/>
      <c r="L202" s="283"/>
      <c r="M202" s="283"/>
      <c r="N202" s="283"/>
      <c r="O202" s="183"/>
      <c r="P202" s="183"/>
      <c r="Q202" s="183"/>
      <c r="R202" s="183"/>
      <c r="S202" s="183"/>
      <c r="T202" s="183"/>
      <c r="U202" s="183"/>
      <c r="V202" s="55"/>
    </row>
    <row r="203" spans="1:22" x14ac:dyDescent="0.3">
      <c r="A203" s="55"/>
      <c r="B203" s="55"/>
      <c r="C203" s="283"/>
      <c r="D203" s="283"/>
      <c r="E203" s="55"/>
      <c r="F203" s="55"/>
      <c r="G203" s="183"/>
      <c r="H203" s="183"/>
      <c r="I203" s="183"/>
      <c r="J203" s="183"/>
      <c r="K203" s="213"/>
      <c r="L203" s="283"/>
      <c r="M203" s="283"/>
      <c r="N203" s="283"/>
      <c r="O203" s="183"/>
      <c r="P203" s="183"/>
      <c r="Q203" s="183"/>
      <c r="R203" s="183"/>
      <c r="S203" s="183"/>
      <c r="T203" s="183"/>
      <c r="U203" s="183"/>
      <c r="V203" s="55"/>
    </row>
    <row r="204" spans="1:22" x14ac:dyDescent="0.3">
      <c r="A204" s="211"/>
      <c r="B204" s="211"/>
      <c r="C204" s="211"/>
      <c r="D204" s="211"/>
      <c r="E204" s="210"/>
      <c r="F204" s="210"/>
      <c r="G204" s="183"/>
      <c r="H204" s="183"/>
      <c r="I204" s="183"/>
      <c r="J204" s="183"/>
      <c r="K204" s="211"/>
      <c r="L204" s="211"/>
      <c r="M204" s="211"/>
      <c r="N204" s="211"/>
      <c r="O204" s="183"/>
      <c r="P204" s="183"/>
      <c r="Q204" s="183"/>
      <c r="R204" s="183"/>
      <c r="S204" s="183"/>
      <c r="T204" s="183"/>
      <c r="U204" s="183"/>
      <c r="V204" s="55"/>
    </row>
    <row r="205" spans="1:22" x14ac:dyDescent="0.3">
      <c r="A205" s="211"/>
      <c r="B205" s="211"/>
      <c r="C205" s="282" t="s">
        <v>352</v>
      </c>
      <c r="D205" s="211"/>
      <c r="E205" s="55" t="s">
        <v>330</v>
      </c>
      <c r="F205" s="55" t="s">
        <v>345</v>
      </c>
      <c r="G205" s="183"/>
      <c r="H205" s="183"/>
      <c r="I205" s="183"/>
      <c r="J205" s="183"/>
      <c r="K205" s="211"/>
      <c r="L205" s="211"/>
      <c r="M205" s="211"/>
      <c r="N205" s="211"/>
      <c r="O205" s="183"/>
      <c r="P205" s="183"/>
      <c r="Q205" s="183"/>
      <c r="R205" s="183"/>
      <c r="S205" s="183"/>
      <c r="T205" s="183"/>
      <c r="U205" s="183"/>
      <c r="V205" s="55"/>
    </row>
    <row r="206" spans="1:22" x14ac:dyDescent="0.3">
      <c r="A206" s="183"/>
      <c r="B206" s="183"/>
      <c r="C206" s="283" t="s">
        <v>353</v>
      </c>
      <c r="D206" s="211"/>
      <c r="E206" s="181"/>
      <c r="F206" s="181" t="s">
        <v>332</v>
      </c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3"/>
      <c r="V206" s="55"/>
    </row>
  </sheetData>
  <mergeCells count="149">
    <mergeCell ref="L114:P114"/>
    <mergeCell ref="I132:L132"/>
    <mergeCell ref="O132:S132"/>
    <mergeCell ref="L143:P143"/>
    <mergeCell ref="L182:P182"/>
    <mergeCell ref="C1:P1"/>
    <mergeCell ref="C7:P7"/>
    <mergeCell ref="A8:A9"/>
    <mergeCell ref="B8:B9"/>
    <mergeCell ref="C8:C9"/>
    <mergeCell ref="D8:D9"/>
    <mergeCell ref="E8:E9"/>
    <mergeCell ref="F8:F9"/>
    <mergeCell ref="G8:G9"/>
    <mergeCell ref="H8:K8"/>
    <mergeCell ref="L5:P5"/>
    <mergeCell ref="B21:C21"/>
    <mergeCell ref="D21:E21"/>
    <mergeCell ref="N21:O21"/>
    <mergeCell ref="B22:C22"/>
    <mergeCell ref="D22:E22"/>
    <mergeCell ref="N22:O22"/>
    <mergeCell ref="L8:L9"/>
    <mergeCell ref="M8:M9"/>
    <mergeCell ref="N8:U8"/>
    <mergeCell ref="C17:F17"/>
    <mergeCell ref="B18:U18"/>
    <mergeCell ref="D20:E20"/>
    <mergeCell ref="I20:M20"/>
    <mergeCell ref="N20:O20"/>
    <mergeCell ref="I23:L23"/>
    <mergeCell ref="I24:M24"/>
    <mergeCell ref="C44:P44"/>
    <mergeCell ref="C50:P50"/>
    <mergeCell ref="A51:A52"/>
    <mergeCell ref="B51:B52"/>
    <mergeCell ref="C51:C52"/>
    <mergeCell ref="D51:D52"/>
    <mergeCell ref="E51:E52"/>
    <mergeCell ref="F51:F52"/>
    <mergeCell ref="L48:P48"/>
    <mergeCell ref="B62:U62"/>
    <mergeCell ref="D64:E64"/>
    <mergeCell ref="I64:M64"/>
    <mergeCell ref="N64:O64"/>
    <mergeCell ref="B65:C65"/>
    <mergeCell ref="D65:E65"/>
    <mergeCell ref="N65:O65"/>
    <mergeCell ref="G51:G52"/>
    <mergeCell ref="H51:K51"/>
    <mergeCell ref="L51:L52"/>
    <mergeCell ref="M51:M52"/>
    <mergeCell ref="N51:U51"/>
    <mergeCell ref="C61:F61"/>
    <mergeCell ref="I66:L66"/>
    <mergeCell ref="C78:Q78"/>
    <mergeCell ref="C82:P82"/>
    <mergeCell ref="A83:A84"/>
    <mergeCell ref="B83:B84"/>
    <mergeCell ref="C83:C84"/>
    <mergeCell ref="D83:D84"/>
    <mergeCell ref="E83:E84"/>
    <mergeCell ref="F83:F84"/>
    <mergeCell ref="G83:G84"/>
    <mergeCell ref="L81:P81"/>
    <mergeCell ref="B95:C95"/>
    <mergeCell ref="D95:E95"/>
    <mergeCell ref="N95:O95"/>
    <mergeCell ref="I96:L96"/>
    <mergeCell ref="C98:D98"/>
    <mergeCell ref="C111:P111"/>
    <mergeCell ref="H83:K83"/>
    <mergeCell ref="N83:U83"/>
    <mergeCell ref="C91:F91"/>
    <mergeCell ref="B92:T92"/>
    <mergeCell ref="D94:E94"/>
    <mergeCell ref="I94:M94"/>
    <mergeCell ref="N94:O94"/>
    <mergeCell ref="C115:P115"/>
    <mergeCell ref="A116:A117"/>
    <mergeCell ref="B116:B117"/>
    <mergeCell ref="C116:C117"/>
    <mergeCell ref="D116:D117"/>
    <mergeCell ref="E116:E117"/>
    <mergeCell ref="F116:F117"/>
    <mergeCell ref="G116:G117"/>
    <mergeCell ref="H116:K116"/>
    <mergeCell ref="L116:L117"/>
    <mergeCell ref="B128:C128"/>
    <mergeCell ref="D128:E128"/>
    <mergeCell ref="N128:O128"/>
    <mergeCell ref="B129:C129"/>
    <mergeCell ref="D129:E129"/>
    <mergeCell ref="N129:O129"/>
    <mergeCell ref="M116:M117"/>
    <mergeCell ref="N116:U116"/>
    <mergeCell ref="C124:F124"/>
    <mergeCell ref="B125:U125"/>
    <mergeCell ref="D127:E127"/>
    <mergeCell ref="I127:M127"/>
    <mergeCell ref="N127:O127"/>
    <mergeCell ref="I130:M130"/>
    <mergeCell ref="C139:Q139"/>
    <mergeCell ref="C145:P145"/>
    <mergeCell ref="A146:A147"/>
    <mergeCell ref="B146:B147"/>
    <mergeCell ref="C146:C147"/>
    <mergeCell ref="D146:D147"/>
    <mergeCell ref="E146:E147"/>
    <mergeCell ref="F146:F147"/>
    <mergeCell ref="G146:G147"/>
    <mergeCell ref="B158:C158"/>
    <mergeCell ref="D158:E158"/>
    <mergeCell ref="N158:O158"/>
    <mergeCell ref="I159:M159"/>
    <mergeCell ref="C162:D162"/>
    <mergeCell ref="C178:P178"/>
    <mergeCell ref="H146:K146"/>
    <mergeCell ref="N146:U146"/>
    <mergeCell ref="C155:F155"/>
    <mergeCell ref="B156:T156"/>
    <mergeCell ref="D157:E157"/>
    <mergeCell ref="I157:M157"/>
    <mergeCell ref="N157:O157"/>
    <mergeCell ref="C184:P184"/>
    <mergeCell ref="A185:A186"/>
    <mergeCell ref="B185:B186"/>
    <mergeCell ref="C185:C186"/>
    <mergeCell ref="D185:D186"/>
    <mergeCell ref="E185:E186"/>
    <mergeCell ref="F185:F186"/>
    <mergeCell ref="G185:G186"/>
    <mergeCell ref="H185:K185"/>
    <mergeCell ref="L185:L186"/>
    <mergeCell ref="I198:M198"/>
    <mergeCell ref="B196:C196"/>
    <mergeCell ref="D196:E196"/>
    <mergeCell ref="N196:O196"/>
    <mergeCell ref="B197:C197"/>
    <mergeCell ref="D197:E197"/>
    <mergeCell ref="I197:L197"/>
    <mergeCell ref="N197:O197"/>
    <mergeCell ref="M185:M186"/>
    <mergeCell ref="N185:U185"/>
    <mergeCell ref="C192:F192"/>
    <mergeCell ref="B193:U193"/>
    <mergeCell ref="D195:E195"/>
    <mergeCell ref="I195:M195"/>
    <mergeCell ref="N195:O195"/>
  </mergeCells>
  <pageMargins left="0.7" right="0.7" top="0.75" bottom="0.75" header="0.3" footer="0.3"/>
  <pageSetup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D204"/>
  <sheetViews>
    <sheetView topLeftCell="BG158" zoomScale="85" zoomScaleNormal="85" workbookViewId="0">
      <selection activeCell="S265" sqref="S265"/>
    </sheetView>
  </sheetViews>
  <sheetFormatPr defaultRowHeight="14.4" x14ac:dyDescent="0.3"/>
  <cols>
    <col min="1" max="1" width="4" customWidth="1"/>
    <col min="2" max="2" width="8.88671875" hidden="1" customWidth="1"/>
    <col min="3" max="3" width="37.33203125" bestFit="1" customWidth="1"/>
    <col min="4" max="4" width="8.88671875" customWidth="1"/>
    <col min="5" max="6" width="4.5546875" bestFit="1" customWidth="1"/>
    <col min="7" max="7" width="4.88671875" customWidth="1"/>
    <col min="8" max="8" width="5.6640625" bestFit="1" customWidth="1"/>
    <col min="9" max="9" width="5.6640625" customWidth="1"/>
    <col min="10" max="10" width="4.5546875" bestFit="1" customWidth="1"/>
    <col min="11" max="11" width="5.109375" bestFit="1" customWidth="1"/>
    <col min="12" max="12" width="4.109375" bestFit="1" customWidth="1"/>
    <col min="13" max="13" width="5.6640625" bestFit="1" customWidth="1"/>
    <col min="14" max="14" width="5.5546875" customWidth="1"/>
    <col min="15" max="15" width="5.33203125" customWidth="1"/>
    <col min="16" max="16" width="3.88671875" customWidth="1"/>
    <col min="17" max="17" width="4.109375" bestFit="1" customWidth="1"/>
    <col min="18" max="18" width="4.33203125" customWidth="1"/>
    <col min="19" max="19" width="7" customWidth="1"/>
    <col min="20" max="21" width="4.5546875" bestFit="1" customWidth="1"/>
    <col min="22" max="22" width="4.109375" bestFit="1" customWidth="1"/>
    <col min="23" max="23" width="5.6640625" bestFit="1" customWidth="1"/>
    <col min="24" max="24" width="6.109375" customWidth="1"/>
    <col min="25" max="26" width="4.5546875" bestFit="1" customWidth="1"/>
    <col min="27" max="27" width="4.109375" bestFit="1" customWidth="1"/>
    <col min="28" max="28" width="5.6640625" bestFit="1" customWidth="1"/>
    <col min="29" max="29" width="6.33203125" customWidth="1"/>
    <col min="30" max="30" width="4.5546875" bestFit="1" customWidth="1"/>
    <col min="31" max="31" width="5.109375" bestFit="1" customWidth="1"/>
    <col min="32" max="32" width="4.109375" bestFit="1" customWidth="1"/>
    <col min="33" max="33" width="5.6640625" bestFit="1" customWidth="1"/>
    <col min="34" max="34" width="5.88671875" customWidth="1"/>
    <col min="35" max="35" width="3.5546875" customWidth="1"/>
    <col min="36" max="36" width="3.109375" customWidth="1"/>
    <col min="37" max="37" width="3.88671875" customWidth="1"/>
    <col min="38" max="38" width="4" customWidth="1"/>
    <col min="39" max="39" width="6.109375" customWidth="1"/>
    <col min="40" max="40" width="3.5546875" customWidth="1"/>
    <col min="41" max="41" width="3.109375" customWidth="1"/>
    <col min="42" max="42" width="3.5546875" customWidth="1"/>
    <col min="43" max="43" width="4" customWidth="1"/>
    <col min="44" max="44" width="5.6640625" customWidth="1"/>
    <col min="45" max="45" width="3.6640625" customWidth="1"/>
    <col min="46" max="46" width="3.109375" customWidth="1"/>
    <col min="47" max="47" width="3.44140625" customWidth="1"/>
    <col min="48" max="48" width="3.33203125" customWidth="1"/>
    <col min="49" max="49" width="6.109375" customWidth="1"/>
    <col min="50" max="50" width="3.6640625" customWidth="1"/>
    <col min="51" max="51" width="3.109375" customWidth="1"/>
    <col min="52" max="52" width="3.6640625" customWidth="1"/>
    <col min="53" max="53" width="3.5546875" customWidth="1"/>
    <col min="54" max="54" width="5.88671875" customWidth="1"/>
    <col min="55" max="55" width="3.44140625" customWidth="1"/>
    <col min="56" max="57" width="3.6640625" customWidth="1"/>
    <col min="58" max="58" width="3.109375" customWidth="1"/>
    <col min="59" max="59" width="5.44140625" customWidth="1"/>
    <col min="60" max="60" width="4" customWidth="1"/>
    <col min="61" max="61" width="3.44140625" customWidth="1"/>
    <col min="62" max="62" width="3.33203125" customWidth="1"/>
    <col min="63" max="63" width="3.5546875" customWidth="1"/>
    <col min="64" max="64" width="5.6640625" customWidth="1"/>
    <col min="65" max="65" width="3.5546875" customWidth="1"/>
    <col min="66" max="66" width="3.109375" customWidth="1"/>
    <col min="67" max="67" width="3.33203125" customWidth="1"/>
    <col min="68" max="68" width="3.5546875" customWidth="1"/>
    <col min="69" max="69" width="5.5546875" customWidth="1"/>
    <col min="70" max="70" width="3.5546875" customWidth="1"/>
    <col min="71" max="71" width="3.109375" customWidth="1"/>
    <col min="72" max="72" width="3.5546875" customWidth="1"/>
    <col min="73" max="73" width="4" customWidth="1"/>
    <col min="74" max="74" width="5.6640625" customWidth="1"/>
    <col min="75" max="75" width="3.33203125" customWidth="1"/>
    <col min="76" max="76" width="3.44140625" customWidth="1"/>
    <col min="77" max="77" width="3.6640625" customWidth="1"/>
    <col min="78" max="78" width="3.109375" customWidth="1"/>
    <col min="79" max="79" width="6.44140625" customWidth="1"/>
    <col min="80" max="81" width="3.109375" customWidth="1"/>
    <col min="82" max="82" width="5" customWidth="1"/>
    <col min="83" max="83" width="3.44140625" customWidth="1"/>
    <col min="84" max="84" width="7.109375" customWidth="1"/>
    <col min="85" max="85" width="3.5546875" customWidth="1"/>
    <col min="86" max="86" width="5.33203125" customWidth="1"/>
    <col min="87" max="87" width="3.5546875" customWidth="1"/>
    <col min="88" max="88" width="3.33203125" customWidth="1"/>
    <col min="89" max="89" width="7" customWidth="1"/>
    <col min="90" max="90" width="3.5546875" customWidth="1"/>
    <col min="91" max="92" width="3.33203125" customWidth="1"/>
    <col min="93" max="93" width="3.6640625" customWidth="1"/>
    <col min="94" max="94" width="5.88671875" customWidth="1"/>
    <col min="95" max="95" width="3.5546875" customWidth="1"/>
    <col min="96" max="97" width="3.33203125" customWidth="1"/>
    <col min="98" max="98" width="4.109375" customWidth="1"/>
    <col min="99" max="99" width="5.88671875" customWidth="1"/>
    <col min="100" max="100" width="3.5546875" customWidth="1"/>
    <col min="101" max="101" width="3.109375" customWidth="1"/>
    <col min="102" max="102" width="3.5546875" customWidth="1"/>
    <col min="103" max="103" width="4.109375" customWidth="1"/>
    <col min="104" max="104" width="5.6640625" customWidth="1"/>
    <col min="105" max="105" width="3.88671875" customWidth="1"/>
    <col min="106" max="106" width="3.33203125" customWidth="1"/>
    <col min="107" max="107" width="4" customWidth="1"/>
    <col min="108" max="108" width="3.44140625" customWidth="1"/>
    <col min="109" max="109" width="5.5546875" customWidth="1"/>
    <col min="110" max="110" width="3.5546875" customWidth="1"/>
    <col min="111" max="111" width="4.109375" customWidth="1"/>
    <col min="112" max="112" width="4.44140625" customWidth="1"/>
    <col min="113" max="113" width="3.88671875" customWidth="1"/>
    <col min="114" max="114" width="5.88671875" customWidth="1"/>
    <col min="115" max="115" width="4.109375" customWidth="1"/>
    <col min="116" max="117" width="3.6640625" customWidth="1"/>
    <col min="118" max="118" width="4.5546875" customWidth="1"/>
    <col min="119" max="119" width="7" customWidth="1"/>
    <col min="120" max="120" width="4.33203125" customWidth="1"/>
    <col min="121" max="121" width="4.109375" customWidth="1"/>
    <col min="122" max="122" width="3.6640625" customWidth="1"/>
    <col min="123" max="123" width="4.5546875" customWidth="1"/>
    <col min="124" max="124" width="5.33203125" customWidth="1"/>
    <col min="125" max="125" width="2.88671875" customWidth="1"/>
    <col min="126" max="127" width="3.33203125" customWidth="1"/>
    <col min="128" max="128" width="3.6640625" customWidth="1"/>
    <col min="129" max="129" width="4.109375" customWidth="1"/>
    <col min="130" max="130" width="4.44140625" customWidth="1"/>
    <col min="131" max="131" width="3.44140625" customWidth="1"/>
    <col min="132" max="133" width="4.44140625" customWidth="1"/>
    <col min="134" max="134" width="4.33203125" customWidth="1"/>
    <col min="135" max="140" width="9.109375" customWidth="1"/>
  </cols>
  <sheetData>
    <row r="1" spans="1:94" ht="15.6" x14ac:dyDescent="0.3">
      <c r="A1" s="242"/>
      <c r="B1" s="242"/>
      <c r="C1" s="242"/>
      <c r="D1" s="364"/>
      <c r="E1" s="242"/>
      <c r="F1" s="242"/>
      <c r="G1" s="242"/>
      <c r="H1" s="242"/>
      <c r="I1" s="513" t="s">
        <v>0</v>
      </c>
      <c r="J1" s="513"/>
      <c r="K1" s="513"/>
      <c r="L1" s="513"/>
      <c r="M1" s="513"/>
      <c r="N1" s="513"/>
      <c r="O1" s="513"/>
      <c r="P1" s="513"/>
      <c r="Q1" s="513"/>
      <c r="R1" s="513"/>
      <c r="S1" s="513"/>
      <c r="T1" s="513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</row>
    <row r="2" spans="1:94" ht="15.6" x14ac:dyDescent="0.3">
      <c r="A2" s="243"/>
      <c r="B2" s="243"/>
      <c r="C2" s="243"/>
      <c r="D2" s="243"/>
      <c r="E2" s="243"/>
      <c r="F2" s="243"/>
      <c r="G2" s="243"/>
      <c r="H2" s="243"/>
      <c r="I2" s="514" t="s">
        <v>267</v>
      </c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</row>
    <row r="3" spans="1:94" ht="15.6" x14ac:dyDescent="0.3">
      <c r="A3" s="513"/>
      <c r="B3" s="513"/>
      <c r="C3" s="513"/>
      <c r="D3" s="364"/>
      <c r="E3" s="242"/>
      <c r="F3" s="242"/>
      <c r="G3" s="242"/>
      <c r="H3" s="242"/>
      <c r="I3" s="513" t="s">
        <v>1954</v>
      </c>
      <c r="J3" s="513"/>
      <c r="K3" s="513"/>
      <c r="L3" s="513"/>
      <c r="M3" s="513"/>
      <c r="N3" s="513"/>
      <c r="O3" s="513"/>
      <c r="P3" s="513"/>
      <c r="Q3" s="513"/>
      <c r="R3" s="513"/>
      <c r="S3" s="513"/>
      <c r="T3" s="513"/>
      <c r="U3" s="242"/>
      <c r="V3" s="242"/>
      <c r="W3" s="242"/>
      <c r="X3" s="242"/>
      <c r="Y3" s="242"/>
      <c r="Z3" s="242"/>
      <c r="AA3" s="242"/>
      <c r="AB3" s="242"/>
      <c r="AC3" s="242"/>
      <c r="AD3" s="242"/>
      <c r="AE3" s="242"/>
      <c r="AF3" s="242"/>
      <c r="AG3" s="242"/>
      <c r="AH3" s="242"/>
      <c r="AJ3" s="187" t="s">
        <v>349</v>
      </c>
      <c r="AK3" s="10"/>
      <c r="AL3" s="55"/>
    </row>
    <row r="4" spans="1:94" ht="16.2" thickBot="1" x14ac:dyDescent="0.35">
      <c r="A4" s="244"/>
      <c r="B4" s="244"/>
      <c r="C4" s="244"/>
      <c r="D4" s="244"/>
      <c r="E4" s="244"/>
      <c r="F4" s="244"/>
      <c r="G4" s="525" t="s">
        <v>1953</v>
      </c>
      <c r="H4" s="525"/>
      <c r="I4" s="515" t="s">
        <v>529</v>
      </c>
      <c r="J4" s="515"/>
      <c r="K4" s="515"/>
      <c r="L4" s="515"/>
      <c r="M4" s="515"/>
      <c r="N4" s="515"/>
      <c r="O4" s="515"/>
      <c r="P4" s="515"/>
      <c r="Q4" s="515"/>
      <c r="R4" s="515"/>
      <c r="S4" s="515"/>
      <c r="T4" s="515"/>
      <c r="U4" s="244"/>
      <c r="V4" s="244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</row>
    <row r="5" spans="1:94" ht="15" thickBot="1" x14ac:dyDescent="0.35">
      <c r="A5" s="541" t="s">
        <v>8</v>
      </c>
      <c r="B5" s="544" t="s">
        <v>269</v>
      </c>
      <c r="C5" s="547" t="s">
        <v>270</v>
      </c>
      <c r="D5" s="522" t="s">
        <v>528</v>
      </c>
      <c r="H5" s="245"/>
      <c r="I5" s="245"/>
      <c r="J5" s="245"/>
      <c r="K5" s="245"/>
      <c r="L5" s="245"/>
      <c r="M5" s="245"/>
      <c r="N5" s="245"/>
      <c r="O5" s="253" t="s">
        <v>271</v>
      </c>
      <c r="P5" s="245"/>
      <c r="Q5" s="245"/>
      <c r="R5" s="245"/>
      <c r="S5" s="245"/>
      <c r="T5" s="245"/>
      <c r="U5" s="245"/>
      <c r="V5" s="245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6"/>
      <c r="AI5" s="526" t="s">
        <v>271</v>
      </c>
      <c r="AJ5" s="527"/>
      <c r="AK5" s="527"/>
      <c r="AL5" s="527"/>
      <c r="AM5" s="527"/>
      <c r="AN5" s="527"/>
      <c r="AO5" s="527"/>
      <c r="AP5" s="527"/>
      <c r="AQ5" s="527"/>
      <c r="AR5" s="527"/>
      <c r="AS5" s="527"/>
      <c r="AT5" s="527"/>
      <c r="AU5" s="527"/>
      <c r="AV5" s="527"/>
      <c r="AW5" s="527"/>
      <c r="AX5" s="527"/>
      <c r="AY5" s="527"/>
      <c r="AZ5" s="527"/>
      <c r="BA5" s="527"/>
      <c r="BB5" s="527"/>
      <c r="BC5" s="527"/>
      <c r="BD5" s="527"/>
      <c r="BE5" s="527"/>
      <c r="BF5" s="527"/>
      <c r="BG5" s="527"/>
      <c r="BH5" s="527"/>
      <c r="BI5" s="527"/>
      <c r="BJ5" s="527"/>
      <c r="BK5" s="527"/>
      <c r="BL5" s="527"/>
      <c r="BM5" s="527"/>
      <c r="BN5" s="527"/>
      <c r="BO5" s="527"/>
      <c r="BP5" s="527"/>
      <c r="BQ5" s="528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6"/>
    </row>
    <row r="6" spans="1:94" ht="15" customHeight="1" x14ac:dyDescent="0.3">
      <c r="A6" s="542"/>
      <c r="B6" s="545"/>
      <c r="C6" s="548"/>
      <c r="D6" s="523"/>
      <c r="E6" s="550" t="s">
        <v>523</v>
      </c>
      <c r="F6" s="550"/>
      <c r="G6" s="550"/>
      <c r="H6" s="550"/>
      <c r="I6" s="551"/>
      <c r="J6" s="552" t="s">
        <v>522</v>
      </c>
      <c r="K6" s="550"/>
      <c r="L6" s="550"/>
      <c r="M6" s="550"/>
      <c r="N6" s="551"/>
      <c r="O6" s="552" t="s">
        <v>521</v>
      </c>
      <c r="P6" s="550"/>
      <c r="Q6" s="550"/>
      <c r="R6" s="550"/>
      <c r="S6" s="551"/>
      <c r="T6" s="552" t="s">
        <v>520</v>
      </c>
      <c r="U6" s="550"/>
      <c r="V6" s="550"/>
      <c r="W6" s="550"/>
      <c r="X6" s="551"/>
      <c r="Y6" s="552" t="s">
        <v>519</v>
      </c>
      <c r="Z6" s="553"/>
      <c r="AA6" s="553"/>
      <c r="AB6" s="553"/>
      <c r="AC6" s="554"/>
      <c r="AD6" s="552" t="s">
        <v>518</v>
      </c>
      <c r="AE6" s="550"/>
      <c r="AF6" s="550"/>
      <c r="AG6" s="550"/>
      <c r="AH6" s="551"/>
      <c r="AI6" s="552" t="s">
        <v>517</v>
      </c>
      <c r="AJ6" s="550"/>
      <c r="AK6" s="550"/>
      <c r="AL6" s="550"/>
      <c r="AM6" s="551"/>
      <c r="AN6" s="529" t="s">
        <v>516</v>
      </c>
      <c r="AO6" s="530"/>
      <c r="AP6" s="530"/>
      <c r="AQ6" s="530"/>
      <c r="AR6" s="531"/>
      <c r="AS6" s="529" t="s">
        <v>515</v>
      </c>
      <c r="AT6" s="530"/>
      <c r="AU6" s="530"/>
      <c r="AV6" s="530"/>
      <c r="AW6" s="531"/>
      <c r="AX6" s="529" t="s">
        <v>1968</v>
      </c>
      <c r="AY6" s="530"/>
      <c r="AZ6" s="530"/>
      <c r="BA6" s="530"/>
      <c r="BB6" s="531"/>
      <c r="BC6" s="529" t="s">
        <v>514</v>
      </c>
      <c r="BD6" s="530"/>
      <c r="BE6" s="530"/>
      <c r="BF6" s="530"/>
      <c r="BG6" s="530"/>
      <c r="BH6" s="529" t="s">
        <v>513</v>
      </c>
      <c r="BI6" s="530"/>
      <c r="BJ6" s="530"/>
      <c r="BK6" s="530"/>
      <c r="BL6" s="530"/>
      <c r="BM6" s="529" t="s">
        <v>512</v>
      </c>
      <c r="BN6" s="530"/>
      <c r="BO6" s="530"/>
      <c r="BP6" s="530"/>
      <c r="BQ6" s="531"/>
    </row>
    <row r="7" spans="1:94" x14ac:dyDescent="0.3">
      <c r="A7" s="542"/>
      <c r="B7" s="545"/>
      <c r="C7" s="548"/>
      <c r="D7" s="523"/>
      <c r="E7" s="533"/>
      <c r="F7" s="533"/>
      <c r="G7" s="533"/>
      <c r="H7" s="533"/>
      <c r="I7" s="534"/>
      <c r="J7" s="532"/>
      <c r="K7" s="533"/>
      <c r="L7" s="533"/>
      <c r="M7" s="533"/>
      <c r="N7" s="534"/>
      <c r="O7" s="532"/>
      <c r="P7" s="533"/>
      <c r="Q7" s="533"/>
      <c r="R7" s="533"/>
      <c r="S7" s="534"/>
      <c r="T7" s="532"/>
      <c r="U7" s="533"/>
      <c r="V7" s="533"/>
      <c r="W7" s="533"/>
      <c r="X7" s="534"/>
      <c r="Y7" s="532"/>
      <c r="Z7" s="533"/>
      <c r="AA7" s="533"/>
      <c r="AB7" s="533"/>
      <c r="AC7" s="534"/>
      <c r="AD7" s="532"/>
      <c r="AE7" s="533"/>
      <c r="AF7" s="533"/>
      <c r="AG7" s="533"/>
      <c r="AH7" s="534"/>
      <c r="AI7" s="532"/>
      <c r="AJ7" s="533"/>
      <c r="AK7" s="533"/>
      <c r="AL7" s="533"/>
      <c r="AM7" s="534"/>
      <c r="AN7" s="532"/>
      <c r="AO7" s="533"/>
      <c r="AP7" s="533"/>
      <c r="AQ7" s="533"/>
      <c r="AR7" s="534"/>
      <c r="AS7" s="532"/>
      <c r="AT7" s="533"/>
      <c r="AU7" s="533"/>
      <c r="AV7" s="533"/>
      <c r="AW7" s="534"/>
      <c r="AX7" s="532"/>
      <c r="AY7" s="533"/>
      <c r="AZ7" s="533"/>
      <c r="BA7" s="533"/>
      <c r="BB7" s="534"/>
      <c r="BC7" s="532"/>
      <c r="BD7" s="533"/>
      <c r="BE7" s="533"/>
      <c r="BF7" s="533"/>
      <c r="BG7" s="533"/>
      <c r="BH7" s="532"/>
      <c r="BI7" s="533"/>
      <c r="BJ7" s="533"/>
      <c r="BK7" s="533"/>
      <c r="BL7" s="533"/>
      <c r="BM7" s="532"/>
      <c r="BN7" s="533"/>
      <c r="BO7" s="533"/>
      <c r="BP7" s="533"/>
      <c r="BQ7" s="534"/>
    </row>
    <row r="8" spans="1:94" ht="15" thickBot="1" x14ac:dyDescent="0.35">
      <c r="A8" s="543"/>
      <c r="B8" s="546"/>
      <c r="C8" s="549"/>
      <c r="D8" s="524"/>
      <c r="E8" s="107" t="s">
        <v>272</v>
      </c>
      <c r="F8" s="103" t="s">
        <v>273</v>
      </c>
      <c r="G8" s="104" t="s">
        <v>274</v>
      </c>
      <c r="H8" s="104" t="s">
        <v>275</v>
      </c>
      <c r="I8" s="106" t="s">
        <v>276</v>
      </c>
      <c r="J8" s="102" t="s">
        <v>272</v>
      </c>
      <c r="K8" s="104" t="s">
        <v>273</v>
      </c>
      <c r="L8" s="104" t="s">
        <v>274</v>
      </c>
      <c r="M8" s="104" t="s">
        <v>275</v>
      </c>
      <c r="N8" s="106" t="s">
        <v>276</v>
      </c>
      <c r="O8" s="102" t="s">
        <v>272</v>
      </c>
      <c r="P8" s="104" t="s">
        <v>273</v>
      </c>
      <c r="Q8" s="104" t="s">
        <v>274</v>
      </c>
      <c r="R8" s="104" t="s">
        <v>275</v>
      </c>
      <c r="S8" s="106" t="s">
        <v>276</v>
      </c>
      <c r="T8" s="102" t="s">
        <v>272</v>
      </c>
      <c r="U8" s="104" t="s">
        <v>273</v>
      </c>
      <c r="V8" s="104" t="s">
        <v>274</v>
      </c>
      <c r="W8" s="104" t="s">
        <v>275</v>
      </c>
      <c r="X8" s="106" t="s">
        <v>276</v>
      </c>
      <c r="Y8" s="102" t="s">
        <v>272</v>
      </c>
      <c r="Z8" s="103" t="s">
        <v>273</v>
      </c>
      <c r="AA8" s="103" t="s">
        <v>274</v>
      </c>
      <c r="AB8" s="103" t="s">
        <v>275</v>
      </c>
      <c r="AC8" s="249" t="s">
        <v>276</v>
      </c>
      <c r="AD8" s="102" t="s">
        <v>272</v>
      </c>
      <c r="AE8" s="104" t="s">
        <v>273</v>
      </c>
      <c r="AF8" s="104" t="s">
        <v>274</v>
      </c>
      <c r="AG8" s="104" t="s">
        <v>275</v>
      </c>
      <c r="AH8" s="106" t="s">
        <v>276</v>
      </c>
      <c r="AI8" s="102" t="s">
        <v>272</v>
      </c>
      <c r="AJ8" s="103" t="s">
        <v>273</v>
      </c>
      <c r="AK8" s="104" t="s">
        <v>274</v>
      </c>
      <c r="AL8" s="104" t="s">
        <v>275</v>
      </c>
      <c r="AM8" s="106" t="s">
        <v>276</v>
      </c>
      <c r="AN8" s="102" t="s">
        <v>272</v>
      </c>
      <c r="AO8" s="104" t="s">
        <v>273</v>
      </c>
      <c r="AP8" s="104" t="s">
        <v>274</v>
      </c>
      <c r="AQ8" s="104" t="s">
        <v>275</v>
      </c>
      <c r="AR8" s="106" t="s">
        <v>276</v>
      </c>
      <c r="AS8" s="107" t="s">
        <v>272</v>
      </c>
      <c r="AT8" s="104" t="s">
        <v>273</v>
      </c>
      <c r="AU8" s="104" t="s">
        <v>274</v>
      </c>
      <c r="AV8" s="104" t="s">
        <v>275</v>
      </c>
      <c r="AW8" s="105" t="s">
        <v>276</v>
      </c>
      <c r="AX8" s="102" t="s">
        <v>272</v>
      </c>
      <c r="AY8" s="104" t="s">
        <v>273</v>
      </c>
      <c r="AZ8" s="104" t="s">
        <v>274</v>
      </c>
      <c r="BA8" s="104" t="s">
        <v>275</v>
      </c>
      <c r="BB8" s="106" t="s">
        <v>276</v>
      </c>
      <c r="BC8" s="107" t="s">
        <v>272</v>
      </c>
      <c r="BD8" s="103" t="s">
        <v>273</v>
      </c>
      <c r="BE8" s="103" t="s">
        <v>274</v>
      </c>
      <c r="BF8" s="103" t="s">
        <v>275</v>
      </c>
      <c r="BG8" s="108" t="s">
        <v>276</v>
      </c>
      <c r="BH8" s="102" t="s">
        <v>272</v>
      </c>
      <c r="BI8" s="104" t="s">
        <v>273</v>
      </c>
      <c r="BJ8" s="104" t="s">
        <v>274</v>
      </c>
      <c r="BK8" s="104" t="s">
        <v>275</v>
      </c>
      <c r="BL8" s="105" t="s">
        <v>276</v>
      </c>
      <c r="BM8" s="102" t="s">
        <v>272</v>
      </c>
      <c r="BN8" s="104" t="s">
        <v>273</v>
      </c>
      <c r="BO8" s="104" t="s">
        <v>274</v>
      </c>
      <c r="BP8" s="104" t="s">
        <v>275</v>
      </c>
      <c r="BQ8" s="106" t="s">
        <v>276</v>
      </c>
    </row>
    <row r="9" spans="1:94" ht="15.6" x14ac:dyDescent="0.3">
      <c r="A9" s="109">
        <v>1</v>
      </c>
      <c r="B9" s="306" t="s">
        <v>431</v>
      </c>
      <c r="C9" s="307" t="s">
        <v>365</v>
      </c>
      <c r="D9" s="306" t="s">
        <v>431</v>
      </c>
      <c r="E9" s="110">
        <f>'FBMS-HND LEVEL ONE'!E12</f>
        <v>9</v>
      </c>
      <c r="F9" s="111">
        <f>'FBMS-HND LEVEL ONE'!F12</f>
        <v>21</v>
      </c>
      <c r="G9" s="112">
        <f>'FBMS-HND LEVEL ONE'!J12</f>
        <v>48</v>
      </c>
      <c r="H9" s="112">
        <f>'FBMS-HND LEVEL ONE'!K12</f>
        <v>78</v>
      </c>
      <c r="I9" s="114" t="str">
        <f>'FBMS-HND LEVEL ONE'!L12</f>
        <v>B+</v>
      </c>
      <c r="J9" s="113">
        <f>'FBMS-HND LEVEL ONE'!E81</f>
        <v>9</v>
      </c>
      <c r="K9" s="112">
        <f>'FBMS-HND LEVEL ONE'!F81</f>
        <v>26</v>
      </c>
      <c r="L9" s="112">
        <f>'FBMS-HND LEVEL ONE'!J81</f>
        <v>34</v>
      </c>
      <c r="M9" s="112">
        <f>'FBMS-HND LEVEL ONE'!K81</f>
        <v>69</v>
      </c>
      <c r="N9" s="114" t="str">
        <f>'FBMS-HND LEVEL ONE'!L81</f>
        <v>B</v>
      </c>
      <c r="O9" s="113">
        <f>'FBMS-HND LEVEL ONE'!E161</f>
        <v>10</v>
      </c>
      <c r="P9" s="112">
        <f>'FBMS-HND LEVEL ONE'!F161</f>
        <v>24.5</v>
      </c>
      <c r="Q9" s="112">
        <f>'FBMS-HND LEVEL ONE'!J161</f>
        <v>28</v>
      </c>
      <c r="R9" s="112">
        <f>'FBMS-HND LEVEL ONE'!K161</f>
        <v>62.5</v>
      </c>
      <c r="S9" s="114" t="str">
        <f>'FBMS-HND LEVEL ONE'!L161</f>
        <v>B</v>
      </c>
      <c r="T9" s="113">
        <f>'FBMS-HND LEVEL ONE'!E230</f>
        <v>10</v>
      </c>
      <c r="U9" s="112">
        <f>'FBMS-HND LEVEL ONE'!F230</f>
        <v>25</v>
      </c>
      <c r="V9" s="112">
        <f>'FBMS-HND LEVEL ONE'!J230</f>
        <v>33</v>
      </c>
      <c r="W9" s="112">
        <f>'FBMS-HND LEVEL ONE'!K230</f>
        <v>68</v>
      </c>
      <c r="X9" s="114" t="str">
        <f>'FBMS-HND LEVEL ONE'!L230</f>
        <v>B</v>
      </c>
      <c r="Y9" s="113">
        <f>'FBMS-HND LEVEL ONE'!E302</f>
        <v>10</v>
      </c>
      <c r="Z9" s="111">
        <f>'FBMS-HND LEVEL ONE'!F302</f>
        <v>16</v>
      </c>
      <c r="AA9" s="111">
        <f>'FBMS-HND LEVEL ONE'!J302</f>
        <v>30</v>
      </c>
      <c r="AB9" s="111">
        <f>'FBMS-HND LEVEL ONE'!K302</f>
        <v>56</v>
      </c>
      <c r="AC9" s="120" t="str">
        <f>'FBMS-HND LEVEL ONE'!L302</f>
        <v>C+</v>
      </c>
      <c r="AD9" s="113">
        <f>'FBMS-HND LEVEL ONE'!E373</f>
        <v>10</v>
      </c>
      <c r="AE9" s="112">
        <f>'FBMS-HND LEVEL ONE'!F373</f>
        <v>28</v>
      </c>
      <c r="AF9" s="171">
        <f>'FBMS-HND LEVEL ONE'!J373</f>
        <v>45</v>
      </c>
      <c r="AG9" s="171">
        <f>'FBMS-HND LEVEL ONE'!K373</f>
        <v>83</v>
      </c>
      <c r="AH9" s="177" t="str">
        <f>'FBMS-HND LEVEL ONE'!L373</f>
        <v>A</v>
      </c>
      <c r="AI9" s="110">
        <f>'FBMS-HND LEVEL ONE'!E451</f>
        <v>10</v>
      </c>
      <c r="AJ9" s="111">
        <f>'FBMS-HND LEVEL ONE'!F451</f>
        <v>27</v>
      </c>
      <c r="AK9" s="171">
        <f>'FBMS-HND LEVEL ONE'!J451</f>
        <v>34</v>
      </c>
      <c r="AL9" s="171">
        <f>'FBMS-HND LEVEL ONE'!K451</f>
        <v>71</v>
      </c>
      <c r="AM9" s="177" t="str">
        <f>'FBMS-HND LEVEL ONE'!L451</f>
        <v>B+</v>
      </c>
      <c r="AN9" s="113">
        <f>'FBMS-HND LEVEL ONE'!E527</f>
        <v>10</v>
      </c>
      <c r="AO9" s="112">
        <f>'FBMS-HND LEVEL ONE'!F527</f>
        <v>21</v>
      </c>
      <c r="AP9" s="112">
        <f>'FBMS-HND LEVEL ONE'!J527</f>
        <v>34</v>
      </c>
      <c r="AQ9" s="112">
        <f>'FBMS-HND LEVEL ONE'!K527</f>
        <v>65</v>
      </c>
      <c r="AR9" s="114" t="str">
        <f>'FBMS-HND LEVEL ONE'!L527</f>
        <v>B</v>
      </c>
      <c r="AS9" s="115">
        <f>'FBMS-HND LEVEL ONE'!E597</f>
        <v>10</v>
      </c>
      <c r="AT9" s="112">
        <f>'FBMS-HND LEVEL ONE'!F597</f>
        <v>16.5</v>
      </c>
      <c r="AU9" s="171">
        <f>'FBMS-HND LEVEL ONE'!J597</f>
        <v>50</v>
      </c>
      <c r="AV9" s="171">
        <f>'FBMS-HND LEVEL ONE'!K597</f>
        <v>76.5</v>
      </c>
      <c r="AW9" s="172" t="str">
        <f>'FBMS-HND LEVEL ONE'!L597</f>
        <v>B+</v>
      </c>
      <c r="AX9" s="113">
        <f>'FBMS-HND LEVEL ONE'!E668</f>
        <v>10</v>
      </c>
      <c r="AY9" s="112">
        <f>'FBMS-HND LEVEL ONE'!F668</f>
        <v>10</v>
      </c>
      <c r="AZ9" s="112">
        <f>'FBMS-HND LEVEL ONE'!J668</f>
        <v>53</v>
      </c>
      <c r="BA9" s="112">
        <f>'FBMS-HND LEVEL ONE'!K668</f>
        <v>73</v>
      </c>
      <c r="BB9" s="114" t="str">
        <f>'FBMS-HND LEVEL ONE'!L668</f>
        <v>B+</v>
      </c>
      <c r="BC9" s="115">
        <f>'FBMS-HND LEVEL ONE'!E743</f>
        <v>8</v>
      </c>
      <c r="BD9" s="111">
        <f>'FBMS-HND LEVEL ONE'!F743</f>
        <v>17</v>
      </c>
      <c r="BE9" s="111">
        <f>'FBMS-HND LEVEL ONE'!J743</f>
        <v>39</v>
      </c>
      <c r="BF9" s="111">
        <f>'FBMS-HND LEVEL ONE'!K743</f>
        <v>64</v>
      </c>
      <c r="BG9" s="111" t="str">
        <f>'FBMS-HND LEVEL ONE'!L743</f>
        <v>B</v>
      </c>
      <c r="BH9" s="113">
        <f>'FBMS-HND LEVEL ONE'!E811</f>
        <v>9</v>
      </c>
      <c r="BI9" s="112">
        <f>'FBMS-HND LEVEL ONE'!F811</f>
        <v>26</v>
      </c>
      <c r="BJ9" s="112">
        <f>'FBMS-HND LEVEL ONE'!J811</f>
        <v>45</v>
      </c>
      <c r="BK9" s="112">
        <f>'FBMS-HND LEVEL ONE'!K811</f>
        <v>80</v>
      </c>
      <c r="BL9" s="114" t="str">
        <f>'FBMS-HND LEVEL ONE'!L811</f>
        <v>A</v>
      </c>
      <c r="BM9" s="113">
        <f>'FBMS-HND LEVEL ONE'!E883</f>
        <v>10</v>
      </c>
      <c r="BN9" s="112">
        <f>'FBMS-HND LEVEL ONE'!F883</f>
        <v>17</v>
      </c>
      <c r="BO9" s="171">
        <f>'FBMS-HND LEVEL ONE'!J883</f>
        <v>42</v>
      </c>
      <c r="BP9" s="171">
        <f>'FBMS-HND LEVEL ONE'!K883</f>
        <v>69</v>
      </c>
      <c r="BQ9" s="177" t="str">
        <f>'FBMS-HND LEVEL ONE'!L883</f>
        <v>B</v>
      </c>
    </row>
    <row r="10" spans="1:94" ht="15.6" x14ac:dyDescent="0.3">
      <c r="A10" s="116">
        <v>2</v>
      </c>
      <c r="B10" s="306" t="s">
        <v>586</v>
      </c>
      <c r="C10" s="308" t="s">
        <v>366</v>
      </c>
      <c r="D10" s="306" t="s">
        <v>586</v>
      </c>
      <c r="E10" s="117">
        <f>'FBMS-HND LEVEL ONE'!E13</f>
        <v>10</v>
      </c>
      <c r="F10" s="111">
        <f>'FBMS-HND LEVEL ONE'!F13</f>
        <v>21</v>
      </c>
      <c r="G10" s="111">
        <f>'FBMS-HND LEVEL ONE'!J13</f>
        <v>43</v>
      </c>
      <c r="H10" s="112">
        <f>'FBMS-HND LEVEL ONE'!K13</f>
        <v>74</v>
      </c>
      <c r="I10" s="120" t="str">
        <f>'FBMS-HND LEVEL ONE'!L13</f>
        <v>B+</v>
      </c>
      <c r="J10" s="119">
        <f>'FBMS-HND LEVEL ONE'!E82</f>
        <v>10</v>
      </c>
      <c r="K10" s="111">
        <f>'FBMS-HND LEVEL ONE'!F82</f>
        <v>25</v>
      </c>
      <c r="L10" s="111">
        <f>'FBMS-HND LEVEL ONE'!J82</f>
        <v>38</v>
      </c>
      <c r="M10" s="111">
        <f>'FBMS-HND LEVEL ONE'!K82</f>
        <v>73</v>
      </c>
      <c r="N10" s="120" t="str">
        <f>'FBMS-HND LEVEL ONE'!L82</f>
        <v>B+</v>
      </c>
      <c r="O10" s="119">
        <f>'FBMS-HND LEVEL ONE'!E162</f>
        <v>10</v>
      </c>
      <c r="P10" s="111">
        <f>'FBMS-HND LEVEL ONE'!F162</f>
        <v>19.5</v>
      </c>
      <c r="Q10" s="111">
        <f>'FBMS-HND LEVEL ONE'!J162</f>
        <v>25</v>
      </c>
      <c r="R10" s="111">
        <f>'FBMS-HND LEVEL ONE'!K162</f>
        <v>54.5</v>
      </c>
      <c r="S10" s="120" t="str">
        <f>'FBMS-HND LEVEL ONE'!L162</f>
        <v>C</v>
      </c>
      <c r="T10" s="119">
        <f>'FBMS-HND LEVEL ONE'!E231</f>
        <v>10</v>
      </c>
      <c r="U10" s="111">
        <f>'FBMS-HND LEVEL ONE'!F231</f>
        <v>23</v>
      </c>
      <c r="V10" s="111">
        <f>'FBMS-HND LEVEL ONE'!J231</f>
        <v>40</v>
      </c>
      <c r="W10" s="111">
        <f>'FBMS-HND LEVEL ONE'!K231</f>
        <v>73</v>
      </c>
      <c r="X10" s="120" t="str">
        <f>'FBMS-HND LEVEL ONE'!L231</f>
        <v>B+</v>
      </c>
      <c r="Y10" s="119">
        <f>'FBMS-HND LEVEL ONE'!E303</f>
        <v>10</v>
      </c>
      <c r="Z10" s="111">
        <f>'FBMS-HND LEVEL ONE'!F303</f>
        <v>10</v>
      </c>
      <c r="AA10" s="111">
        <f>'FBMS-HND LEVEL ONE'!J303</f>
        <v>31</v>
      </c>
      <c r="AB10" s="111">
        <f>'FBMS-HND LEVEL ONE'!K303</f>
        <v>51</v>
      </c>
      <c r="AC10" s="120" t="str">
        <f>'FBMS-HND LEVEL ONE'!L303</f>
        <v>C</v>
      </c>
      <c r="AD10" s="119">
        <f>'FBMS-HND LEVEL ONE'!E374</f>
        <v>10</v>
      </c>
      <c r="AE10" s="111">
        <f>'FBMS-HND LEVEL ONE'!F374</f>
        <v>29</v>
      </c>
      <c r="AF10" s="173">
        <f>'FBMS-HND LEVEL ONE'!J374</f>
        <v>31</v>
      </c>
      <c r="AG10" s="173">
        <f>'FBMS-HND LEVEL ONE'!K374</f>
        <v>70</v>
      </c>
      <c r="AH10" s="178" t="str">
        <f>'FBMS-HND LEVEL ONE'!L374</f>
        <v>B+</v>
      </c>
      <c r="AI10" s="117">
        <f>'FBMS-HND LEVEL ONE'!E452</f>
        <v>10</v>
      </c>
      <c r="AJ10" s="111">
        <f>'FBMS-HND LEVEL ONE'!F452</f>
        <v>24</v>
      </c>
      <c r="AK10" s="173">
        <f>'FBMS-HND LEVEL ONE'!J452</f>
        <v>48</v>
      </c>
      <c r="AL10" s="171">
        <f>'FBMS-HND LEVEL ONE'!K452</f>
        <v>82</v>
      </c>
      <c r="AM10" s="178" t="str">
        <f>'FBMS-HND LEVEL ONE'!L452</f>
        <v>A</v>
      </c>
      <c r="AN10" s="119">
        <f>'FBMS-HND LEVEL ONE'!E528</f>
        <v>10</v>
      </c>
      <c r="AO10" s="111">
        <f>'FBMS-HND LEVEL ONE'!F528</f>
        <v>24</v>
      </c>
      <c r="AP10" s="111">
        <f>'FBMS-HND LEVEL ONE'!J528</f>
        <v>35</v>
      </c>
      <c r="AQ10" s="111">
        <f>'FBMS-HND LEVEL ONE'!K528</f>
        <v>69</v>
      </c>
      <c r="AR10" s="120" t="str">
        <f>'FBMS-HND LEVEL ONE'!L528</f>
        <v>B</v>
      </c>
      <c r="AS10" s="121">
        <f>'FBMS-HND LEVEL ONE'!E598</f>
        <v>10</v>
      </c>
      <c r="AT10" s="111">
        <f>'FBMS-HND LEVEL ONE'!F598</f>
        <v>18</v>
      </c>
      <c r="AU10" s="173">
        <f>'FBMS-HND LEVEL ONE'!J598</f>
        <v>44</v>
      </c>
      <c r="AV10" s="173">
        <f>'FBMS-HND LEVEL ONE'!K598</f>
        <v>72</v>
      </c>
      <c r="AW10" s="174" t="str">
        <f>'FBMS-HND LEVEL ONE'!L598</f>
        <v>B+</v>
      </c>
      <c r="AX10" s="119">
        <f>'FBMS-HND LEVEL ONE'!E669</f>
        <v>10</v>
      </c>
      <c r="AY10" s="111">
        <f>'FBMS-HND LEVEL ONE'!F669</f>
        <v>20</v>
      </c>
      <c r="AZ10" s="111">
        <f>'FBMS-HND LEVEL ONE'!J669</f>
        <v>48</v>
      </c>
      <c r="BA10" s="111">
        <f>'FBMS-HND LEVEL ONE'!K669</f>
        <v>78</v>
      </c>
      <c r="BB10" s="120" t="str">
        <f>'FBMS-HND LEVEL ONE'!L669</f>
        <v>B+</v>
      </c>
      <c r="BC10" s="121">
        <f>'FBMS-HND LEVEL ONE'!E744</f>
        <v>8</v>
      </c>
      <c r="BD10" s="111">
        <f>'FBMS-HND LEVEL ONE'!F744</f>
        <v>15</v>
      </c>
      <c r="BE10" s="111">
        <f>'FBMS-HND LEVEL ONE'!J744</f>
        <v>48</v>
      </c>
      <c r="BF10" s="111">
        <f>'FBMS-HND LEVEL ONE'!K744</f>
        <v>71</v>
      </c>
      <c r="BG10" s="111" t="str">
        <f>'FBMS-HND LEVEL ONE'!L744</f>
        <v>B+</v>
      </c>
      <c r="BH10" s="119">
        <f>'FBMS-HND LEVEL ONE'!E812</f>
        <v>10</v>
      </c>
      <c r="BI10" s="111">
        <f>'FBMS-HND LEVEL ONE'!F812</f>
        <v>24</v>
      </c>
      <c r="BJ10" s="111">
        <f>'FBMS-HND LEVEL ONE'!J812</f>
        <v>48</v>
      </c>
      <c r="BK10" s="111">
        <f>'FBMS-HND LEVEL ONE'!K812</f>
        <v>82</v>
      </c>
      <c r="BL10" s="120" t="str">
        <f>'FBMS-HND LEVEL ONE'!L812</f>
        <v>A</v>
      </c>
      <c r="BM10" s="119">
        <f>'FBMS-HND LEVEL ONE'!E884</f>
        <v>10</v>
      </c>
      <c r="BN10" s="111">
        <f>'FBMS-HND LEVEL ONE'!F884</f>
        <v>23</v>
      </c>
      <c r="BO10" s="173">
        <f>'FBMS-HND LEVEL ONE'!J884</f>
        <v>42</v>
      </c>
      <c r="BP10" s="173">
        <f>'FBMS-HND LEVEL ONE'!K884</f>
        <v>75</v>
      </c>
      <c r="BQ10" s="178" t="str">
        <f>'FBMS-HND LEVEL ONE'!L884</f>
        <v>B+</v>
      </c>
    </row>
    <row r="11" spans="1:94" ht="15.6" x14ac:dyDescent="0.3">
      <c r="A11" s="109">
        <v>3</v>
      </c>
      <c r="B11" s="306" t="s">
        <v>432</v>
      </c>
      <c r="C11" s="309" t="s">
        <v>367</v>
      </c>
      <c r="D11" s="306" t="s">
        <v>432</v>
      </c>
      <c r="E11" s="117">
        <f>'FBMS-HND LEVEL ONE'!E14</f>
        <v>10</v>
      </c>
      <c r="F11" s="111">
        <f>'FBMS-HND LEVEL ONE'!F14</f>
        <v>22</v>
      </c>
      <c r="G11" s="111">
        <f>'FBMS-HND LEVEL ONE'!J14</f>
        <v>42</v>
      </c>
      <c r="H11" s="112">
        <f>'FBMS-HND LEVEL ONE'!K14</f>
        <v>74</v>
      </c>
      <c r="I11" s="120" t="str">
        <f>'FBMS-HND LEVEL ONE'!L14</f>
        <v>B+</v>
      </c>
      <c r="J11" s="119">
        <f>'FBMS-HND LEVEL ONE'!E83</f>
        <v>10</v>
      </c>
      <c r="K11" s="111">
        <f>'FBMS-HND LEVEL ONE'!F83</f>
        <v>24.5</v>
      </c>
      <c r="L11" s="111">
        <f>'FBMS-HND LEVEL ONE'!J83</f>
        <v>22</v>
      </c>
      <c r="M11" s="111">
        <f>'FBMS-HND LEVEL ONE'!K83</f>
        <v>56.5</v>
      </c>
      <c r="N11" s="120" t="str">
        <f>'FBMS-HND LEVEL ONE'!L83</f>
        <v>C+</v>
      </c>
      <c r="O11" s="119">
        <f>'FBMS-HND LEVEL ONE'!E163</f>
        <v>9</v>
      </c>
      <c r="P11" s="111">
        <f>'FBMS-HND LEVEL ONE'!F163</f>
        <v>19</v>
      </c>
      <c r="Q11" s="111">
        <f>'FBMS-HND LEVEL ONE'!J163</f>
        <v>22</v>
      </c>
      <c r="R11" s="111">
        <f>'FBMS-HND LEVEL ONE'!K163</f>
        <v>50</v>
      </c>
      <c r="S11" s="120" t="str">
        <f>'FBMS-HND LEVEL ONE'!L163</f>
        <v>C</v>
      </c>
      <c r="T11" s="119">
        <f>'FBMS-HND LEVEL ONE'!E232</f>
        <v>9</v>
      </c>
      <c r="U11" s="111">
        <f>'FBMS-HND LEVEL ONE'!F232</f>
        <v>19</v>
      </c>
      <c r="V11" s="111">
        <f>'FBMS-HND LEVEL ONE'!J232</f>
        <v>34</v>
      </c>
      <c r="W11" s="111">
        <f>'FBMS-HND LEVEL ONE'!K232</f>
        <v>62</v>
      </c>
      <c r="X11" s="120" t="str">
        <f>'FBMS-HND LEVEL ONE'!L232</f>
        <v>B</v>
      </c>
      <c r="Y11" s="252">
        <f>'FBMS-HND LEVEL ONE'!E304</f>
        <v>10</v>
      </c>
      <c r="Z11" s="111">
        <f>'FBMS-HND LEVEL ONE'!F304</f>
        <v>11</v>
      </c>
      <c r="AA11" s="111">
        <f>'FBMS-HND LEVEL ONE'!J304</f>
        <v>32</v>
      </c>
      <c r="AB11" s="111">
        <f>'FBMS-HND LEVEL ONE'!K304</f>
        <v>53</v>
      </c>
      <c r="AC11" s="120" t="str">
        <f>'FBMS-HND LEVEL ONE'!L304</f>
        <v>C</v>
      </c>
      <c r="AD11" s="119">
        <f>'FBMS-HND LEVEL ONE'!E375</f>
        <v>9</v>
      </c>
      <c r="AE11" s="111">
        <f>'FBMS-HND LEVEL ONE'!F375</f>
        <v>21</v>
      </c>
      <c r="AF11" s="173">
        <f>'FBMS-HND LEVEL ONE'!J375</f>
        <v>20</v>
      </c>
      <c r="AG11" s="173">
        <f>'FBMS-HND LEVEL ONE'!K375</f>
        <v>50</v>
      </c>
      <c r="AH11" s="178" t="str">
        <f>'FBMS-HND LEVEL ONE'!L375</f>
        <v>C</v>
      </c>
      <c r="AI11" s="117">
        <f>'FBMS-HND LEVEL ONE'!E453</f>
        <v>10</v>
      </c>
      <c r="AJ11" s="111">
        <f>'FBMS-HND LEVEL ONE'!F453</f>
        <v>18</v>
      </c>
      <c r="AK11" s="173">
        <f>'FBMS-HND LEVEL ONE'!J453</f>
        <v>29</v>
      </c>
      <c r="AL11" s="171">
        <f>'FBMS-HND LEVEL ONE'!K453</f>
        <v>57</v>
      </c>
      <c r="AM11" s="178" t="str">
        <f>'FBMS-HND LEVEL ONE'!L453</f>
        <v>C+</v>
      </c>
      <c r="AN11" s="119">
        <f>'FBMS-HND LEVEL ONE'!E529</f>
        <v>10</v>
      </c>
      <c r="AO11" s="111">
        <f>'FBMS-HND LEVEL ONE'!F529</f>
        <v>9.5</v>
      </c>
      <c r="AP11" s="111">
        <f>'FBMS-HND LEVEL ONE'!J529</f>
        <v>31</v>
      </c>
      <c r="AQ11" s="111">
        <f>'FBMS-HND LEVEL ONE'!K529</f>
        <v>50.5</v>
      </c>
      <c r="AR11" s="120" t="str">
        <f>'FBMS-HND LEVEL ONE'!L529</f>
        <v>C</v>
      </c>
      <c r="AS11" s="121">
        <f>'FBMS-HND LEVEL ONE'!E599</f>
        <v>10</v>
      </c>
      <c r="AT11" s="111">
        <f>'FBMS-HND LEVEL ONE'!F599</f>
        <v>9</v>
      </c>
      <c r="AU11" s="173">
        <f>'FBMS-HND LEVEL ONE'!J599</f>
        <v>31</v>
      </c>
      <c r="AV11" s="173">
        <f>'FBMS-HND LEVEL ONE'!K599</f>
        <v>50</v>
      </c>
      <c r="AW11" s="174" t="str">
        <f>'FBMS-HND LEVEL ONE'!L599</f>
        <v>C</v>
      </c>
      <c r="AX11" s="119">
        <f>'FBMS-HND LEVEL ONE'!E670</f>
        <v>10</v>
      </c>
      <c r="AY11" s="111">
        <f>'FBMS-HND LEVEL ONE'!F670</f>
        <v>19</v>
      </c>
      <c r="AZ11" s="111">
        <f>'FBMS-HND LEVEL ONE'!J670</f>
        <v>22</v>
      </c>
      <c r="BA11" s="111">
        <f>'FBMS-HND LEVEL ONE'!K670</f>
        <v>51</v>
      </c>
      <c r="BB11" s="120" t="str">
        <f>'FBMS-HND LEVEL ONE'!L670</f>
        <v>C</v>
      </c>
      <c r="BC11" s="121">
        <f>'FBMS-HND LEVEL ONE'!E745</f>
        <v>8</v>
      </c>
      <c r="BD11" s="111">
        <f>'FBMS-HND LEVEL ONE'!F745</f>
        <v>18</v>
      </c>
      <c r="BE11" s="111">
        <f>'FBMS-HND LEVEL ONE'!J745</f>
        <v>42</v>
      </c>
      <c r="BF11" s="111">
        <f>'FBMS-HND LEVEL ONE'!K745</f>
        <v>68</v>
      </c>
      <c r="BG11" s="111" t="str">
        <f>'FBMS-HND LEVEL ONE'!L745</f>
        <v>B</v>
      </c>
      <c r="BH11" s="119">
        <f>'FBMS-HND LEVEL ONE'!E813</f>
        <v>10</v>
      </c>
      <c r="BI11" s="111">
        <f>'FBMS-HND LEVEL ONE'!F813</f>
        <v>24</v>
      </c>
      <c r="BJ11" s="111">
        <f>'FBMS-HND LEVEL ONE'!J813</f>
        <v>29</v>
      </c>
      <c r="BK11" s="111">
        <f>'FBMS-HND LEVEL ONE'!K813</f>
        <v>63</v>
      </c>
      <c r="BL11" s="120" t="str">
        <f>'FBMS-HND LEVEL ONE'!L813</f>
        <v>B</v>
      </c>
      <c r="BM11" s="119">
        <f>'FBMS-HND LEVEL ONE'!E885</f>
        <v>10</v>
      </c>
      <c r="BN11" s="111">
        <f>'FBMS-HND LEVEL ONE'!F885</f>
        <v>19</v>
      </c>
      <c r="BO11" s="173">
        <f>'FBMS-HND LEVEL ONE'!J885</f>
        <v>42</v>
      </c>
      <c r="BP11" s="173">
        <f>'FBMS-HND LEVEL ONE'!K885</f>
        <v>71</v>
      </c>
      <c r="BQ11" s="178" t="str">
        <f>'FBMS-HND LEVEL ONE'!L885</f>
        <v>B+</v>
      </c>
    </row>
    <row r="12" spans="1:94" x14ac:dyDescent="0.3">
      <c r="A12" s="116">
        <v>4</v>
      </c>
      <c r="B12" s="306" t="s">
        <v>433</v>
      </c>
      <c r="C12" s="310" t="s">
        <v>368</v>
      </c>
      <c r="D12" s="306" t="s">
        <v>433</v>
      </c>
      <c r="E12" s="117">
        <f>'FBMS-HND LEVEL ONE'!E15</f>
        <v>10</v>
      </c>
      <c r="F12" s="111">
        <f>'FBMS-HND LEVEL ONE'!F15</f>
        <v>22</v>
      </c>
      <c r="G12" s="111">
        <f>'FBMS-HND LEVEL ONE'!J15</f>
        <v>45</v>
      </c>
      <c r="H12" s="112">
        <f>'FBMS-HND LEVEL ONE'!K15</f>
        <v>77</v>
      </c>
      <c r="I12" s="120" t="str">
        <f>'FBMS-HND LEVEL ONE'!L15</f>
        <v>B+</v>
      </c>
      <c r="J12" s="119">
        <f>'FBMS-HND LEVEL ONE'!E84</f>
        <v>10</v>
      </c>
      <c r="K12" s="111">
        <f>'FBMS-HND LEVEL ONE'!F84</f>
        <v>24.5</v>
      </c>
      <c r="L12" s="111">
        <f>'FBMS-HND LEVEL ONE'!J84</f>
        <v>28</v>
      </c>
      <c r="M12" s="111">
        <f>'FBMS-HND LEVEL ONE'!K84</f>
        <v>62.5</v>
      </c>
      <c r="N12" s="120" t="str">
        <f>'FBMS-HND LEVEL ONE'!L84</f>
        <v>B</v>
      </c>
      <c r="O12" s="119">
        <f>'FBMS-HND LEVEL ONE'!E164</f>
        <v>9</v>
      </c>
      <c r="P12" s="111">
        <f>'FBMS-HND LEVEL ONE'!F164</f>
        <v>21</v>
      </c>
      <c r="Q12" s="111">
        <f>'FBMS-HND LEVEL ONE'!J164</f>
        <v>25</v>
      </c>
      <c r="R12" s="111">
        <f>'FBMS-HND LEVEL ONE'!K164</f>
        <v>55</v>
      </c>
      <c r="S12" s="120" t="str">
        <f>'FBMS-HND LEVEL ONE'!L164</f>
        <v>C+</v>
      </c>
      <c r="T12" s="119">
        <f>'FBMS-HND LEVEL ONE'!E233</f>
        <v>9</v>
      </c>
      <c r="U12" s="111">
        <f>'FBMS-HND LEVEL ONE'!F233</f>
        <v>14</v>
      </c>
      <c r="V12" s="111">
        <f>'FBMS-HND LEVEL ONE'!J233</f>
        <v>35</v>
      </c>
      <c r="W12" s="111">
        <f>'FBMS-HND LEVEL ONE'!K233</f>
        <v>58</v>
      </c>
      <c r="X12" s="120" t="str">
        <f>'FBMS-HND LEVEL ONE'!L233</f>
        <v>C+</v>
      </c>
      <c r="Y12" s="119">
        <f>'FBMS-HND LEVEL ONE'!E305</f>
        <v>9</v>
      </c>
      <c r="Z12" s="111">
        <f>'FBMS-HND LEVEL ONE'!F305</f>
        <v>18</v>
      </c>
      <c r="AA12" s="111">
        <f>'FBMS-HND LEVEL ONE'!J305</f>
        <v>20</v>
      </c>
      <c r="AB12" s="111">
        <f>'FBMS-HND LEVEL ONE'!K305</f>
        <v>47</v>
      </c>
      <c r="AC12" s="120" t="str">
        <f>'FBMS-HND LEVEL ONE'!L305</f>
        <v>D+</v>
      </c>
      <c r="AD12" s="119">
        <f>'FBMS-HND LEVEL ONE'!E376</f>
        <v>10</v>
      </c>
      <c r="AE12" s="111">
        <f>'FBMS-HND LEVEL ONE'!F376</f>
        <v>16</v>
      </c>
      <c r="AF12" s="173">
        <f>'FBMS-HND LEVEL ONE'!J376</f>
        <v>37</v>
      </c>
      <c r="AG12" s="173">
        <f>'FBMS-HND LEVEL ONE'!K376</f>
        <v>63</v>
      </c>
      <c r="AH12" s="178" t="str">
        <f>'FBMS-HND LEVEL ONE'!L376</f>
        <v>B</v>
      </c>
      <c r="AI12" s="117">
        <f>'FBMS-HND LEVEL ONE'!E454</f>
        <v>9</v>
      </c>
      <c r="AJ12" s="111">
        <f>'FBMS-HND LEVEL ONE'!F454</f>
        <v>24</v>
      </c>
      <c r="AK12" s="173">
        <f>'FBMS-HND LEVEL ONE'!J454</f>
        <v>40</v>
      </c>
      <c r="AL12" s="171">
        <f>'FBMS-HND LEVEL ONE'!K454</f>
        <v>73</v>
      </c>
      <c r="AM12" s="178" t="str">
        <f>'FBMS-HND LEVEL ONE'!L454</f>
        <v>B+</v>
      </c>
      <c r="AN12" s="119">
        <f>'FBMS-HND LEVEL ONE'!E530</f>
        <v>10</v>
      </c>
      <c r="AO12" s="111">
        <f>'FBMS-HND LEVEL ONE'!F530</f>
        <v>17</v>
      </c>
      <c r="AP12" s="111">
        <f>'FBMS-HND LEVEL ONE'!J530</f>
        <v>25</v>
      </c>
      <c r="AQ12" s="111">
        <f>'FBMS-HND LEVEL ONE'!K530</f>
        <v>52</v>
      </c>
      <c r="AR12" s="120" t="str">
        <f>'FBMS-HND LEVEL ONE'!L530</f>
        <v>C</v>
      </c>
      <c r="AS12" s="121">
        <f>'FBMS-HND LEVEL ONE'!E600</f>
        <v>10</v>
      </c>
      <c r="AT12" s="111">
        <f>'FBMS-HND LEVEL ONE'!F600</f>
        <v>17</v>
      </c>
      <c r="AU12" s="173">
        <f>'FBMS-HND LEVEL ONE'!J600</f>
        <v>23</v>
      </c>
      <c r="AV12" s="173">
        <f>'FBMS-HND LEVEL ONE'!K600</f>
        <v>50</v>
      </c>
      <c r="AW12" s="174" t="str">
        <f>'FBMS-HND LEVEL ONE'!L600</f>
        <v>C</v>
      </c>
      <c r="AX12" s="119">
        <f>'FBMS-HND LEVEL ONE'!E671</f>
        <v>10</v>
      </c>
      <c r="AY12" s="111">
        <f>'FBMS-HND LEVEL ONE'!F671</f>
        <v>16</v>
      </c>
      <c r="AZ12" s="111">
        <f>'FBMS-HND LEVEL ONE'!J671</f>
        <v>28</v>
      </c>
      <c r="BA12" s="111">
        <f>'FBMS-HND LEVEL ONE'!K671</f>
        <v>54</v>
      </c>
      <c r="BB12" s="120" t="str">
        <f>'FBMS-HND LEVEL ONE'!L671</f>
        <v>C</v>
      </c>
      <c r="BC12" s="121">
        <f>'FBMS-HND LEVEL ONE'!E746</f>
        <v>8</v>
      </c>
      <c r="BD12" s="111">
        <f>'FBMS-HND LEVEL ONE'!F746</f>
        <v>17</v>
      </c>
      <c r="BE12" s="111">
        <f>'FBMS-HND LEVEL ONE'!J746</f>
        <v>43</v>
      </c>
      <c r="BF12" s="111">
        <f>'FBMS-HND LEVEL ONE'!K746</f>
        <v>68</v>
      </c>
      <c r="BG12" s="111" t="str">
        <f>'FBMS-HND LEVEL ONE'!L746</f>
        <v>B</v>
      </c>
      <c r="BH12" s="119">
        <f>'FBMS-HND LEVEL ONE'!E814</f>
        <v>10</v>
      </c>
      <c r="BI12" s="111">
        <f>'FBMS-HND LEVEL ONE'!F814</f>
        <v>26</v>
      </c>
      <c r="BJ12" s="111">
        <f>'FBMS-HND LEVEL ONE'!J814</f>
        <v>18</v>
      </c>
      <c r="BK12" s="111">
        <f>'FBMS-HND LEVEL ONE'!K814</f>
        <v>54</v>
      </c>
      <c r="BL12" s="120" t="str">
        <f>'FBMS-HND LEVEL ONE'!L814</f>
        <v>C</v>
      </c>
      <c r="BM12" s="119">
        <f>'FBMS-HND LEVEL ONE'!E886</f>
        <v>9</v>
      </c>
      <c r="BN12" s="111">
        <f>'FBMS-HND LEVEL ONE'!F886</f>
        <v>17</v>
      </c>
      <c r="BO12" s="173">
        <f>'FBMS-HND LEVEL ONE'!J886</f>
        <v>42</v>
      </c>
      <c r="BP12" s="173">
        <f>'FBMS-HND LEVEL ONE'!K886</f>
        <v>68</v>
      </c>
      <c r="BQ12" s="178" t="str">
        <f>'FBMS-HND LEVEL ONE'!L886</f>
        <v>B</v>
      </c>
    </row>
    <row r="13" spans="1:94" x14ac:dyDescent="0.3">
      <c r="A13" s="109">
        <v>5</v>
      </c>
      <c r="B13" s="306" t="s">
        <v>434</v>
      </c>
      <c r="C13" s="310" t="s">
        <v>606</v>
      </c>
      <c r="D13" s="306" t="s">
        <v>434</v>
      </c>
      <c r="E13" s="117">
        <f>'FBMS-HND LEVEL ONE'!E16</f>
        <v>10</v>
      </c>
      <c r="F13" s="111">
        <f>'FBMS-HND LEVEL ONE'!F16</f>
        <v>20</v>
      </c>
      <c r="G13" s="111">
        <f>'FBMS-HND LEVEL ONE'!J16</f>
        <v>57</v>
      </c>
      <c r="H13" s="112">
        <f>'FBMS-HND LEVEL ONE'!K16</f>
        <v>87</v>
      </c>
      <c r="I13" s="120" t="str">
        <f>'FBMS-HND LEVEL ONE'!L16</f>
        <v>A</v>
      </c>
      <c r="J13" s="119">
        <f>'FBMS-HND LEVEL ONE'!E85</f>
        <v>10</v>
      </c>
      <c r="K13" s="111">
        <f>'FBMS-HND LEVEL ONE'!F85</f>
        <v>17</v>
      </c>
      <c r="L13" s="111">
        <f>'FBMS-HND LEVEL ONE'!J85</f>
        <v>31</v>
      </c>
      <c r="M13" s="111">
        <f>'FBMS-HND LEVEL ONE'!K85</f>
        <v>58</v>
      </c>
      <c r="N13" s="120" t="str">
        <f>'FBMS-HND LEVEL ONE'!L85</f>
        <v>C+</v>
      </c>
      <c r="O13" s="119">
        <f>'FBMS-HND LEVEL ONE'!E165</f>
        <v>10</v>
      </c>
      <c r="P13" s="111">
        <f>'FBMS-HND LEVEL ONE'!F165</f>
        <v>26</v>
      </c>
      <c r="Q13" s="111">
        <f>'FBMS-HND LEVEL ONE'!J165</f>
        <v>48</v>
      </c>
      <c r="R13" s="111">
        <f>'FBMS-HND LEVEL ONE'!K165</f>
        <v>84</v>
      </c>
      <c r="S13" s="120" t="str">
        <f>'FBMS-HND LEVEL ONE'!L165</f>
        <v>A</v>
      </c>
      <c r="T13" s="119">
        <f>'FBMS-HND LEVEL ONE'!E234</f>
        <v>9</v>
      </c>
      <c r="U13" s="111">
        <f>'FBMS-HND LEVEL ONE'!F234</f>
        <v>21</v>
      </c>
      <c r="V13" s="111">
        <f>'FBMS-HND LEVEL ONE'!J234</f>
        <v>33</v>
      </c>
      <c r="W13" s="111">
        <f>'FBMS-HND LEVEL ONE'!K234</f>
        <v>63</v>
      </c>
      <c r="X13" s="120" t="str">
        <f>'FBMS-HND LEVEL ONE'!L234</f>
        <v>B</v>
      </c>
      <c r="Y13" s="119">
        <f>'FBMS-HND LEVEL ONE'!E306</f>
        <v>9</v>
      </c>
      <c r="Z13" s="111">
        <f>'FBMS-HND LEVEL ONE'!F306</f>
        <v>20</v>
      </c>
      <c r="AA13" s="111">
        <f>'FBMS-HND LEVEL ONE'!J306</f>
        <v>30</v>
      </c>
      <c r="AB13" s="111">
        <f>'FBMS-HND LEVEL ONE'!K306</f>
        <v>59</v>
      </c>
      <c r="AC13" s="120" t="str">
        <f>'FBMS-HND LEVEL ONE'!L306</f>
        <v>C+</v>
      </c>
      <c r="AD13" s="119">
        <f>'FBMS-HND LEVEL ONE'!E377</f>
        <v>10</v>
      </c>
      <c r="AE13" s="111">
        <f>'FBMS-HND LEVEL ONE'!F377</f>
        <v>29</v>
      </c>
      <c r="AF13" s="173">
        <f>'FBMS-HND LEVEL ONE'!J377</f>
        <v>18</v>
      </c>
      <c r="AG13" s="173">
        <f>'FBMS-HND LEVEL ONE'!K377</f>
        <v>57</v>
      </c>
      <c r="AH13" s="178" t="str">
        <f>'FBMS-HND LEVEL ONE'!L377</f>
        <v>C+</v>
      </c>
      <c r="AI13" s="117">
        <f>'FBMS-HND LEVEL ONE'!E455</f>
        <v>9</v>
      </c>
      <c r="AJ13" s="111">
        <f>'FBMS-HND LEVEL ONE'!F455</f>
        <v>21</v>
      </c>
      <c r="AK13" s="173">
        <f>'FBMS-HND LEVEL ONE'!J455</f>
        <v>31</v>
      </c>
      <c r="AL13" s="171">
        <f>'FBMS-HND LEVEL ONE'!K455</f>
        <v>61</v>
      </c>
      <c r="AM13" s="178" t="str">
        <f>'FBMS-HND LEVEL ONE'!L455</f>
        <v>B</v>
      </c>
      <c r="AN13" s="119">
        <f>'FBMS-HND LEVEL ONE'!E531</f>
        <v>9</v>
      </c>
      <c r="AO13" s="111">
        <f>'FBMS-HND LEVEL ONE'!F531</f>
        <v>20</v>
      </c>
      <c r="AP13" s="111">
        <f>'FBMS-HND LEVEL ONE'!J531</f>
        <v>21</v>
      </c>
      <c r="AQ13" s="111">
        <f>'FBMS-HND LEVEL ONE'!K531</f>
        <v>50</v>
      </c>
      <c r="AR13" s="120" t="str">
        <f>'FBMS-HND LEVEL ONE'!L531</f>
        <v>C</v>
      </c>
      <c r="AS13" s="121">
        <f>'FBMS-HND LEVEL ONE'!E601</f>
        <v>10</v>
      </c>
      <c r="AT13" s="111">
        <f>'FBMS-HND LEVEL ONE'!F601</f>
        <v>15</v>
      </c>
      <c r="AU13" s="173">
        <f>'FBMS-HND LEVEL ONE'!J601</f>
        <v>46</v>
      </c>
      <c r="AV13" s="173">
        <f>'FBMS-HND LEVEL ONE'!K601</f>
        <v>71</v>
      </c>
      <c r="AW13" s="174" t="str">
        <f>'FBMS-HND LEVEL ONE'!L601</f>
        <v>B+</v>
      </c>
      <c r="AX13" s="119">
        <f>'FBMS-HND LEVEL ONE'!E672</f>
        <v>10</v>
      </c>
      <c r="AY13" s="111">
        <f>'FBMS-HND LEVEL ONE'!F672</f>
        <v>21</v>
      </c>
      <c r="AZ13" s="111">
        <f>'FBMS-HND LEVEL ONE'!J672</f>
        <v>46</v>
      </c>
      <c r="BA13" s="111">
        <f>'FBMS-HND LEVEL ONE'!K672</f>
        <v>77</v>
      </c>
      <c r="BB13" s="120" t="str">
        <f>'FBMS-HND LEVEL ONE'!L672</f>
        <v>B+</v>
      </c>
      <c r="BC13" s="121">
        <f>'FBMS-HND LEVEL ONE'!E747</f>
        <v>8</v>
      </c>
      <c r="BD13" s="111">
        <f>'FBMS-HND LEVEL ONE'!F747</f>
        <v>16</v>
      </c>
      <c r="BE13" s="111">
        <f>'FBMS-HND LEVEL ONE'!J747</f>
        <v>42</v>
      </c>
      <c r="BF13" s="111">
        <f>'FBMS-HND LEVEL ONE'!K747</f>
        <v>66</v>
      </c>
      <c r="BG13" s="111" t="str">
        <f>'FBMS-HND LEVEL ONE'!L747</f>
        <v>B</v>
      </c>
      <c r="BH13" s="119">
        <f>'FBMS-HND LEVEL ONE'!E815</f>
        <v>10</v>
      </c>
      <c r="BI13" s="111">
        <f>'FBMS-HND LEVEL ONE'!F815</f>
        <v>22</v>
      </c>
      <c r="BJ13" s="111">
        <f>'FBMS-HND LEVEL ONE'!J815</f>
        <v>49</v>
      </c>
      <c r="BK13" s="111">
        <f>'FBMS-HND LEVEL ONE'!K815</f>
        <v>81</v>
      </c>
      <c r="BL13" s="120" t="str">
        <f>'FBMS-HND LEVEL ONE'!L815</f>
        <v>A</v>
      </c>
      <c r="BM13" s="119">
        <f>'FBMS-HND LEVEL ONE'!E887</f>
        <v>9</v>
      </c>
      <c r="BN13" s="111">
        <f>'FBMS-HND LEVEL ONE'!F887</f>
        <v>18</v>
      </c>
      <c r="BO13" s="173">
        <f>'FBMS-HND LEVEL ONE'!J887</f>
        <v>44</v>
      </c>
      <c r="BP13" s="173">
        <f>'FBMS-HND LEVEL ONE'!K887</f>
        <v>71</v>
      </c>
      <c r="BQ13" s="178" t="str">
        <f>'FBMS-HND LEVEL ONE'!L887</f>
        <v>B+</v>
      </c>
    </row>
    <row r="14" spans="1:94" ht="15.6" x14ac:dyDescent="0.3">
      <c r="A14" s="116">
        <v>6</v>
      </c>
      <c r="B14" s="306" t="s">
        <v>544</v>
      </c>
      <c r="C14" s="309" t="s">
        <v>369</v>
      </c>
      <c r="D14" s="306" t="s">
        <v>544</v>
      </c>
      <c r="E14" s="117">
        <f>'FBMS-HND LEVEL ONE'!E17</f>
        <v>10</v>
      </c>
      <c r="F14" s="111">
        <f>'FBMS-HND LEVEL ONE'!F17</f>
        <v>23</v>
      </c>
      <c r="G14" s="111">
        <f>'FBMS-HND LEVEL ONE'!J17</f>
        <v>50</v>
      </c>
      <c r="H14" s="112">
        <f>'FBMS-HND LEVEL ONE'!K17</f>
        <v>83</v>
      </c>
      <c r="I14" s="120" t="str">
        <f>'FBMS-HND LEVEL ONE'!L17</f>
        <v>A</v>
      </c>
      <c r="J14" s="119">
        <f>'FBMS-HND LEVEL ONE'!E86</f>
        <v>10</v>
      </c>
      <c r="K14" s="111">
        <f>'FBMS-HND LEVEL ONE'!F86</f>
        <v>27</v>
      </c>
      <c r="L14" s="111">
        <f>'FBMS-HND LEVEL ONE'!J86</f>
        <v>32</v>
      </c>
      <c r="M14" s="111">
        <f>'FBMS-HND LEVEL ONE'!K86</f>
        <v>69</v>
      </c>
      <c r="N14" s="120" t="str">
        <f>'FBMS-HND LEVEL ONE'!L86</f>
        <v>B</v>
      </c>
      <c r="O14" s="119">
        <f>'FBMS-HND LEVEL ONE'!E166</f>
        <v>9</v>
      </c>
      <c r="P14" s="111">
        <f>'FBMS-HND LEVEL ONE'!F166</f>
        <v>20.5</v>
      </c>
      <c r="Q14" s="111">
        <f>'FBMS-HND LEVEL ONE'!J166</f>
        <v>38</v>
      </c>
      <c r="R14" s="111">
        <f>'FBMS-HND LEVEL ONE'!K166</f>
        <v>67.5</v>
      </c>
      <c r="S14" s="120" t="str">
        <f>'FBMS-HND LEVEL ONE'!L166</f>
        <v>B</v>
      </c>
      <c r="T14" s="119">
        <f>'FBMS-HND LEVEL ONE'!E235</f>
        <v>10</v>
      </c>
      <c r="U14" s="111">
        <f>'FBMS-HND LEVEL ONE'!F235</f>
        <v>20</v>
      </c>
      <c r="V14" s="111">
        <f>'FBMS-HND LEVEL ONE'!J235</f>
        <v>35</v>
      </c>
      <c r="W14" s="111">
        <f>'FBMS-HND LEVEL ONE'!K235</f>
        <v>65</v>
      </c>
      <c r="X14" s="120" t="str">
        <f>'FBMS-HND LEVEL ONE'!L235</f>
        <v>B</v>
      </c>
      <c r="Y14" s="119">
        <f>'FBMS-HND LEVEL ONE'!E307</f>
        <v>10</v>
      </c>
      <c r="Z14" s="111">
        <f>'FBMS-HND LEVEL ONE'!F307</f>
        <v>15</v>
      </c>
      <c r="AA14" s="111">
        <f>'FBMS-HND LEVEL ONE'!J307</f>
        <v>31</v>
      </c>
      <c r="AB14" s="111">
        <f>'FBMS-HND LEVEL ONE'!K307</f>
        <v>56</v>
      </c>
      <c r="AC14" s="120" t="str">
        <f>'FBMS-HND LEVEL ONE'!L307</f>
        <v>C+</v>
      </c>
      <c r="AD14" s="119">
        <f>'FBMS-HND LEVEL ONE'!E378</f>
        <v>10</v>
      </c>
      <c r="AE14" s="111">
        <f>'FBMS-HND LEVEL ONE'!F378</f>
        <v>24</v>
      </c>
      <c r="AF14" s="173">
        <f>'FBMS-HND LEVEL ONE'!J378</f>
        <v>46</v>
      </c>
      <c r="AG14" s="173">
        <f>'FBMS-HND LEVEL ONE'!K378</f>
        <v>80</v>
      </c>
      <c r="AH14" s="178" t="str">
        <f>'FBMS-HND LEVEL ONE'!L378</f>
        <v>A</v>
      </c>
      <c r="AI14" s="117">
        <f>'FBMS-HND LEVEL ONE'!E456</f>
        <v>10</v>
      </c>
      <c r="AJ14" s="111">
        <f>'FBMS-HND LEVEL ONE'!F456</f>
        <v>26</v>
      </c>
      <c r="AK14" s="173">
        <f>'FBMS-HND LEVEL ONE'!J456</f>
        <v>47</v>
      </c>
      <c r="AL14" s="171">
        <f>'FBMS-HND LEVEL ONE'!K456</f>
        <v>83</v>
      </c>
      <c r="AM14" s="178" t="str">
        <f>'FBMS-HND LEVEL ONE'!L456</f>
        <v>A</v>
      </c>
      <c r="AN14" s="119">
        <f>'FBMS-HND LEVEL ONE'!E532</f>
        <v>10</v>
      </c>
      <c r="AO14" s="111">
        <f>'FBMS-HND LEVEL ONE'!F532</f>
        <v>24</v>
      </c>
      <c r="AP14" s="111">
        <f>'FBMS-HND LEVEL ONE'!J532</f>
        <v>37</v>
      </c>
      <c r="AQ14" s="111">
        <f>'FBMS-HND LEVEL ONE'!K532</f>
        <v>71</v>
      </c>
      <c r="AR14" s="120" t="str">
        <f>'FBMS-HND LEVEL ONE'!L532</f>
        <v>B+</v>
      </c>
      <c r="AS14" s="121">
        <f>'FBMS-HND LEVEL ONE'!E602</f>
        <v>10</v>
      </c>
      <c r="AT14" s="111">
        <f>'FBMS-HND LEVEL ONE'!F602</f>
        <v>15</v>
      </c>
      <c r="AU14" s="173">
        <f>'FBMS-HND LEVEL ONE'!J602</f>
        <v>45</v>
      </c>
      <c r="AV14" s="173">
        <f>'FBMS-HND LEVEL ONE'!K602</f>
        <v>70</v>
      </c>
      <c r="AW14" s="174" t="str">
        <f>'FBMS-HND LEVEL ONE'!L602</f>
        <v>B+</v>
      </c>
      <c r="AX14" s="119">
        <f>'FBMS-HND LEVEL ONE'!E673</f>
        <v>10</v>
      </c>
      <c r="AY14" s="111">
        <f>'FBMS-HND LEVEL ONE'!F673</f>
        <v>26</v>
      </c>
      <c r="AZ14" s="111">
        <f>'FBMS-HND LEVEL ONE'!J673</f>
        <v>38</v>
      </c>
      <c r="BA14" s="111">
        <f>'FBMS-HND LEVEL ONE'!K673</f>
        <v>74</v>
      </c>
      <c r="BB14" s="120" t="str">
        <f>'FBMS-HND LEVEL ONE'!L673</f>
        <v>B+</v>
      </c>
      <c r="BC14" s="121">
        <f>'FBMS-HND LEVEL ONE'!E748</f>
        <v>8</v>
      </c>
      <c r="BD14" s="111">
        <f>'FBMS-HND LEVEL ONE'!F748</f>
        <v>19</v>
      </c>
      <c r="BE14" s="111">
        <f>'FBMS-HND LEVEL ONE'!J748</f>
        <v>23</v>
      </c>
      <c r="BF14" s="111">
        <f>'FBMS-HND LEVEL ONE'!K748</f>
        <v>50</v>
      </c>
      <c r="BG14" s="111" t="str">
        <f>'FBMS-HND LEVEL ONE'!L748</f>
        <v>C</v>
      </c>
      <c r="BH14" s="119">
        <f>'FBMS-HND LEVEL ONE'!E816</f>
        <v>10</v>
      </c>
      <c r="BI14" s="111">
        <f>'FBMS-HND LEVEL ONE'!F816</f>
        <v>25</v>
      </c>
      <c r="BJ14" s="111">
        <f>'FBMS-HND LEVEL ONE'!J816</f>
        <v>40</v>
      </c>
      <c r="BK14" s="111">
        <f>'FBMS-HND LEVEL ONE'!K816</f>
        <v>75</v>
      </c>
      <c r="BL14" s="120" t="str">
        <f>'FBMS-HND LEVEL ONE'!L816</f>
        <v>B+</v>
      </c>
      <c r="BM14" s="119">
        <f>'FBMS-HND LEVEL ONE'!E888</f>
        <v>10</v>
      </c>
      <c r="BN14" s="111">
        <f>'FBMS-HND LEVEL ONE'!F888</f>
        <v>21</v>
      </c>
      <c r="BO14" s="173">
        <f>'FBMS-HND LEVEL ONE'!J888</f>
        <v>42</v>
      </c>
      <c r="BP14" s="173">
        <f>'FBMS-HND LEVEL ONE'!K888</f>
        <v>73</v>
      </c>
      <c r="BQ14" s="178" t="str">
        <f>'FBMS-HND LEVEL ONE'!L888</f>
        <v>B+</v>
      </c>
    </row>
    <row r="15" spans="1:94" ht="15.6" x14ac:dyDescent="0.3">
      <c r="A15" s="109">
        <v>7</v>
      </c>
      <c r="B15" s="306" t="s">
        <v>562</v>
      </c>
      <c r="C15" s="309" t="s">
        <v>370</v>
      </c>
      <c r="D15" s="306" t="s">
        <v>562</v>
      </c>
      <c r="E15" s="117">
        <f>'FBMS-HND LEVEL ONE'!E18</f>
        <v>10</v>
      </c>
      <c r="F15" s="111">
        <f>'FBMS-HND LEVEL ONE'!F18</f>
        <v>12</v>
      </c>
      <c r="G15" s="111">
        <f>'FBMS-HND LEVEL ONE'!J18</f>
        <v>17</v>
      </c>
      <c r="H15" s="112">
        <f>'FBMS-HND LEVEL ONE'!K18</f>
        <v>39</v>
      </c>
      <c r="I15" s="120" t="str">
        <f>'FBMS-HND LEVEL ONE'!L18</f>
        <v>F</v>
      </c>
      <c r="J15" s="119">
        <f>'FBMS-HND LEVEL ONE'!E87</f>
        <v>9</v>
      </c>
      <c r="K15" s="111">
        <f>'FBMS-HND LEVEL ONE'!F87</f>
        <v>28</v>
      </c>
      <c r="L15" s="111">
        <f>'FBMS-HND LEVEL ONE'!J87</f>
        <v>15</v>
      </c>
      <c r="M15" s="111">
        <f>'FBMS-HND LEVEL ONE'!K87</f>
        <v>52</v>
      </c>
      <c r="N15" s="120" t="str">
        <f>'FBMS-HND LEVEL ONE'!L87</f>
        <v>C</v>
      </c>
      <c r="O15" s="119">
        <f>'FBMS-HND LEVEL ONE'!E167</f>
        <v>9</v>
      </c>
      <c r="P15" s="111">
        <f>'FBMS-HND LEVEL ONE'!F167</f>
        <v>13</v>
      </c>
      <c r="Q15" s="111">
        <f>'FBMS-HND LEVEL ONE'!J167</f>
        <v>25</v>
      </c>
      <c r="R15" s="111">
        <f>'FBMS-HND LEVEL ONE'!K167</f>
        <v>47</v>
      </c>
      <c r="S15" s="120" t="str">
        <f>'FBMS-HND LEVEL ONE'!L167</f>
        <v>D+</v>
      </c>
      <c r="T15" s="119">
        <f>'FBMS-HND LEVEL ONE'!E236</f>
        <v>10</v>
      </c>
      <c r="U15" s="111">
        <f>'FBMS-HND LEVEL ONE'!F236</f>
        <v>24</v>
      </c>
      <c r="V15" s="111">
        <f>'FBMS-HND LEVEL ONE'!J236</f>
        <v>22</v>
      </c>
      <c r="W15" s="111">
        <f>'FBMS-HND LEVEL ONE'!K236</f>
        <v>56</v>
      </c>
      <c r="X15" s="120" t="str">
        <f>'FBMS-HND LEVEL ONE'!L236</f>
        <v>C+</v>
      </c>
      <c r="Y15" s="119">
        <f>'FBMS-HND LEVEL ONE'!E308</f>
        <v>10</v>
      </c>
      <c r="Z15" s="111">
        <f>'FBMS-HND LEVEL ONE'!F308</f>
        <v>9</v>
      </c>
      <c r="AA15" s="111">
        <f>'FBMS-HND LEVEL ONE'!J308</f>
        <v>15</v>
      </c>
      <c r="AB15" s="111">
        <f>'FBMS-HND LEVEL ONE'!K308</f>
        <v>34</v>
      </c>
      <c r="AC15" s="120" t="str">
        <f>'FBMS-HND LEVEL ONE'!L308</f>
        <v>F</v>
      </c>
      <c r="AD15" s="119">
        <f>'FBMS-HND LEVEL ONE'!E379</f>
        <v>10</v>
      </c>
      <c r="AE15" s="111">
        <f>'FBMS-HND LEVEL ONE'!F379</f>
        <v>17</v>
      </c>
      <c r="AF15" s="173">
        <f>'FBMS-HND LEVEL ONE'!J379</f>
        <v>37</v>
      </c>
      <c r="AG15" s="173">
        <f>'FBMS-HND LEVEL ONE'!K379</f>
        <v>64</v>
      </c>
      <c r="AH15" s="178" t="str">
        <f>'FBMS-HND LEVEL ONE'!L379</f>
        <v>B</v>
      </c>
      <c r="AI15" s="117">
        <f>'FBMS-HND LEVEL ONE'!E457</f>
        <v>10</v>
      </c>
      <c r="AJ15" s="111">
        <f>'FBMS-HND LEVEL ONE'!F457</f>
        <v>22</v>
      </c>
      <c r="AK15" s="173">
        <f>'FBMS-HND LEVEL ONE'!J457</f>
        <v>35</v>
      </c>
      <c r="AL15" s="171">
        <f>'FBMS-HND LEVEL ONE'!K457</f>
        <v>67</v>
      </c>
      <c r="AM15" s="178" t="str">
        <f>'FBMS-HND LEVEL ONE'!L457</f>
        <v>B</v>
      </c>
      <c r="AN15" s="119">
        <f>'FBMS-HND LEVEL ONE'!E533</f>
        <v>10</v>
      </c>
      <c r="AO15" s="111">
        <f>'FBMS-HND LEVEL ONE'!F533</f>
        <v>26</v>
      </c>
      <c r="AP15" s="111">
        <f>'FBMS-HND LEVEL ONE'!J533</f>
        <v>44</v>
      </c>
      <c r="AQ15" s="111">
        <f>'FBMS-HND LEVEL ONE'!K533</f>
        <v>80</v>
      </c>
      <c r="AR15" s="120" t="str">
        <f>'FBMS-HND LEVEL ONE'!L533</f>
        <v>A</v>
      </c>
      <c r="AS15" s="121">
        <f>'FBMS-HND LEVEL ONE'!E603</f>
        <v>10</v>
      </c>
      <c r="AT15" s="111">
        <f>'FBMS-HND LEVEL ONE'!F603</f>
        <v>16</v>
      </c>
      <c r="AU15" s="173">
        <f>'FBMS-HND LEVEL ONE'!J603</f>
        <v>40</v>
      </c>
      <c r="AV15" s="173">
        <f>'FBMS-HND LEVEL ONE'!K603</f>
        <v>66</v>
      </c>
      <c r="AW15" s="174" t="str">
        <f>'FBMS-HND LEVEL ONE'!L603</f>
        <v>B</v>
      </c>
      <c r="AX15" s="119">
        <f>'FBMS-HND LEVEL ONE'!E674</f>
        <v>10</v>
      </c>
      <c r="AY15" s="111">
        <f>'FBMS-HND LEVEL ONE'!F674</f>
        <v>12</v>
      </c>
      <c r="AZ15" s="111">
        <f>'FBMS-HND LEVEL ONE'!J674</f>
        <v>6</v>
      </c>
      <c r="BA15" s="111">
        <f>'FBMS-HND LEVEL ONE'!K674</f>
        <v>28</v>
      </c>
      <c r="BB15" s="120" t="str">
        <f>'FBMS-HND LEVEL ONE'!L674</f>
        <v>F</v>
      </c>
      <c r="BC15" s="121">
        <f>'FBMS-HND LEVEL ONE'!E749</f>
        <v>8</v>
      </c>
      <c r="BD15" s="111">
        <f>'FBMS-HND LEVEL ONE'!F749</f>
        <v>13</v>
      </c>
      <c r="BE15" s="111">
        <f>'FBMS-HND LEVEL ONE'!J749</f>
        <v>42</v>
      </c>
      <c r="BF15" s="111">
        <f>'FBMS-HND LEVEL ONE'!K749</f>
        <v>63</v>
      </c>
      <c r="BG15" s="111" t="str">
        <f>'FBMS-HND LEVEL ONE'!L749</f>
        <v>B</v>
      </c>
      <c r="BH15" s="119">
        <f>'FBMS-HND LEVEL ONE'!E817</f>
        <v>10</v>
      </c>
      <c r="BI15" s="111">
        <f>'FBMS-HND LEVEL ONE'!F817</f>
        <v>25</v>
      </c>
      <c r="BJ15" s="111">
        <f>'FBMS-HND LEVEL ONE'!J817</f>
        <v>45</v>
      </c>
      <c r="BK15" s="111">
        <f>'FBMS-HND LEVEL ONE'!K817</f>
        <v>80</v>
      </c>
      <c r="BL15" s="120" t="str">
        <f>'FBMS-HND LEVEL ONE'!L817</f>
        <v>A</v>
      </c>
      <c r="BM15" s="119">
        <f>'FBMS-HND LEVEL ONE'!E889</f>
        <v>10</v>
      </c>
      <c r="BN15" s="111">
        <f>'FBMS-HND LEVEL ONE'!F889</f>
        <v>20</v>
      </c>
      <c r="BO15" s="173">
        <f>'FBMS-HND LEVEL ONE'!J889</f>
        <v>41</v>
      </c>
      <c r="BP15" s="173">
        <f>'FBMS-HND LEVEL ONE'!K889</f>
        <v>71</v>
      </c>
      <c r="BQ15" s="178" t="str">
        <f>'FBMS-HND LEVEL ONE'!L889</f>
        <v>B+</v>
      </c>
    </row>
    <row r="16" spans="1:94" x14ac:dyDescent="0.3">
      <c r="A16" s="116">
        <v>8</v>
      </c>
      <c r="B16" s="306" t="s">
        <v>435</v>
      </c>
      <c r="C16" s="310" t="s">
        <v>595</v>
      </c>
      <c r="D16" s="306" t="s">
        <v>435</v>
      </c>
      <c r="E16" s="117">
        <f>'FBMS-HND LEVEL ONE'!E19</f>
        <v>9</v>
      </c>
      <c r="F16" s="111">
        <f>'FBMS-HND LEVEL ONE'!F19</f>
        <v>23</v>
      </c>
      <c r="G16" s="111">
        <f>'FBMS-HND LEVEL ONE'!J19</f>
        <v>54</v>
      </c>
      <c r="H16" s="112">
        <f>'FBMS-HND LEVEL ONE'!K19</f>
        <v>86</v>
      </c>
      <c r="I16" s="120" t="str">
        <f>'FBMS-HND LEVEL ONE'!L19</f>
        <v>A</v>
      </c>
      <c r="J16" s="119">
        <f>'FBMS-HND LEVEL ONE'!E88</f>
        <v>8</v>
      </c>
      <c r="K16" s="111">
        <f>'FBMS-HND LEVEL ONE'!F88</f>
        <v>24</v>
      </c>
      <c r="L16" s="111">
        <f>'FBMS-HND LEVEL ONE'!J88</f>
        <v>33</v>
      </c>
      <c r="M16" s="111">
        <f>'FBMS-HND LEVEL ONE'!K88</f>
        <v>65</v>
      </c>
      <c r="N16" s="120" t="str">
        <f>'FBMS-HND LEVEL ONE'!L88</f>
        <v>B</v>
      </c>
      <c r="O16" s="119">
        <f>'FBMS-HND LEVEL ONE'!E168</f>
        <v>10</v>
      </c>
      <c r="P16" s="111">
        <f>'FBMS-HND LEVEL ONE'!F168</f>
        <v>23</v>
      </c>
      <c r="Q16" s="111">
        <f>'FBMS-HND LEVEL ONE'!J168</f>
        <v>29</v>
      </c>
      <c r="R16" s="111">
        <f>'FBMS-HND LEVEL ONE'!K168</f>
        <v>62</v>
      </c>
      <c r="S16" s="120" t="str">
        <f>'FBMS-HND LEVEL ONE'!L168</f>
        <v>B</v>
      </c>
      <c r="T16" s="119">
        <f>'FBMS-HND LEVEL ONE'!E237</f>
        <v>9</v>
      </c>
      <c r="U16" s="111">
        <f>'FBMS-HND LEVEL ONE'!F237</f>
        <v>25</v>
      </c>
      <c r="V16" s="111">
        <f>'FBMS-HND LEVEL ONE'!J237</f>
        <v>36</v>
      </c>
      <c r="W16" s="111">
        <f>'FBMS-HND LEVEL ONE'!K237</f>
        <v>70</v>
      </c>
      <c r="X16" s="120" t="str">
        <f>'FBMS-HND LEVEL ONE'!L237</f>
        <v>B+</v>
      </c>
      <c r="Y16" s="119">
        <f>'FBMS-HND LEVEL ONE'!E309</f>
        <v>8</v>
      </c>
      <c r="Z16" s="111">
        <f>'FBMS-HND LEVEL ONE'!F309</f>
        <v>20</v>
      </c>
      <c r="AA16" s="111">
        <f>'FBMS-HND LEVEL ONE'!J309</f>
        <v>30</v>
      </c>
      <c r="AB16" s="111">
        <f>'FBMS-HND LEVEL ONE'!K309</f>
        <v>58</v>
      </c>
      <c r="AC16" s="120" t="str">
        <f>'FBMS-HND LEVEL ONE'!L309</f>
        <v>C+</v>
      </c>
      <c r="AD16" s="119">
        <f>'FBMS-HND LEVEL ONE'!E380</f>
        <v>8</v>
      </c>
      <c r="AE16" s="111">
        <f>'FBMS-HND LEVEL ONE'!F380</f>
        <v>18</v>
      </c>
      <c r="AF16" s="173">
        <f>'FBMS-HND LEVEL ONE'!J380</f>
        <v>46</v>
      </c>
      <c r="AG16" s="173">
        <f>'FBMS-HND LEVEL ONE'!K380</f>
        <v>72</v>
      </c>
      <c r="AH16" s="178" t="str">
        <f>'FBMS-HND LEVEL ONE'!L380</f>
        <v>B+</v>
      </c>
      <c r="AI16" s="117">
        <f>'FBMS-HND LEVEL ONE'!E458</f>
        <v>9</v>
      </c>
      <c r="AJ16" s="111">
        <f>'FBMS-HND LEVEL ONE'!F458</f>
        <v>23</v>
      </c>
      <c r="AK16" s="173">
        <f>'FBMS-HND LEVEL ONE'!J458</f>
        <v>29</v>
      </c>
      <c r="AL16" s="171">
        <f>'FBMS-HND LEVEL ONE'!K458</f>
        <v>61</v>
      </c>
      <c r="AM16" s="178" t="str">
        <f>'FBMS-HND LEVEL ONE'!L458</f>
        <v>B</v>
      </c>
      <c r="AN16" s="119">
        <f>'FBMS-HND LEVEL ONE'!E534</f>
        <v>9</v>
      </c>
      <c r="AO16" s="111">
        <f>'FBMS-HND LEVEL ONE'!F534</f>
        <v>23</v>
      </c>
      <c r="AP16" s="111">
        <f>'FBMS-HND LEVEL ONE'!J534</f>
        <v>31</v>
      </c>
      <c r="AQ16" s="111">
        <f>'FBMS-HND LEVEL ONE'!K534</f>
        <v>63</v>
      </c>
      <c r="AR16" s="120" t="str">
        <f>'FBMS-HND LEVEL ONE'!L534</f>
        <v>B</v>
      </c>
      <c r="AS16" s="121">
        <f>'FBMS-HND LEVEL ONE'!E604</f>
        <v>10</v>
      </c>
      <c r="AT16" s="173">
        <f>'FBMS-HND LEVEL ONE'!F604</f>
        <v>18</v>
      </c>
      <c r="AU16" s="173">
        <f>'FBMS-HND LEVEL ONE'!J604</f>
        <v>43</v>
      </c>
      <c r="AV16" s="173">
        <f>'FBMS-HND LEVEL ONE'!K604</f>
        <v>71</v>
      </c>
      <c r="AW16" s="174" t="str">
        <f>'FBMS-HND LEVEL ONE'!L604</f>
        <v>B+</v>
      </c>
      <c r="AX16" s="119">
        <f>'FBMS-HND LEVEL ONE'!E675</f>
        <v>10</v>
      </c>
      <c r="AY16" s="111">
        <f>'FBMS-HND LEVEL ONE'!F675</f>
        <v>14</v>
      </c>
      <c r="AZ16" s="111">
        <f>'FBMS-HND LEVEL ONE'!J675</f>
        <v>38</v>
      </c>
      <c r="BA16" s="111">
        <f>'FBMS-HND LEVEL ONE'!K675</f>
        <v>62</v>
      </c>
      <c r="BB16" s="120" t="str">
        <f>'FBMS-HND LEVEL ONE'!L675</f>
        <v>B</v>
      </c>
      <c r="BC16" s="121">
        <f>'FBMS-HND LEVEL ONE'!E750</f>
        <v>8</v>
      </c>
      <c r="BD16" s="111">
        <f>'FBMS-HND LEVEL ONE'!F750</f>
        <v>22</v>
      </c>
      <c r="BE16" s="111">
        <f>'FBMS-HND LEVEL ONE'!J750</f>
        <v>46</v>
      </c>
      <c r="BF16" s="111">
        <f>'FBMS-HND LEVEL ONE'!K750</f>
        <v>76</v>
      </c>
      <c r="BG16" s="111" t="str">
        <f>'FBMS-HND LEVEL ONE'!L750</f>
        <v>B+</v>
      </c>
      <c r="BH16" s="119">
        <f>'FBMS-HND LEVEL ONE'!E818</f>
        <v>10</v>
      </c>
      <c r="BI16" s="111">
        <f>'FBMS-HND LEVEL ONE'!F818</f>
        <v>26</v>
      </c>
      <c r="BJ16" s="111">
        <f>'FBMS-HND LEVEL ONE'!J818</f>
        <v>53</v>
      </c>
      <c r="BK16" s="111">
        <f>'FBMS-HND LEVEL ONE'!K818</f>
        <v>89</v>
      </c>
      <c r="BL16" s="120" t="str">
        <f>'FBMS-HND LEVEL ONE'!L818</f>
        <v>A</v>
      </c>
      <c r="BM16" s="119">
        <f>'FBMS-HND LEVEL ONE'!E890</f>
        <v>10</v>
      </c>
      <c r="BN16" s="111">
        <f>'FBMS-HND LEVEL ONE'!F890</f>
        <v>20</v>
      </c>
      <c r="BO16" s="173">
        <f>'FBMS-HND LEVEL ONE'!J890</f>
        <v>44</v>
      </c>
      <c r="BP16" s="173">
        <f>'FBMS-HND LEVEL ONE'!K890</f>
        <v>74</v>
      </c>
      <c r="BQ16" s="178" t="str">
        <f>'FBMS-HND LEVEL ONE'!L890</f>
        <v>B+</v>
      </c>
    </row>
    <row r="17" spans="1:69" ht="15.6" x14ac:dyDescent="0.3">
      <c r="A17" s="109">
        <v>9</v>
      </c>
      <c r="B17" s="306" t="s">
        <v>436</v>
      </c>
      <c r="C17" s="309" t="s">
        <v>371</v>
      </c>
      <c r="D17" s="306" t="s">
        <v>436</v>
      </c>
      <c r="E17" s="117">
        <f>'FBMS-HND LEVEL ONE'!E20</f>
        <v>9</v>
      </c>
      <c r="F17" s="111">
        <f>'FBMS-HND LEVEL ONE'!F20</f>
        <v>23</v>
      </c>
      <c r="G17" s="111">
        <f>'FBMS-HND LEVEL ONE'!J20</f>
        <v>57</v>
      </c>
      <c r="H17" s="112">
        <f>'FBMS-HND LEVEL ONE'!K20</f>
        <v>89</v>
      </c>
      <c r="I17" s="120" t="str">
        <f>'FBMS-HND LEVEL ONE'!L20</f>
        <v>A</v>
      </c>
      <c r="J17" s="119">
        <f>'FBMS-HND LEVEL ONE'!E89</f>
        <v>10</v>
      </c>
      <c r="K17" s="111">
        <f>'FBMS-HND LEVEL ONE'!F89</f>
        <v>28</v>
      </c>
      <c r="L17" s="111">
        <f>'FBMS-HND LEVEL ONE'!J89</f>
        <v>46</v>
      </c>
      <c r="M17" s="111">
        <f>'FBMS-HND LEVEL ONE'!K89</f>
        <v>84</v>
      </c>
      <c r="N17" s="120" t="str">
        <f>'FBMS-HND LEVEL ONE'!L89</f>
        <v>A</v>
      </c>
      <c r="O17" s="119">
        <f>'FBMS-HND LEVEL ONE'!E169</f>
        <v>10</v>
      </c>
      <c r="P17" s="111">
        <f>'FBMS-HND LEVEL ONE'!F169</f>
        <v>27.5</v>
      </c>
      <c r="Q17" s="111">
        <f>'FBMS-HND LEVEL ONE'!J169</f>
        <v>42</v>
      </c>
      <c r="R17" s="111">
        <f>'FBMS-HND LEVEL ONE'!K169</f>
        <v>79.5</v>
      </c>
      <c r="S17" s="120" t="str">
        <f>'FBMS-HND LEVEL ONE'!L169</f>
        <v>B+</v>
      </c>
      <c r="T17" s="119">
        <f>'FBMS-HND LEVEL ONE'!E238</f>
        <v>10</v>
      </c>
      <c r="U17" s="111">
        <f>'FBMS-HND LEVEL ONE'!F238</f>
        <v>26</v>
      </c>
      <c r="V17" s="111">
        <f>'FBMS-HND LEVEL ONE'!J238</f>
        <v>36</v>
      </c>
      <c r="W17" s="111">
        <f>'FBMS-HND LEVEL ONE'!K238</f>
        <v>72</v>
      </c>
      <c r="X17" s="120" t="str">
        <f>'FBMS-HND LEVEL ONE'!L238</f>
        <v>B+</v>
      </c>
      <c r="Y17" s="119">
        <f>'FBMS-HND LEVEL ONE'!E310</f>
        <v>10</v>
      </c>
      <c r="Z17" s="111">
        <f>'FBMS-HND LEVEL ONE'!F310</f>
        <v>16</v>
      </c>
      <c r="AA17" s="111">
        <f>'FBMS-HND LEVEL ONE'!J310</f>
        <v>45</v>
      </c>
      <c r="AB17" s="111">
        <f>'FBMS-HND LEVEL ONE'!K310</f>
        <v>71</v>
      </c>
      <c r="AC17" s="120" t="str">
        <f>'FBMS-HND LEVEL ONE'!L310</f>
        <v>B+</v>
      </c>
      <c r="AD17" s="119">
        <f>'FBMS-HND LEVEL ONE'!E381</f>
        <v>10</v>
      </c>
      <c r="AE17" s="111">
        <f>'FBMS-HND LEVEL ONE'!F381</f>
        <v>27</v>
      </c>
      <c r="AF17" s="173">
        <f>'FBMS-HND LEVEL ONE'!J381</f>
        <v>48</v>
      </c>
      <c r="AG17" s="173">
        <f>'FBMS-HND LEVEL ONE'!K381</f>
        <v>85</v>
      </c>
      <c r="AH17" s="178" t="str">
        <f>'FBMS-HND LEVEL ONE'!L381</f>
        <v>A</v>
      </c>
      <c r="AI17" s="117">
        <f>'FBMS-HND LEVEL ONE'!E459</f>
        <v>10</v>
      </c>
      <c r="AJ17" s="111">
        <f>'FBMS-HND LEVEL ONE'!F459</f>
        <v>29</v>
      </c>
      <c r="AK17" s="173">
        <f>'FBMS-HND LEVEL ONE'!J459</f>
        <v>50</v>
      </c>
      <c r="AL17" s="171">
        <f>'FBMS-HND LEVEL ONE'!K459</f>
        <v>89</v>
      </c>
      <c r="AM17" s="178" t="str">
        <f>'FBMS-HND LEVEL ONE'!L459</f>
        <v>A</v>
      </c>
      <c r="AN17" s="119">
        <f>'FBMS-HND LEVEL ONE'!E535</f>
        <v>10</v>
      </c>
      <c r="AO17" s="111">
        <f>'FBMS-HND LEVEL ONE'!F535</f>
        <v>26.5</v>
      </c>
      <c r="AP17" s="111">
        <f>'FBMS-HND LEVEL ONE'!J535</f>
        <v>46</v>
      </c>
      <c r="AQ17" s="111">
        <f>'FBMS-HND LEVEL ONE'!K535</f>
        <v>82.5</v>
      </c>
      <c r="AR17" s="120" t="str">
        <f>'FBMS-HND LEVEL ONE'!L535</f>
        <v>A</v>
      </c>
      <c r="AS17" s="121">
        <f>'FBMS-HND LEVEL ONE'!E605</f>
        <v>10</v>
      </c>
      <c r="AT17" s="173">
        <f>'FBMS-HND LEVEL ONE'!F605</f>
        <v>15</v>
      </c>
      <c r="AU17" s="173">
        <f>'FBMS-HND LEVEL ONE'!J605</f>
        <v>40</v>
      </c>
      <c r="AV17" s="173">
        <f>'FBMS-HND LEVEL ONE'!K605</f>
        <v>65</v>
      </c>
      <c r="AW17" s="174" t="str">
        <f>'FBMS-HND LEVEL ONE'!L605</f>
        <v>B</v>
      </c>
      <c r="AX17" s="119">
        <f>'FBMS-HND LEVEL ONE'!E676</f>
        <v>10</v>
      </c>
      <c r="AY17" s="111">
        <f>'FBMS-HND LEVEL ONE'!F676</f>
        <v>22</v>
      </c>
      <c r="AZ17" s="111">
        <f>'FBMS-HND LEVEL ONE'!J676</f>
        <v>45</v>
      </c>
      <c r="BA17" s="111">
        <f>'FBMS-HND LEVEL ONE'!K676</f>
        <v>77</v>
      </c>
      <c r="BB17" s="120" t="str">
        <f>'FBMS-HND LEVEL ONE'!L676</f>
        <v>B+</v>
      </c>
      <c r="BC17" s="121">
        <f>'FBMS-HND LEVEL ONE'!E751</f>
        <v>8</v>
      </c>
      <c r="BD17" s="111">
        <f>'FBMS-HND LEVEL ONE'!F751</f>
        <v>13</v>
      </c>
      <c r="BE17" s="111">
        <f>'FBMS-HND LEVEL ONE'!J751</f>
        <v>40</v>
      </c>
      <c r="BF17" s="111">
        <f>'FBMS-HND LEVEL ONE'!K751</f>
        <v>61</v>
      </c>
      <c r="BG17" s="111" t="str">
        <f>'FBMS-HND LEVEL ONE'!L751</f>
        <v>B</v>
      </c>
      <c r="BH17" s="119">
        <f>'FBMS-HND LEVEL ONE'!E819</f>
        <v>10</v>
      </c>
      <c r="BI17" s="111">
        <f>'FBMS-HND LEVEL ONE'!F819</f>
        <v>22</v>
      </c>
      <c r="BJ17" s="111">
        <f>'FBMS-HND LEVEL ONE'!J819</f>
        <v>40</v>
      </c>
      <c r="BK17" s="111">
        <f>'FBMS-HND LEVEL ONE'!K819</f>
        <v>72</v>
      </c>
      <c r="BL17" s="120" t="str">
        <f>'FBMS-HND LEVEL ONE'!L819</f>
        <v>B+</v>
      </c>
      <c r="BM17" s="119">
        <f>'FBMS-HND LEVEL ONE'!E891</f>
        <v>10</v>
      </c>
      <c r="BN17" s="111">
        <f>'FBMS-HND LEVEL ONE'!F891</f>
        <v>21</v>
      </c>
      <c r="BO17" s="173">
        <f>'FBMS-HND LEVEL ONE'!J891</f>
        <v>45</v>
      </c>
      <c r="BP17" s="173">
        <f>'FBMS-HND LEVEL ONE'!K891</f>
        <v>76</v>
      </c>
      <c r="BQ17" s="178" t="str">
        <f>'FBMS-HND LEVEL ONE'!L891</f>
        <v>B+</v>
      </c>
    </row>
    <row r="18" spans="1:69" x14ac:dyDescent="0.3">
      <c r="A18" s="116">
        <v>10</v>
      </c>
      <c r="B18" s="306" t="s">
        <v>437</v>
      </c>
      <c r="C18" s="310" t="s">
        <v>372</v>
      </c>
      <c r="D18" s="306" t="s">
        <v>437</v>
      </c>
      <c r="E18" s="117">
        <f>'FBMS-HND LEVEL ONE'!E21</f>
        <v>9</v>
      </c>
      <c r="F18" s="111">
        <f>'FBMS-HND LEVEL ONE'!F21</f>
        <v>20</v>
      </c>
      <c r="G18" s="111">
        <f>'FBMS-HND LEVEL ONE'!J21</f>
        <v>17</v>
      </c>
      <c r="H18" s="112">
        <f>'FBMS-HND LEVEL ONE'!K21</f>
        <v>46</v>
      </c>
      <c r="I18" s="120" t="str">
        <f>'FBMS-HND LEVEL ONE'!L21</f>
        <v>D+</v>
      </c>
      <c r="J18" s="119">
        <f>'FBMS-HND LEVEL ONE'!E90</f>
        <v>9</v>
      </c>
      <c r="K18" s="111">
        <f>'FBMS-HND LEVEL ONE'!F90</f>
        <v>26</v>
      </c>
      <c r="L18" s="111">
        <f>'FBMS-HND LEVEL ONE'!J90</f>
        <v>12</v>
      </c>
      <c r="M18" s="111">
        <f>'FBMS-HND LEVEL ONE'!K90</f>
        <v>47</v>
      </c>
      <c r="N18" s="120" t="str">
        <f>'FBMS-HND LEVEL ONE'!L90</f>
        <v>D+</v>
      </c>
      <c r="O18" s="119">
        <f>'FBMS-HND LEVEL ONE'!E170</f>
        <v>10</v>
      </c>
      <c r="P18" s="111">
        <f>'FBMS-HND LEVEL ONE'!F170</f>
        <v>25</v>
      </c>
      <c r="Q18" s="111">
        <f>'FBMS-HND LEVEL ONE'!J170</f>
        <v>8</v>
      </c>
      <c r="R18" s="111">
        <f>'FBMS-HND LEVEL ONE'!K170</f>
        <v>43</v>
      </c>
      <c r="S18" s="120" t="str">
        <f>'FBMS-HND LEVEL ONE'!L170</f>
        <v>D</v>
      </c>
      <c r="T18" s="119">
        <f>'FBMS-HND LEVEL ONE'!E239</f>
        <v>9</v>
      </c>
      <c r="U18" s="111">
        <f>'FBMS-HND LEVEL ONE'!F239</f>
        <v>13</v>
      </c>
      <c r="V18" s="111">
        <f>'FBMS-HND LEVEL ONE'!J239</f>
        <v>39</v>
      </c>
      <c r="W18" s="111">
        <f>'FBMS-HND LEVEL ONE'!K239</f>
        <v>61</v>
      </c>
      <c r="X18" s="120" t="str">
        <f>'FBMS-HND LEVEL ONE'!L239</f>
        <v>B</v>
      </c>
      <c r="Y18" s="119">
        <f>'FBMS-HND LEVEL ONE'!E311</f>
        <v>10</v>
      </c>
      <c r="Z18" s="111">
        <f>'FBMS-HND LEVEL ONE'!F311</f>
        <v>10</v>
      </c>
      <c r="AA18" s="111">
        <f>'FBMS-HND LEVEL ONE'!J311</f>
        <v>19</v>
      </c>
      <c r="AB18" s="111">
        <f>'FBMS-HND LEVEL ONE'!K311</f>
        <v>39</v>
      </c>
      <c r="AC18" s="120" t="str">
        <f>'FBMS-HND LEVEL ONE'!L311</f>
        <v>F</v>
      </c>
      <c r="AD18" s="119">
        <f>'FBMS-HND LEVEL ONE'!E382</f>
        <v>10</v>
      </c>
      <c r="AE18" s="111">
        <f>'FBMS-HND LEVEL ONE'!F382</f>
        <v>13</v>
      </c>
      <c r="AF18" s="173">
        <f>'FBMS-HND LEVEL ONE'!J382</f>
        <v>19</v>
      </c>
      <c r="AG18" s="173">
        <f>'FBMS-HND LEVEL ONE'!K382</f>
        <v>42</v>
      </c>
      <c r="AH18" s="178" t="str">
        <f>'FBMS-HND LEVEL ONE'!L382</f>
        <v>D</v>
      </c>
      <c r="AI18" s="117">
        <f>'FBMS-HND LEVEL ONE'!E460</f>
        <v>10</v>
      </c>
      <c r="AJ18" s="111">
        <f>'FBMS-HND LEVEL ONE'!F460</f>
        <v>19</v>
      </c>
      <c r="AK18" s="173">
        <f>'FBMS-HND LEVEL ONE'!J460</f>
        <v>18</v>
      </c>
      <c r="AL18" s="171">
        <f>'FBMS-HND LEVEL ONE'!K460</f>
        <v>47</v>
      </c>
      <c r="AM18" s="178" t="str">
        <f>'FBMS-HND LEVEL ONE'!L460</f>
        <v>D+</v>
      </c>
      <c r="AN18" s="119">
        <f>'FBMS-HND LEVEL ONE'!E536</f>
        <v>10</v>
      </c>
      <c r="AO18" s="111">
        <f>'FBMS-HND LEVEL ONE'!F536</f>
        <v>17</v>
      </c>
      <c r="AP18" s="111">
        <f>'FBMS-HND LEVEL ONE'!J536</f>
        <v>16</v>
      </c>
      <c r="AQ18" s="111">
        <f>'FBMS-HND LEVEL ONE'!K536</f>
        <v>43</v>
      </c>
      <c r="AR18" s="120" t="str">
        <f>'FBMS-HND LEVEL ONE'!L536</f>
        <v>D</v>
      </c>
      <c r="AS18" s="121">
        <f>'FBMS-HND LEVEL ONE'!E606</f>
        <v>10</v>
      </c>
      <c r="AT18" s="111">
        <f>'FBMS-HND LEVEL ONE'!F606</f>
        <v>15</v>
      </c>
      <c r="AU18" s="173">
        <f>'FBMS-HND LEVEL ONE'!J606</f>
        <v>15</v>
      </c>
      <c r="AV18" s="173">
        <f>'FBMS-HND LEVEL ONE'!K606</f>
        <v>40</v>
      </c>
      <c r="AW18" s="174" t="str">
        <f>'FBMS-HND LEVEL ONE'!L606</f>
        <v>D</v>
      </c>
      <c r="AX18" s="119">
        <f>'FBMS-HND LEVEL ONE'!E677</f>
        <v>10</v>
      </c>
      <c r="AY18" s="111">
        <f>'FBMS-HND LEVEL ONE'!F677</f>
        <v>11</v>
      </c>
      <c r="AZ18" s="111">
        <f>'FBMS-HND LEVEL ONE'!J677</f>
        <v>4</v>
      </c>
      <c r="BA18" s="111">
        <f>'FBMS-HND LEVEL ONE'!K677</f>
        <v>25</v>
      </c>
      <c r="BB18" s="120" t="str">
        <f>'FBMS-HND LEVEL ONE'!L677</f>
        <v>F</v>
      </c>
      <c r="BC18" s="121">
        <f>'FBMS-HND LEVEL ONE'!E752</f>
        <v>8</v>
      </c>
      <c r="BD18" s="111">
        <f>'FBMS-HND LEVEL ONE'!F752</f>
        <v>15</v>
      </c>
      <c r="BE18" s="111">
        <f>'FBMS-HND LEVEL ONE'!J752</f>
        <v>36</v>
      </c>
      <c r="BF18" s="111">
        <f>'FBMS-HND LEVEL ONE'!K752</f>
        <v>59</v>
      </c>
      <c r="BG18" s="111" t="str">
        <f>'FBMS-HND LEVEL ONE'!L752</f>
        <v>C+</v>
      </c>
      <c r="BH18" s="252">
        <f>'FBMS-HND LEVEL ONE'!E820</f>
        <v>10</v>
      </c>
      <c r="BI18" s="111">
        <f>'FBMS-HND LEVEL ONE'!F820</f>
        <v>25</v>
      </c>
      <c r="BJ18" s="111">
        <f>'FBMS-HND LEVEL ONE'!J820</f>
        <v>10</v>
      </c>
      <c r="BK18" s="111">
        <f>'FBMS-HND LEVEL ONE'!K820</f>
        <v>45</v>
      </c>
      <c r="BL18" s="120" t="str">
        <f>'FBMS-HND LEVEL ONE'!L820</f>
        <v>D+</v>
      </c>
      <c r="BM18" s="119">
        <f>'FBMS-HND LEVEL ONE'!E892</f>
        <v>10</v>
      </c>
      <c r="BN18" s="111">
        <f>'FBMS-HND LEVEL ONE'!F892</f>
        <v>23</v>
      </c>
      <c r="BO18" s="173">
        <f>'FBMS-HND LEVEL ONE'!J892</f>
        <v>33</v>
      </c>
      <c r="BP18" s="173">
        <f>'FBMS-HND LEVEL ONE'!K892</f>
        <v>66</v>
      </c>
      <c r="BQ18" s="178" t="str">
        <f>'FBMS-HND LEVEL ONE'!L892</f>
        <v>B</v>
      </c>
    </row>
    <row r="19" spans="1:69" ht="15.6" x14ac:dyDescent="0.3">
      <c r="A19" s="109">
        <v>11</v>
      </c>
      <c r="B19" s="306" t="s">
        <v>438</v>
      </c>
      <c r="C19" s="307" t="s">
        <v>373</v>
      </c>
      <c r="D19" s="306" t="s">
        <v>438</v>
      </c>
      <c r="E19" s="117">
        <f>'FBMS-HND LEVEL ONE'!E22</f>
        <v>10</v>
      </c>
      <c r="F19" s="111">
        <f>'FBMS-HND LEVEL ONE'!F22</f>
        <v>24</v>
      </c>
      <c r="G19" s="111">
        <f>'FBMS-HND LEVEL ONE'!J22</f>
        <v>42</v>
      </c>
      <c r="H19" s="112">
        <f>'FBMS-HND LEVEL ONE'!K22</f>
        <v>76</v>
      </c>
      <c r="I19" s="120" t="str">
        <f>'FBMS-HND LEVEL ONE'!L22</f>
        <v>B+</v>
      </c>
      <c r="J19" s="119">
        <f>'FBMS-HND LEVEL ONE'!E91</f>
        <v>10</v>
      </c>
      <c r="K19" s="111">
        <f>'FBMS-HND LEVEL ONE'!F91</f>
        <v>27</v>
      </c>
      <c r="L19" s="111">
        <f>'FBMS-HND LEVEL ONE'!J91</f>
        <v>50</v>
      </c>
      <c r="M19" s="111">
        <f>'FBMS-HND LEVEL ONE'!K91</f>
        <v>87</v>
      </c>
      <c r="N19" s="120" t="str">
        <f>'FBMS-HND LEVEL ONE'!L91</f>
        <v>A</v>
      </c>
      <c r="O19" s="119">
        <f>'FBMS-HND LEVEL ONE'!E171</f>
        <v>10</v>
      </c>
      <c r="P19" s="111">
        <f>'FBMS-HND LEVEL ONE'!F171</f>
        <v>27</v>
      </c>
      <c r="Q19" s="111">
        <f>'FBMS-HND LEVEL ONE'!J171</f>
        <v>36</v>
      </c>
      <c r="R19" s="111">
        <f>'FBMS-HND LEVEL ONE'!K171</f>
        <v>73</v>
      </c>
      <c r="S19" s="120" t="str">
        <f>'FBMS-HND LEVEL ONE'!L171</f>
        <v>B+</v>
      </c>
      <c r="T19" s="119">
        <f>'FBMS-HND LEVEL ONE'!E240</f>
        <v>10</v>
      </c>
      <c r="U19" s="111">
        <f>'FBMS-HND LEVEL ONE'!F240</f>
        <v>25</v>
      </c>
      <c r="V19" s="111">
        <f>'FBMS-HND LEVEL ONE'!J240</f>
        <v>44</v>
      </c>
      <c r="W19" s="111">
        <f>'FBMS-HND LEVEL ONE'!K240</f>
        <v>79</v>
      </c>
      <c r="X19" s="120" t="str">
        <f>'FBMS-HND LEVEL ONE'!L240</f>
        <v>B+</v>
      </c>
      <c r="Y19" s="119">
        <f>'FBMS-HND LEVEL ONE'!E312</f>
        <v>10</v>
      </c>
      <c r="Z19" s="111">
        <f>'FBMS-HND LEVEL ONE'!F312</f>
        <v>23</v>
      </c>
      <c r="AA19" s="111">
        <f>'FBMS-HND LEVEL ONE'!J312</f>
        <v>37</v>
      </c>
      <c r="AB19" s="111">
        <f>'FBMS-HND LEVEL ONE'!K312</f>
        <v>70</v>
      </c>
      <c r="AC19" s="120" t="str">
        <f>'FBMS-HND LEVEL ONE'!L312</f>
        <v>B+</v>
      </c>
      <c r="AD19" s="119">
        <f>'FBMS-HND LEVEL ONE'!E383</f>
        <v>10</v>
      </c>
      <c r="AE19" s="111">
        <f>'FBMS-HND LEVEL ONE'!F383</f>
        <v>27</v>
      </c>
      <c r="AF19" s="173">
        <f>'FBMS-HND LEVEL ONE'!J383</f>
        <v>44</v>
      </c>
      <c r="AG19" s="173">
        <f>'FBMS-HND LEVEL ONE'!K383</f>
        <v>81</v>
      </c>
      <c r="AH19" s="178" t="str">
        <f>'FBMS-HND LEVEL ONE'!L383</f>
        <v>A</v>
      </c>
      <c r="AI19" s="117">
        <f>'FBMS-HND LEVEL ONE'!E461</f>
        <v>10</v>
      </c>
      <c r="AJ19" s="111">
        <f>'FBMS-HND LEVEL ONE'!F461</f>
        <v>29</v>
      </c>
      <c r="AK19" s="173">
        <f>'FBMS-HND LEVEL ONE'!J461</f>
        <v>46</v>
      </c>
      <c r="AL19" s="171">
        <f>'FBMS-HND LEVEL ONE'!K461</f>
        <v>85</v>
      </c>
      <c r="AM19" s="178" t="str">
        <f>'FBMS-HND LEVEL ONE'!L461</f>
        <v>A</v>
      </c>
      <c r="AN19" s="119">
        <f>'FBMS-HND LEVEL ONE'!E537</f>
        <v>10</v>
      </c>
      <c r="AO19" s="111">
        <f>'FBMS-HND LEVEL ONE'!F537</f>
        <v>23</v>
      </c>
      <c r="AP19" s="111">
        <f>'FBMS-HND LEVEL ONE'!J537</f>
        <v>42</v>
      </c>
      <c r="AQ19" s="111">
        <f>'FBMS-HND LEVEL ONE'!K537</f>
        <v>75</v>
      </c>
      <c r="AR19" s="120" t="str">
        <f>'FBMS-HND LEVEL ONE'!L537</f>
        <v>B+</v>
      </c>
      <c r="AS19" s="121">
        <f>'FBMS-HND LEVEL ONE'!E607</f>
        <v>10</v>
      </c>
      <c r="AT19" s="111">
        <f>'FBMS-HND LEVEL ONE'!F607</f>
        <v>16</v>
      </c>
      <c r="AU19" s="173">
        <f>'FBMS-HND LEVEL ONE'!J607</f>
        <v>51</v>
      </c>
      <c r="AV19" s="173">
        <f>'FBMS-HND LEVEL ONE'!K607</f>
        <v>77</v>
      </c>
      <c r="AW19" s="174" t="str">
        <f>'FBMS-HND LEVEL ONE'!L607</f>
        <v>B+</v>
      </c>
      <c r="AX19" s="119">
        <f>'FBMS-HND LEVEL ONE'!E678</f>
        <v>10</v>
      </c>
      <c r="AY19" s="111">
        <f>'FBMS-HND LEVEL ONE'!F678</f>
        <v>26</v>
      </c>
      <c r="AZ19" s="111">
        <f>'FBMS-HND LEVEL ONE'!J678</f>
        <v>54</v>
      </c>
      <c r="BA19" s="111">
        <f>'FBMS-HND LEVEL ONE'!K678</f>
        <v>90</v>
      </c>
      <c r="BB19" s="120" t="str">
        <f>'FBMS-HND LEVEL ONE'!L678</f>
        <v>A</v>
      </c>
      <c r="BC19" s="121">
        <f>'FBMS-HND LEVEL ONE'!E753</f>
        <v>8</v>
      </c>
      <c r="BD19" s="111">
        <f>'FBMS-HND LEVEL ONE'!F753</f>
        <v>15</v>
      </c>
      <c r="BE19" s="111">
        <f>'FBMS-HND LEVEL ONE'!J753</f>
        <v>21</v>
      </c>
      <c r="BF19" s="111">
        <f>'FBMS-HND LEVEL ONE'!K753</f>
        <v>44</v>
      </c>
      <c r="BG19" s="111" t="str">
        <f>'FBMS-HND LEVEL ONE'!L753</f>
        <v>D</v>
      </c>
      <c r="BH19" s="252">
        <f>'FBMS-HND LEVEL ONE'!E821</f>
        <v>10</v>
      </c>
      <c r="BI19" s="111">
        <f>'FBMS-HND LEVEL ONE'!F821</f>
        <v>26</v>
      </c>
      <c r="BJ19" s="111">
        <f>'FBMS-HND LEVEL ONE'!J821</f>
        <v>52</v>
      </c>
      <c r="BK19" s="111">
        <f>'FBMS-HND LEVEL ONE'!K821</f>
        <v>88</v>
      </c>
      <c r="BL19" s="120" t="str">
        <f>'FBMS-HND LEVEL ONE'!L821</f>
        <v>A</v>
      </c>
      <c r="BM19" s="119">
        <f>'FBMS-HND LEVEL ONE'!E893</f>
        <v>10</v>
      </c>
      <c r="BN19" s="111">
        <f>'FBMS-HND LEVEL ONE'!F893</f>
        <v>22</v>
      </c>
      <c r="BO19" s="173">
        <f>'FBMS-HND LEVEL ONE'!J893</f>
        <v>45</v>
      </c>
      <c r="BP19" s="173">
        <f>'FBMS-HND LEVEL ONE'!K893</f>
        <v>77</v>
      </c>
      <c r="BQ19" s="178" t="str">
        <f>'FBMS-HND LEVEL ONE'!L893</f>
        <v>B+</v>
      </c>
    </row>
    <row r="20" spans="1:69" ht="15.6" x14ac:dyDescent="0.3">
      <c r="A20" s="116">
        <v>12</v>
      </c>
      <c r="B20" s="306" t="s">
        <v>439</v>
      </c>
      <c r="C20" s="307" t="s">
        <v>565</v>
      </c>
      <c r="D20" s="306" t="s">
        <v>439</v>
      </c>
      <c r="E20" s="117">
        <f>'FBMS-HND LEVEL ONE'!E23</f>
        <v>9</v>
      </c>
      <c r="F20" s="111">
        <f>'FBMS-HND LEVEL ONE'!F23</f>
        <v>13</v>
      </c>
      <c r="G20" s="111">
        <f>'FBMS-HND LEVEL ONE'!J23</f>
        <v>28</v>
      </c>
      <c r="H20" s="112">
        <f>'FBMS-HND LEVEL ONE'!K23</f>
        <v>50</v>
      </c>
      <c r="I20" s="120" t="str">
        <f>'FBMS-HND LEVEL ONE'!L23</f>
        <v>C</v>
      </c>
      <c r="J20" s="119">
        <f>'FBMS-HND LEVEL ONE'!E92</f>
        <v>10</v>
      </c>
      <c r="K20" s="111">
        <f>'FBMS-HND LEVEL ONE'!F92</f>
        <v>17</v>
      </c>
      <c r="L20" s="111">
        <f>'FBMS-HND LEVEL ONE'!J92</f>
        <v>31</v>
      </c>
      <c r="M20" s="111">
        <f>'FBMS-HND LEVEL ONE'!K92</f>
        <v>58</v>
      </c>
      <c r="N20" s="120" t="str">
        <f>'FBMS-HND LEVEL ONE'!L92</f>
        <v>C+</v>
      </c>
      <c r="O20" s="119">
        <f>'FBMS-HND LEVEL ONE'!E172</f>
        <v>10</v>
      </c>
      <c r="P20" s="111">
        <f>'FBMS-HND LEVEL ONE'!F172</f>
        <v>15</v>
      </c>
      <c r="Q20" s="111">
        <f>'FBMS-HND LEVEL ONE'!J172</f>
        <v>25</v>
      </c>
      <c r="R20" s="111">
        <f>'FBMS-HND LEVEL ONE'!K172</f>
        <v>50</v>
      </c>
      <c r="S20" s="120" t="str">
        <f>'FBMS-HND LEVEL ONE'!L172</f>
        <v>C</v>
      </c>
      <c r="T20" s="119">
        <f>'FBMS-HND LEVEL ONE'!E241</f>
        <v>10</v>
      </c>
      <c r="U20" s="111">
        <f>'FBMS-HND LEVEL ONE'!F241</f>
        <v>23</v>
      </c>
      <c r="V20" s="111">
        <f>'FBMS-HND LEVEL ONE'!J241</f>
        <v>27</v>
      </c>
      <c r="W20" s="111">
        <f>'FBMS-HND LEVEL ONE'!K241</f>
        <v>60</v>
      </c>
      <c r="X20" s="120" t="str">
        <f>'FBMS-HND LEVEL ONE'!L241</f>
        <v>B</v>
      </c>
      <c r="Y20" s="119">
        <f>'FBMS-HND LEVEL ONE'!E313</f>
        <v>10</v>
      </c>
      <c r="Z20" s="111">
        <f>'FBMS-HND LEVEL ONE'!F313</f>
        <v>12</v>
      </c>
      <c r="AA20" s="111">
        <f>'FBMS-HND LEVEL ONE'!J313</f>
        <v>30</v>
      </c>
      <c r="AB20" s="111">
        <f>'FBMS-HND LEVEL ONE'!K313</f>
        <v>52</v>
      </c>
      <c r="AC20" s="120" t="str">
        <f>'FBMS-HND LEVEL ONE'!L313</f>
        <v>C</v>
      </c>
      <c r="AD20" s="119">
        <f>'FBMS-HND LEVEL ONE'!E384</f>
        <v>10</v>
      </c>
      <c r="AE20" s="111">
        <f>'FBMS-HND LEVEL ONE'!F384</f>
        <v>15</v>
      </c>
      <c r="AF20" s="173">
        <f>'FBMS-HND LEVEL ONE'!J384</f>
        <v>29</v>
      </c>
      <c r="AG20" s="173">
        <f>'FBMS-HND LEVEL ONE'!K384</f>
        <v>54</v>
      </c>
      <c r="AH20" s="178" t="str">
        <f>'FBMS-HND LEVEL ONE'!L384</f>
        <v>C</v>
      </c>
      <c r="AI20" s="117">
        <f>'FBMS-HND LEVEL ONE'!E462</f>
        <v>10</v>
      </c>
      <c r="AJ20" s="111">
        <f>'FBMS-HND LEVEL ONE'!F462</f>
        <v>29</v>
      </c>
      <c r="AK20" s="173">
        <f>'FBMS-HND LEVEL ONE'!J462</f>
        <v>39</v>
      </c>
      <c r="AL20" s="171">
        <f>'FBMS-HND LEVEL ONE'!K462</f>
        <v>78</v>
      </c>
      <c r="AM20" s="178" t="str">
        <f>'FBMS-HND LEVEL ONE'!L462</f>
        <v>B+</v>
      </c>
      <c r="AN20" s="119">
        <f>'FBMS-HND LEVEL ONE'!E538</f>
        <v>10</v>
      </c>
      <c r="AO20" s="111">
        <f>'FBMS-HND LEVEL ONE'!F538</f>
        <v>13</v>
      </c>
      <c r="AP20" s="111">
        <f>'FBMS-HND LEVEL ONE'!J538</f>
        <v>30</v>
      </c>
      <c r="AQ20" s="111">
        <f>'FBMS-HND LEVEL ONE'!K538</f>
        <v>53</v>
      </c>
      <c r="AR20" s="120" t="str">
        <f>'FBMS-HND LEVEL ONE'!L538</f>
        <v>C</v>
      </c>
      <c r="AS20" s="121">
        <f>'FBMS-HND LEVEL ONE'!E608</f>
        <v>10</v>
      </c>
      <c r="AT20" s="111">
        <f>'FBMS-HND LEVEL ONE'!F608</f>
        <v>15</v>
      </c>
      <c r="AU20" s="173">
        <f>'FBMS-HND LEVEL ONE'!J608</f>
        <v>40</v>
      </c>
      <c r="AV20" s="173">
        <f>'FBMS-HND LEVEL ONE'!K608</f>
        <v>65</v>
      </c>
      <c r="AW20" s="174" t="str">
        <f>'FBMS-HND LEVEL ONE'!L608</f>
        <v>B</v>
      </c>
      <c r="AX20" s="119">
        <f>'FBMS-HND LEVEL ONE'!E679</f>
        <v>10</v>
      </c>
      <c r="AY20" s="111">
        <f>'FBMS-HND LEVEL ONE'!F679</f>
        <v>21</v>
      </c>
      <c r="AZ20" s="111">
        <f>'FBMS-HND LEVEL ONE'!J679</f>
        <v>36</v>
      </c>
      <c r="BA20" s="111">
        <f>'FBMS-HND LEVEL ONE'!K679</f>
        <v>67</v>
      </c>
      <c r="BB20" s="120" t="str">
        <f>'FBMS-HND LEVEL ONE'!L679</f>
        <v>B</v>
      </c>
      <c r="BC20" s="121">
        <f>'FBMS-HND LEVEL ONE'!E754</f>
        <v>8</v>
      </c>
      <c r="BD20" s="111">
        <f>'FBMS-HND LEVEL ONE'!F754</f>
        <v>25</v>
      </c>
      <c r="BE20" s="111">
        <f>'FBMS-HND LEVEL ONE'!J754</f>
        <v>17</v>
      </c>
      <c r="BF20" s="111">
        <f>'FBMS-HND LEVEL ONE'!K754</f>
        <v>50</v>
      </c>
      <c r="BG20" s="111" t="str">
        <f>'FBMS-HND LEVEL ONE'!L754</f>
        <v>C</v>
      </c>
      <c r="BH20" s="119">
        <f>'FBMS-HND LEVEL ONE'!E822</f>
        <v>9</v>
      </c>
      <c r="BI20" s="111">
        <f>'FBMS-HND LEVEL ONE'!F822</f>
        <v>22</v>
      </c>
      <c r="BJ20" s="111">
        <f>'FBMS-HND LEVEL ONE'!J822</f>
        <v>39</v>
      </c>
      <c r="BK20" s="111">
        <f>'FBMS-HND LEVEL ONE'!K822</f>
        <v>70</v>
      </c>
      <c r="BL20" s="120" t="str">
        <f>'FBMS-HND LEVEL ONE'!L822</f>
        <v>B+</v>
      </c>
      <c r="BM20" s="119">
        <f>'FBMS-HND LEVEL ONE'!E894</f>
        <v>10</v>
      </c>
      <c r="BN20" s="111">
        <f>'FBMS-HND LEVEL ONE'!F894</f>
        <v>17</v>
      </c>
      <c r="BO20" s="173">
        <f>'FBMS-HND LEVEL ONE'!J894</f>
        <v>30</v>
      </c>
      <c r="BP20" s="173">
        <f>'FBMS-HND LEVEL ONE'!K894</f>
        <v>57</v>
      </c>
      <c r="BQ20" s="178" t="str">
        <f>'FBMS-HND LEVEL ONE'!L894</f>
        <v>C+</v>
      </c>
    </row>
    <row r="21" spans="1:69" x14ac:dyDescent="0.3">
      <c r="A21" s="109">
        <v>13</v>
      </c>
      <c r="B21" s="306" t="s">
        <v>440</v>
      </c>
      <c r="C21" s="310" t="s">
        <v>374</v>
      </c>
      <c r="D21" s="306" t="s">
        <v>440</v>
      </c>
      <c r="E21" s="117">
        <f>'FBMS-HND LEVEL ONE'!E24</f>
        <v>10</v>
      </c>
      <c r="F21" s="111">
        <f>'FBMS-HND LEVEL ONE'!F24</f>
        <v>17</v>
      </c>
      <c r="G21" s="111">
        <f>'FBMS-HND LEVEL ONE'!J24</f>
        <v>60</v>
      </c>
      <c r="H21" s="112">
        <f>'FBMS-HND LEVEL ONE'!K24</f>
        <v>87</v>
      </c>
      <c r="I21" s="120" t="str">
        <f>'FBMS-HND LEVEL ONE'!L24</f>
        <v>A</v>
      </c>
      <c r="J21" s="119">
        <f>'FBMS-HND LEVEL ONE'!E93</f>
        <v>10</v>
      </c>
      <c r="K21" s="111">
        <f>'FBMS-HND LEVEL ONE'!F93</f>
        <v>25</v>
      </c>
      <c r="L21" s="111">
        <f>'FBMS-HND LEVEL ONE'!J93</f>
        <v>38</v>
      </c>
      <c r="M21" s="111">
        <f>'FBMS-HND LEVEL ONE'!K93</f>
        <v>73</v>
      </c>
      <c r="N21" s="120" t="str">
        <f>'FBMS-HND LEVEL ONE'!L93</f>
        <v>B+</v>
      </c>
      <c r="O21" s="119">
        <f>'FBMS-HND LEVEL ONE'!E173</f>
        <v>10</v>
      </c>
      <c r="P21" s="111">
        <f>'FBMS-HND LEVEL ONE'!F173</f>
        <v>26</v>
      </c>
      <c r="Q21" s="111">
        <f>'FBMS-HND LEVEL ONE'!J173</f>
        <v>42</v>
      </c>
      <c r="R21" s="111">
        <f>'FBMS-HND LEVEL ONE'!K173</f>
        <v>78</v>
      </c>
      <c r="S21" s="120" t="str">
        <f>'FBMS-HND LEVEL ONE'!L173</f>
        <v>B+</v>
      </c>
      <c r="T21" s="119">
        <f>'FBMS-HND LEVEL ONE'!E242</f>
        <v>10</v>
      </c>
      <c r="U21" s="111">
        <f>'FBMS-HND LEVEL ONE'!F242</f>
        <v>21</v>
      </c>
      <c r="V21" s="111">
        <f>'FBMS-HND LEVEL ONE'!J242</f>
        <v>38</v>
      </c>
      <c r="W21" s="111">
        <f>'FBMS-HND LEVEL ONE'!K242</f>
        <v>69</v>
      </c>
      <c r="X21" s="120" t="str">
        <f>'FBMS-HND LEVEL ONE'!L242</f>
        <v>B</v>
      </c>
      <c r="Y21" s="119">
        <f>'FBMS-HND LEVEL ONE'!E314</f>
        <v>9</v>
      </c>
      <c r="Z21" s="111">
        <f>'FBMS-HND LEVEL ONE'!F314</f>
        <v>19</v>
      </c>
      <c r="AA21" s="111">
        <f>'FBMS-HND LEVEL ONE'!J314</f>
        <v>38</v>
      </c>
      <c r="AB21" s="111">
        <f>'FBMS-HND LEVEL ONE'!K314</f>
        <v>66</v>
      </c>
      <c r="AC21" s="120" t="str">
        <f>'FBMS-HND LEVEL ONE'!L314</f>
        <v>B</v>
      </c>
      <c r="AD21" s="119">
        <f>'FBMS-HND LEVEL ONE'!E385</f>
        <v>9</v>
      </c>
      <c r="AE21" s="111">
        <f>'FBMS-HND LEVEL ONE'!F385</f>
        <v>25.5</v>
      </c>
      <c r="AF21" s="173">
        <f>'FBMS-HND LEVEL ONE'!J385</f>
        <v>31</v>
      </c>
      <c r="AG21" s="173">
        <f>'FBMS-HND LEVEL ONE'!K385</f>
        <v>65.5</v>
      </c>
      <c r="AH21" s="178" t="str">
        <f>'FBMS-HND LEVEL ONE'!L385</f>
        <v>B</v>
      </c>
      <c r="AI21" s="117">
        <f>'FBMS-HND LEVEL ONE'!E463</f>
        <v>10</v>
      </c>
      <c r="AJ21" s="111">
        <f>'FBMS-HND LEVEL ONE'!F463</f>
        <v>26</v>
      </c>
      <c r="AK21" s="173">
        <f>'FBMS-HND LEVEL ONE'!J463</f>
        <v>46</v>
      </c>
      <c r="AL21" s="171">
        <f>'FBMS-HND LEVEL ONE'!K463</f>
        <v>82</v>
      </c>
      <c r="AM21" s="178" t="str">
        <f>'FBMS-HND LEVEL ONE'!L463</f>
        <v>A</v>
      </c>
      <c r="AN21" s="119">
        <f>'FBMS-HND LEVEL ONE'!E539</f>
        <v>10</v>
      </c>
      <c r="AO21" s="111">
        <f>'FBMS-HND LEVEL ONE'!F539</f>
        <v>23.5</v>
      </c>
      <c r="AP21" s="111">
        <f>'FBMS-HND LEVEL ONE'!J539</f>
        <v>60</v>
      </c>
      <c r="AQ21" s="111">
        <f>'FBMS-HND LEVEL ONE'!K539</f>
        <v>93.5</v>
      </c>
      <c r="AR21" s="120" t="str">
        <f>'FBMS-HND LEVEL ONE'!L539</f>
        <v>A</v>
      </c>
      <c r="AS21" s="121">
        <f>'FBMS-HND LEVEL ONE'!E609</f>
        <v>10</v>
      </c>
      <c r="AT21" s="173">
        <f>'FBMS-HND LEVEL ONE'!F609</f>
        <v>20</v>
      </c>
      <c r="AU21" s="173">
        <f>'FBMS-HND LEVEL ONE'!J609</f>
        <v>51</v>
      </c>
      <c r="AV21" s="173">
        <f>'FBMS-HND LEVEL ONE'!K609</f>
        <v>81</v>
      </c>
      <c r="AW21" s="174" t="str">
        <f>'FBMS-HND LEVEL ONE'!L609</f>
        <v>A</v>
      </c>
      <c r="AX21" s="119">
        <f>'FBMS-HND LEVEL ONE'!E680</f>
        <v>10</v>
      </c>
      <c r="AY21" s="111">
        <f>'FBMS-HND LEVEL ONE'!F680</f>
        <v>25</v>
      </c>
      <c r="AZ21" s="111">
        <f>'FBMS-HND LEVEL ONE'!J680</f>
        <v>51</v>
      </c>
      <c r="BA21" s="111">
        <f>'FBMS-HND LEVEL ONE'!K680</f>
        <v>86</v>
      </c>
      <c r="BB21" s="120" t="str">
        <f>'FBMS-HND LEVEL ONE'!L680</f>
        <v>A</v>
      </c>
      <c r="BC21" s="121">
        <f>'FBMS-HND LEVEL ONE'!E755</f>
        <v>8</v>
      </c>
      <c r="BD21" s="111">
        <f>'FBMS-HND LEVEL ONE'!F755</f>
        <v>27</v>
      </c>
      <c r="BE21" s="111">
        <f>'FBMS-HND LEVEL ONE'!J755</f>
        <v>43</v>
      </c>
      <c r="BF21" s="111">
        <f>'FBMS-HND LEVEL ONE'!K755</f>
        <v>78</v>
      </c>
      <c r="BG21" s="111" t="str">
        <f>'FBMS-HND LEVEL ONE'!L755</f>
        <v>B+</v>
      </c>
      <c r="BH21" s="119">
        <f>'FBMS-HND LEVEL ONE'!E823</f>
        <v>10</v>
      </c>
      <c r="BI21" s="111">
        <f>'FBMS-HND LEVEL ONE'!F823</f>
        <v>22</v>
      </c>
      <c r="BJ21" s="111">
        <f>'FBMS-HND LEVEL ONE'!J823</f>
        <v>52</v>
      </c>
      <c r="BK21" s="111">
        <f>'FBMS-HND LEVEL ONE'!K823</f>
        <v>84</v>
      </c>
      <c r="BL21" s="120" t="str">
        <f>'FBMS-HND LEVEL ONE'!L823</f>
        <v>A</v>
      </c>
      <c r="BM21" s="119">
        <f>'FBMS-HND LEVEL ONE'!E895</f>
        <v>10</v>
      </c>
      <c r="BN21" s="111">
        <f>'FBMS-HND LEVEL ONE'!F895</f>
        <v>20</v>
      </c>
      <c r="BO21" s="173">
        <f>'FBMS-HND LEVEL ONE'!J895</f>
        <v>41</v>
      </c>
      <c r="BP21" s="173">
        <f>'FBMS-HND LEVEL ONE'!K895</f>
        <v>71</v>
      </c>
      <c r="BQ21" s="178" t="str">
        <f>'FBMS-HND LEVEL ONE'!L895</f>
        <v>B+</v>
      </c>
    </row>
    <row r="22" spans="1:69" x14ac:dyDescent="0.3">
      <c r="A22" s="116">
        <v>14</v>
      </c>
      <c r="B22" s="306" t="s">
        <v>441</v>
      </c>
      <c r="C22" s="310" t="s">
        <v>375</v>
      </c>
      <c r="D22" s="306" t="s">
        <v>441</v>
      </c>
      <c r="E22" s="117">
        <f>'FBMS-HND LEVEL ONE'!E25</f>
        <v>10</v>
      </c>
      <c r="F22" s="111">
        <f>'FBMS-HND LEVEL ONE'!F25</f>
        <v>23</v>
      </c>
      <c r="G22" s="111">
        <f>'FBMS-HND LEVEL ONE'!J25</f>
        <v>34</v>
      </c>
      <c r="H22" s="112">
        <f>'FBMS-HND LEVEL ONE'!K25</f>
        <v>67</v>
      </c>
      <c r="I22" s="120" t="str">
        <f>'FBMS-HND LEVEL ONE'!L25</f>
        <v>B</v>
      </c>
      <c r="J22" s="119">
        <f>'FBMS-HND LEVEL ONE'!E94</f>
        <v>10</v>
      </c>
      <c r="K22" s="111">
        <f>'FBMS-HND LEVEL ONE'!F94</f>
        <v>27.5</v>
      </c>
      <c r="L22" s="111">
        <f>'FBMS-HND LEVEL ONE'!J94</f>
        <v>27</v>
      </c>
      <c r="M22" s="111">
        <f>'FBMS-HND LEVEL ONE'!K94</f>
        <v>64.5</v>
      </c>
      <c r="N22" s="120" t="str">
        <f>'FBMS-HND LEVEL ONE'!L94</f>
        <v>B</v>
      </c>
      <c r="O22" s="119">
        <f>'FBMS-HND LEVEL ONE'!E174</f>
        <v>9</v>
      </c>
      <c r="P22" s="111">
        <f>'FBMS-HND LEVEL ONE'!F174</f>
        <v>27</v>
      </c>
      <c r="Q22" s="111">
        <f>'FBMS-HND LEVEL ONE'!J174</f>
        <v>14</v>
      </c>
      <c r="R22" s="111">
        <f>'FBMS-HND LEVEL ONE'!K174</f>
        <v>50</v>
      </c>
      <c r="S22" s="120" t="str">
        <f>'FBMS-HND LEVEL ONE'!L174</f>
        <v>C</v>
      </c>
      <c r="T22" s="119">
        <f>'FBMS-HND LEVEL ONE'!E243</f>
        <v>10</v>
      </c>
      <c r="U22" s="111">
        <f>'FBMS-HND LEVEL ONE'!F243</f>
        <v>20</v>
      </c>
      <c r="V22" s="111">
        <f>'FBMS-HND LEVEL ONE'!J243</f>
        <v>37</v>
      </c>
      <c r="W22" s="111">
        <f>'FBMS-HND LEVEL ONE'!K243</f>
        <v>67</v>
      </c>
      <c r="X22" s="120" t="str">
        <f>'FBMS-HND LEVEL ONE'!L243</f>
        <v>B</v>
      </c>
      <c r="Y22" s="119">
        <f>'FBMS-HND LEVEL ONE'!E315</f>
        <v>8</v>
      </c>
      <c r="Z22" s="111">
        <f>'FBMS-HND LEVEL ONE'!F315</f>
        <v>12</v>
      </c>
      <c r="AA22" s="111">
        <f>'FBMS-HND LEVEL ONE'!J315</f>
        <v>24</v>
      </c>
      <c r="AB22" s="111">
        <f>'FBMS-HND LEVEL ONE'!K315</f>
        <v>44</v>
      </c>
      <c r="AC22" s="120" t="str">
        <f>'FBMS-HND LEVEL ONE'!L315</f>
        <v>D</v>
      </c>
      <c r="AD22" s="119">
        <f>'FBMS-HND LEVEL ONE'!E386</f>
        <v>10</v>
      </c>
      <c r="AE22" s="111">
        <f>'FBMS-HND LEVEL ONE'!F386</f>
        <v>28</v>
      </c>
      <c r="AF22" s="173">
        <f>'FBMS-HND LEVEL ONE'!J386</f>
        <v>31</v>
      </c>
      <c r="AG22" s="173">
        <f>'FBMS-HND LEVEL ONE'!K386</f>
        <v>69</v>
      </c>
      <c r="AH22" s="178" t="str">
        <f>'FBMS-HND LEVEL ONE'!L386</f>
        <v>B</v>
      </c>
      <c r="AI22" s="117">
        <f>'FBMS-HND LEVEL ONE'!E464</f>
        <v>9</v>
      </c>
      <c r="AJ22" s="111">
        <f>'FBMS-HND LEVEL ONE'!F464</f>
        <v>19</v>
      </c>
      <c r="AK22" s="173">
        <f>'FBMS-HND LEVEL ONE'!J464</f>
        <v>29</v>
      </c>
      <c r="AL22" s="171">
        <f>'FBMS-HND LEVEL ONE'!K464</f>
        <v>57</v>
      </c>
      <c r="AM22" s="178" t="str">
        <f>'FBMS-HND LEVEL ONE'!L464</f>
        <v>C+</v>
      </c>
      <c r="AN22" s="119">
        <f>'FBMS-HND LEVEL ONE'!E540</f>
        <v>10</v>
      </c>
      <c r="AO22" s="111">
        <f>'FBMS-HND LEVEL ONE'!F540</f>
        <v>23</v>
      </c>
      <c r="AP22" s="111">
        <f>'FBMS-HND LEVEL ONE'!J540</f>
        <v>18</v>
      </c>
      <c r="AQ22" s="111">
        <f>'FBMS-HND LEVEL ONE'!K540</f>
        <v>51</v>
      </c>
      <c r="AR22" s="120" t="str">
        <f>'FBMS-HND LEVEL ONE'!L540</f>
        <v>C</v>
      </c>
      <c r="AS22" s="121">
        <f>'FBMS-HND LEVEL ONE'!E610</f>
        <v>10</v>
      </c>
      <c r="AT22" s="111">
        <f>'FBMS-HND LEVEL ONE'!F610</f>
        <v>24</v>
      </c>
      <c r="AU22" s="173">
        <f>'FBMS-HND LEVEL ONE'!J610</f>
        <v>28</v>
      </c>
      <c r="AV22" s="173">
        <f>'FBMS-HND LEVEL ONE'!K610</f>
        <v>62</v>
      </c>
      <c r="AW22" s="174" t="str">
        <f>'FBMS-HND LEVEL ONE'!L610</f>
        <v>B</v>
      </c>
      <c r="AX22" s="119">
        <f>'FBMS-HND LEVEL ONE'!E681</f>
        <v>9</v>
      </c>
      <c r="AY22" s="111">
        <f>'FBMS-HND LEVEL ONE'!F681</f>
        <v>23</v>
      </c>
      <c r="AZ22" s="111">
        <f>'FBMS-HND LEVEL ONE'!J681</f>
        <v>28</v>
      </c>
      <c r="BA22" s="111">
        <f>'FBMS-HND LEVEL ONE'!K681</f>
        <v>60</v>
      </c>
      <c r="BB22" s="120" t="str">
        <f>'FBMS-HND LEVEL ONE'!L681</f>
        <v>B</v>
      </c>
      <c r="BC22" s="121">
        <f>'FBMS-HND LEVEL ONE'!E756</f>
        <v>8</v>
      </c>
      <c r="BD22" s="111">
        <f>'FBMS-HND LEVEL ONE'!F756</f>
        <v>20</v>
      </c>
      <c r="BE22" s="111">
        <f>'FBMS-HND LEVEL ONE'!J756</f>
        <v>36</v>
      </c>
      <c r="BF22" s="111">
        <f>'FBMS-HND LEVEL ONE'!K756</f>
        <v>64</v>
      </c>
      <c r="BG22" s="111" t="str">
        <f>'FBMS-HND LEVEL ONE'!L756</f>
        <v>B</v>
      </c>
      <c r="BH22" s="252">
        <f>'FBMS-HND LEVEL ONE'!E824</f>
        <v>7.5</v>
      </c>
      <c r="BI22" s="111">
        <f>'FBMS-HND LEVEL ONE'!F824</f>
        <v>25</v>
      </c>
      <c r="BJ22" s="111">
        <f>'FBMS-HND LEVEL ONE'!J824</f>
        <v>18</v>
      </c>
      <c r="BK22" s="111">
        <f>'FBMS-HND LEVEL ONE'!K824</f>
        <v>50.5</v>
      </c>
      <c r="BL22" s="120" t="str">
        <f>'FBMS-HND LEVEL ONE'!L824</f>
        <v>C</v>
      </c>
      <c r="BM22" s="119">
        <f>'FBMS-HND LEVEL ONE'!E896</f>
        <v>9</v>
      </c>
      <c r="BN22" s="111">
        <f>'FBMS-HND LEVEL ONE'!F896</f>
        <v>20</v>
      </c>
      <c r="BO22" s="173">
        <f>'FBMS-HND LEVEL ONE'!J896</f>
        <v>42</v>
      </c>
      <c r="BP22" s="173">
        <f>'FBMS-HND LEVEL ONE'!K896</f>
        <v>71</v>
      </c>
      <c r="BQ22" s="178" t="str">
        <f>'FBMS-HND LEVEL ONE'!L896</f>
        <v>B+</v>
      </c>
    </row>
    <row r="23" spans="1:69" x14ac:dyDescent="0.3">
      <c r="A23" s="109">
        <v>15</v>
      </c>
      <c r="B23" s="306" t="s">
        <v>442</v>
      </c>
      <c r="C23" s="310" t="s">
        <v>376</v>
      </c>
      <c r="D23" s="306" t="s">
        <v>442</v>
      </c>
      <c r="E23" s="122">
        <f>'FBMS-HND LEVEL ONE'!E26</f>
        <v>10</v>
      </c>
      <c r="F23" s="111">
        <f>'FBMS-HND LEVEL ONE'!F26</f>
        <v>15</v>
      </c>
      <c r="G23" s="111">
        <f>'FBMS-HND LEVEL ONE'!J26</f>
        <v>46</v>
      </c>
      <c r="H23" s="112">
        <f>'FBMS-HND LEVEL ONE'!K26</f>
        <v>71</v>
      </c>
      <c r="I23" s="120" t="str">
        <f>'FBMS-HND LEVEL ONE'!L26</f>
        <v>B+</v>
      </c>
      <c r="J23" s="119">
        <f>'FBMS-HND LEVEL ONE'!E95</f>
        <v>10</v>
      </c>
      <c r="K23" s="111">
        <f>'FBMS-HND LEVEL ONE'!F95</f>
        <v>27</v>
      </c>
      <c r="L23" s="111">
        <f>'FBMS-HND LEVEL ONE'!J95</f>
        <v>13</v>
      </c>
      <c r="M23" s="111">
        <f>'FBMS-HND LEVEL ONE'!K95</f>
        <v>50</v>
      </c>
      <c r="N23" s="120" t="str">
        <f>'FBMS-HND LEVEL ONE'!L95</f>
        <v>C</v>
      </c>
      <c r="O23" s="119">
        <f>'FBMS-HND LEVEL ONE'!E175</f>
        <v>9</v>
      </c>
      <c r="P23" s="111">
        <f>'FBMS-HND LEVEL ONE'!F175</f>
        <v>16</v>
      </c>
      <c r="Q23" s="111">
        <f>'FBMS-HND LEVEL ONE'!J175</f>
        <v>14</v>
      </c>
      <c r="R23" s="111">
        <f>'FBMS-HND LEVEL ONE'!K175</f>
        <v>39</v>
      </c>
      <c r="S23" s="120" t="str">
        <f>'FBMS-HND LEVEL ONE'!L175</f>
        <v>F</v>
      </c>
      <c r="T23" s="119">
        <f>'FBMS-HND LEVEL ONE'!E244</f>
        <v>9</v>
      </c>
      <c r="U23" s="111">
        <f>'FBMS-HND LEVEL ONE'!F244</f>
        <v>13</v>
      </c>
      <c r="V23" s="111">
        <f>'FBMS-HND LEVEL ONE'!J244</f>
        <v>14</v>
      </c>
      <c r="W23" s="111">
        <f>'FBMS-HND LEVEL ONE'!K244</f>
        <v>36</v>
      </c>
      <c r="X23" s="120" t="str">
        <f>'FBMS-HND LEVEL ONE'!L244</f>
        <v>F</v>
      </c>
      <c r="Y23" s="119">
        <f>'FBMS-HND LEVEL ONE'!E316</f>
        <v>9</v>
      </c>
      <c r="Z23" s="111">
        <f>'FBMS-HND LEVEL ONE'!F316</f>
        <v>13</v>
      </c>
      <c r="AA23" s="111">
        <f>'FBMS-HND LEVEL ONE'!J316</f>
        <v>13</v>
      </c>
      <c r="AB23" s="111">
        <f>'FBMS-HND LEVEL ONE'!K316</f>
        <v>35</v>
      </c>
      <c r="AC23" s="120" t="str">
        <f>'FBMS-HND LEVEL ONE'!L316</f>
        <v>F</v>
      </c>
      <c r="AD23" s="119">
        <f>'FBMS-HND LEVEL ONE'!E387</f>
        <v>8</v>
      </c>
      <c r="AE23" s="111">
        <f>'FBMS-HND LEVEL ONE'!F387</f>
        <v>14</v>
      </c>
      <c r="AF23" s="173">
        <f>'FBMS-HND LEVEL ONE'!J387</f>
        <v>22</v>
      </c>
      <c r="AG23" s="173">
        <f>'FBMS-HND LEVEL ONE'!K387</f>
        <v>44</v>
      </c>
      <c r="AH23" s="178" t="str">
        <f>'FBMS-HND LEVEL ONE'!L387</f>
        <v>D</v>
      </c>
      <c r="AI23" s="122">
        <f>'FBMS-HND LEVEL ONE'!E465</f>
        <v>9</v>
      </c>
      <c r="AJ23" s="111">
        <f>'FBMS-HND LEVEL ONE'!F465</f>
        <v>23</v>
      </c>
      <c r="AK23" s="173">
        <f>'FBMS-HND LEVEL ONE'!J465</f>
        <v>26</v>
      </c>
      <c r="AL23" s="171">
        <f>'FBMS-HND LEVEL ONE'!K465</f>
        <v>58</v>
      </c>
      <c r="AM23" s="178" t="str">
        <f>'FBMS-HND LEVEL ONE'!L465</f>
        <v>C+</v>
      </c>
      <c r="AN23" s="119">
        <f>'FBMS-HND LEVEL ONE'!E541</f>
        <v>10</v>
      </c>
      <c r="AO23" s="111">
        <f>'FBMS-HND LEVEL ONE'!F541</f>
        <v>21</v>
      </c>
      <c r="AP23" s="111">
        <f>'FBMS-HND LEVEL ONE'!J541</f>
        <v>9</v>
      </c>
      <c r="AQ23" s="111">
        <f>'FBMS-HND LEVEL ONE'!K541</f>
        <v>40</v>
      </c>
      <c r="AR23" s="120" t="str">
        <f>'FBMS-HND LEVEL ONE'!L541</f>
        <v>D</v>
      </c>
      <c r="AS23" s="121">
        <f>'FBMS-HND LEVEL ONE'!E611</f>
        <v>10</v>
      </c>
      <c r="AT23" s="111">
        <f>'FBMS-HND LEVEL ONE'!F611</f>
        <v>11</v>
      </c>
      <c r="AU23" s="173">
        <f>'FBMS-HND LEVEL ONE'!J611</f>
        <v>34</v>
      </c>
      <c r="AV23" s="173">
        <f>'FBMS-HND LEVEL ONE'!K611</f>
        <v>55</v>
      </c>
      <c r="AW23" s="174" t="str">
        <f>'FBMS-HND LEVEL ONE'!L611</f>
        <v>C+</v>
      </c>
      <c r="AX23" s="119">
        <f>'FBMS-HND LEVEL ONE'!E682</f>
        <v>10</v>
      </c>
      <c r="AY23" s="111">
        <f>'FBMS-HND LEVEL ONE'!F682</f>
        <v>22</v>
      </c>
      <c r="AZ23" s="111">
        <f>'FBMS-HND LEVEL ONE'!J682</f>
        <v>28</v>
      </c>
      <c r="BA23" s="111">
        <f>'FBMS-HND LEVEL ONE'!K682</f>
        <v>60</v>
      </c>
      <c r="BB23" s="120" t="str">
        <f>'FBMS-HND LEVEL ONE'!L682</f>
        <v>B</v>
      </c>
      <c r="BC23" s="121">
        <f>'FBMS-HND LEVEL ONE'!E757</f>
        <v>8</v>
      </c>
      <c r="BD23" s="111">
        <f>'FBMS-HND LEVEL ONE'!F757</f>
        <v>20</v>
      </c>
      <c r="BE23" s="111">
        <f>'FBMS-HND LEVEL ONE'!J757</f>
        <v>45</v>
      </c>
      <c r="BF23" s="111">
        <f>'FBMS-HND LEVEL ONE'!K757</f>
        <v>73</v>
      </c>
      <c r="BG23" s="111" t="str">
        <f>'FBMS-HND LEVEL ONE'!L757</f>
        <v>B+</v>
      </c>
      <c r="BH23" s="119">
        <f>'FBMS-HND LEVEL ONE'!E825</f>
        <v>10</v>
      </c>
      <c r="BI23" s="111">
        <f>'FBMS-HND LEVEL ONE'!F825</f>
        <v>20</v>
      </c>
      <c r="BJ23" s="111">
        <f>'FBMS-HND LEVEL ONE'!J825</f>
        <v>7</v>
      </c>
      <c r="BK23" s="111">
        <f>'FBMS-HND LEVEL ONE'!K825</f>
        <v>37</v>
      </c>
      <c r="BL23" s="120" t="str">
        <f>'FBMS-HND LEVEL ONE'!L825</f>
        <v>F</v>
      </c>
      <c r="BM23" s="119">
        <f>'FBMS-HND LEVEL ONE'!E897</f>
        <v>10</v>
      </c>
      <c r="BN23" s="111">
        <f>'FBMS-HND LEVEL ONE'!F897</f>
        <v>17</v>
      </c>
      <c r="BO23" s="173">
        <f>'FBMS-HND LEVEL ONE'!J897</f>
        <v>33</v>
      </c>
      <c r="BP23" s="173">
        <f>'FBMS-HND LEVEL ONE'!K897</f>
        <v>60</v>
      </c>
      <c r="BQ23" s="178" t="str">
        <f>'FBMS-HND LEVEL ONE'!L897</f>
        <v>B</v>
      </c>
    </row>
    <row r="24" spans="1:69" ht="15.6" x14ac:dyDescent="0.3">
      <c r="A24" s="116">
        <v>16</v>
      </c>
      <c r="B24" s="306" t="s">
        <v>443</v>
      </c>
      <c r="C24" s="307" t="s">
        <v>377</v>
      </c>
      <c r="D24" s="306" t="s">
        <v>443</v>
      </c>
      <c r="E24" s="122">
        <f>'FBMS-HND LEVEL ONE'!E27</f>
        <v>8</v>
      </c>
      <c r="F24" s="111">
        <f>'FBMS-HND LEVEL ONE'!F27</f>
        <v>25</v>
      </c>
      <c r="G24" s="111">
        <f>'FBMS-HND LEVEL ONE'!J27</f>
        <v>48</v>
      </c>
      <c r="H24" s="112">
        <f>'FBMS-HND LEVEL ONE'!K27</f>
        <v>81</v>
      </c>
      <c r="I24" s="120" t="str">
        <f>'FBMS-HND LEVEL ONE'!L27</f>
        <v>A</v>
      </c>
      <c r="J24" s="119">
        <f>'FBMS-HND LEVEL ONE'!E96</f>
        <v>8</v>
      </c>
      <c r="K24" s="111">
        <f>'FBMS-HND LEVEL ONE'!F96</f>
        <v>28.5</v>
      </c>
      <c r="L24" s="111">
        <f>'FBMS-HND LEVEL ONE'!J96</f>
        <v>43</v>
      </c>
      <c r="M24" s="111">
        <f>'FBMS-HND LEVEL ONE'!K96</f>
        <v>79.5</v>
      </c>
      <c r="N24" s="120" t="str">
        <f>'FBMS-HND LEVEL ONE'!L96</f>
        <v>B+</v>
      </c>
      <c r="O24" s="119">
        <f>'FBMS-HND LEVEL ONE'!E176</f>
        <v>10</v>
      </c>
      <c r="P24" s="111">
        <f>'FBMS-HND LEVEL ONE'!F176</f>
        <v>24</v>
      </c>
      <c r="Q24" s="111">
        <f>'FBMS-HND LEVEL ONE'!J176</f>
        <v>34</v>
      </c>
      <c r="R24" s="111">
        <f>'FBMS-HND LEVEL ONE'!K176</f>
        <v>68</v>
      </c>
      <c r="S24" s="120" t="str">
        <f>'FBMS-HND LEVEL ONE'!L176</f>
        <v>B</v>
      </c>
      <c r="T24" s="119">
        <f>'FBMS-HND LEVEL ONE'!E245</f>
        <v>8</v>
      </c>
      <c r="U24" s="111">
        <f>'FBMS-HND LEVEL ONE'!F245</f>
        <v>25</v>
      </c>
      <c r="V24" s="111">
        <f>'FBMS-HND LEVEL ONE'!J245</f>
        <v>53</v>
      </c>
      <c r="W24" s="111">
        <f>'FBMS-HND LEVEL ONE'!K245</f>
        <v>86</v>
      </c>
      <c r="X24" s="120" t="str">
        <f>'FBMS-HND LEVEL ONE'!L245</f>
        <v>A</v>
      </c>
      <c r="Y24" s="119">
        <f>'FBMS-HND LEVEL ONE'!E317</f>
        <v>8</v>
      </c>
      <c r="Z24" s="111">
        <f>'FBMS-HND LEVEL ONE'!F317</f>
        <v>20</v>
      </c>
      <c r="AA24" s="111">
        <f>'FBMS-HND LEVEL ONE'!J317</f>
        <v>30</v>
      </c>
      <c r="AB24" s="111">
        <f>'FBMS-HND LEVEL ONE'!K317</f>
        <v>58</v>
      </c>
      <c r="AC24" s="120" t="str">
        <f>'FBMS-HND LEVEL ONE'!L317</f>
        <v>C+</v>
      </c>
      <c r="AD24" s="119">
        <f>'FBMS-HND LEVEL ONE'!E388</f>
        <v>9</v>
      </c>
      <c r="AE24" s="111">
        <f>'FBMS-HND LEVEL ONE'!F388</f>
        <v>23</v>
      </c>
      <c r="AF24" s="173">
        <f>'FBMS-HND LEVEL ONE'!J388</f>
        <v>51</v>
      </c>
      <c r="AG24" s="173">
        <f>'FBMS-HND LEVEL ONE'!K388</f>
        <v>83</v>
      </c>
      <c r="AH24" s="178" t="str">
        <f>'FBMS-HND LEVEL ONE'!L388</f>
        <v>A</v>
      </c>
      <c r="AI24" s="122">
        <f>'FBMS-HND LEVEL ONE'!E466</f>
        <v>10</v>
      </c>
      <c r="AJ24" s="111">
        <f>'FBMS-HND LEVEL ONE'!F466</f>
        <v>24</v>
      </c>
      <c r="AK24" s="173">
        <f>'FBMS-HND LEVEL ONE'!J466</f>
        <v>26</v>
      </c>
      <c r="AL24" s="171">
        <f>'FBMS-HND LEVEL ONE'!K466</f>
        <v>60</v>
      </c>
      <c r="AM24" s="178" t="str">
        <f>'FBMS-HND LEVEL ONE'!L466</f>
        <v>B</v>
      </c>
      <c r="AN24" s="119">
        <f>'FBMS-HND LEVEL ONE'!E542</f>
        <v>10</v>
      </c>
      <c r="AO24" s="111">
        <f>'FBMS-HND LEVEL ONE'!F542</f>
        <v>23</v>
      </c>
      <c r="AP24" s="111">
        <f>'FBMS-HND LEVEL ONE'!J542</f>
        <v>50</v>
      </c>
      <c r="AQ24" s="111">
        <f>'FBMS-HND LEVEL ONE'!K542</f>
        <v>83</v>
      </c>
      <c r="AR24" s="120" t="str">
        <f>'FBMS-HND LEVEL ONE'!L542</f>
        <v>A</v>
      </c>
      <c r="AS24" s="121">
        <f>'FBMS-HND LEVEL ONE'!E612</f>
        <v>10</v>
      </c>
      <c r="AT24" s="111">
        <f>'FBMS-HND LEVEL ONE'!F612</f>
        <v>17</v>
      </c>
      <c r="AU24" s="173">
        <f>'FBMS-HND LEVEL ONE'!J612</f>
        <v>51</v>
      </c>
      <c r="AV24" s="173">
        <f>'FBMS-HND LEVEL ONE'!K612</f>
        <v>78</v>
      </c>
      <c r="AW24" s="174" t="str">
        <f>'FBMS-HND LEVEL ONE'!L612</f>
        <v>B+</v>
      </c>
      <c r="AX24" s="119">
        <f>'FBMS-HND LEVEL ONE'!E683</f>
        <v>9</v>
      </c>
      <c r="AY24" s="111">
        <f>'FBMS-HND LEVEL ONE'!F683</f>
        <v>28</v>
      </c>
      <c r="AZ24" s="111">
        <f>'FBMS-HND LEVEL ONE'!J683</f>
        <v>53</v>
      </c>
      <c r="BA24" s="111">
        <f>'FBMS-HND LEVEL ONE'!K683</f>
        <v>90</v>
      </c>
      <c r="BB24" s="120" t="str">
        <f>'FBMS-HND LEVEL ONE'!L683</f>
        <v>A</v>
      </c>
      <c r="BC24" s="121">
        <f>'FBMS-HND LEVEL ONE'!E758</f>
        <v>8</v>
      </c>
      <c r="BD24" s="111">
        <f>'FBMS-HND LEVEL ONE'!F758</f>
        <v>22</v>
      </c>
      <c r="BE24" s="111">
        <f>'FBMS-HND LEVEL ONE'!J758</f>
        <v>15</v>
      </c>
      <c r="BF24" s="111">
        <f>'FBMS-HND LEVEL ONE'!K758</f>
        <v>45</v>
      </c>
      <c r="BG24" s="111" t="str">
        <f>'FBMS-HND LEVEL ONE'!L758</f>
        <v>D+</v>
      </c>
      <c r="BH24" s="119">
        <f>'FBMS-HND LEVEL ONE'!E826</f>
        <v>9</v>
      </c>
      <c r="BI24" s="111">
        <f>'FBMS-HND LEVEL ONE'!F826</f>
        <v>21</v>
      </c>
      <c r="BJ24" s="111">
        <f>'FBMS-HND LEVEL ONE'!J826</f>
        <v>50</v>
      </c>
      <c r="BK24" s="111">
        <f>'FBMS-HND LEVEL ONE'!K826</f>
        <v>80</v>
      </c>
      <c r="BL24" s="120" t="str">
        <f>'FBMS-HND LEVEL ONE'!L826</f>
        <v>A</v>
      </c>
      <c r="BM24" s="119">
        <f>'FBMS-HND LEVEL ONE'!E898</f>
        <v>9</v>
      </c>
      <c r="BN24" s="111">
        <f>'FBMS-HND LEVEL ONE'!F898</f>
        <v>11</v>
      </c>
      <c r="BO24" s="173">
        <f>'FBMS-HND LEVEL ONE'!J898</f>
        <v>38</v>
      </c>
      <c r="BP24" s="173">
        <f>'FBMS-HND LEVEL ONE'!K898</f>
        <v>58</v>
      </c>
      <c r="BQ24" s="178" t="str">
        <f>'FBMS-HND LEVEL ONE'!L898</f>
        <v>C+</v>
      </c>
    </row>
    <row r="25" spans="1:69" x14ac:dyDescent="0.3">
      <c r="A25" s="109">
        <v>17</v>
      </c>
      <c r="B25" s="306" t="s">
        <v>444</v>
      </c>
      <c r="C25" s="310" t="s">
        <v>378</v>
      </c>
      <c r="D25" s="306" t="s">
        <v>444</v>
      </c>
      <c r="E25" s="122">
        <f>'FBMS-HND LEVEL ONE'!E28</f>
        <v>9</v>
      </c>
      <c r="F25" s="111">
        <f>'FBMS-HND LEVEL ONE'!F28</f>
        <v>21</v>
      </c>
      <c r="G25" s="111">
        <f>'FBMS-HND LEVEL ONE'!J28</f>
        <v>38</v>
      </c>
      <c r="H25" s="112">
        <f>'FBMS-HND LEVEL ONE'!K28</f>
        <v>68</v>
      </c>
      <c r="I25" s="120" t="str">
        <f>'FBMS-HND LEVEL ONE'!L28</f>
        <v>B</v>
      </c>
      <c r="J25" s="119">
        <f>'FBMS-HND LEVEL ONE'!E97</f>
        <v>9</v>
      </c>
      <c r="K25" s="111">
        <f>'FBMS-HND LEVEL ONE'!F97</f>
        <v>21</v>
      </c>
      <c r="L25" s="111">
        <f>'FBMS-HND LEVEL ONE'!J97</f>
        <v>43</v>
      </c>
      <c r="M25" s="111">
        <f>'FBMS-HND LEVEL ONE'!K97</f>
        <v>73</v>
      </c>
      <c r="N25" s="120" t="str">
        <f>'FBMS-HND LEVEL ONE'!L97</f>
        <v>B+</v>
      </c>
      <c r="O25" s="119">
        <f>'FBMS-HND LEVEL ONE'!E177</f>
        <v>10</v>
      </c>
      <c r="P25" s="111">
        <f>'FBMS-HND LEVEL ONE'!F177</f>
        <v>26</v>
      </c>
      <c r="Q25" s="111">
        <f>'FBMS-HND LEVEL ONE'!J177</f>
        <v>18</v>
      </c>
      <c r="R25" s="111">
        <f>'FBMS-HND LEVEL ONE'!K177</f>
        <v>54</v>
      </c>
      <c r="S25" s="120" t="str">
        <f>'FBMS-HND LEVEL ONE'!L177</f>
        <v>C</v>
      </c>
      <c r="T25" s="119">
        <f>'FBMS-HND LEVEL ONE'!E246</f>
        <v>10</v>
      </c>
      <c r="U25" s="111">
        <f>'FBMS-HND LEVEL ONE'!F246</f>
        <v>18</v>
      </c>
      <c r="V25" s="111">
        <f>'FBMS-HND LEVEL ONE'!J246</f>
        <v>29</v>
      </c>
      <c r="W25" s="111">
        <f>'FBMS-HND LEVEL ONE'!K246</f>
        <v>57</v>
      </c>
      <c r="X25" s="120" t="str">
        <f>'FBMS-HND LEVEL ONE'!L246</f>
        <v>C+</v>
      </c>
      <c r="Y25" s="119">
        <f>'FBMS-HND LEVEL ONE'!E318</f>
        <v>9</v>
      </c>
      <c r="Z25" s="111">
        <f>'FBMS-HND LEVEL ONE'!F318</f>
        <v>15</v>
      </c>
      <c r="AA25" s="111">
        <f>'FBMS-HND LEVEL ONE'!J318</f>
        <v>30</v>
      </c>
      <c r="AB25" s="111">
        <f>'FBMS-HND LEVEL ONE'!K318</f>
        <v>54</v>
      </c>
      <c r="AC25" s="120" t="str">
        <f>'FBMS-HND LEVEL ONE'!L318</f>
        <v>C</v>
      </c>
      <c r="AD25" s="119">
        <f>'FBMS-HND LEVEL ONE'!E389</f>
        <v>10</v>
      </c>
      <c r="AE25" s="111">
        <f>'FBMS-HND LEVEL ONE'!F389</f>
        <v>13</v>
      </c>
      <c r="AF25" s="173">
        <f>'FBMS-HND LEVEL ONE'!J389</f>
        <v>34</v>
      </c>
      <c r="AG25" s="173">
        <f>'FBMS-HND LEVEL ONE'!K389</f>
        <v>57</v>
      </c>
      <c r="AH25" s="178" t="str">
        <f>'FBMS-HND LEVEL ONE'!L389</f>
        <v>C+</v>
      </c>
      <c r="AI25" s="122">
        <f>'FBMS-HND LEVEL ONE'!E467</f>
        <v>10</v>
      </c>
      <c r="AJ25" s="111">
        <f>'FBMS-HND LEVEL ONE'!F467</f>
        <v>24</v>
      </c>
      <c r="AK25" s="173">
        <f>'FBMS-HND LEVEL ONE'!J467</f>
        <v>29</v>
      </c>
      <c r="AL25" s="171">
        <f>'FBMS-HND LEVEL ONE'!K467</f>
        <v>63</v>
      </c>
      <c r="AM25" s="178" t="str">
        <f>'FBMS-HND LEVEL ONE'!L467</f>
        <v>B</v>
      </c>
      <c r="AN25" s="119">
        <f>'FBMS-HND LEVEL ONE'!E543</f>
        <v>10</v>
      </c>
      <c r="AO25" s="111">
        <f>'FBMS-HND LEVEL ONE'!F543</f>
        <v>16.5</v>
      </c>
      <c r="AP25" s="111">
        <f>'FBMS-HND LEVEL ONE'!J543</f>
        <v>30</v>
      </c>
      <c r="AQ25" s="111">
        <f>'FBMS-HND LEVEL ONE'!K543</f>
        <v>56.5</v>
      </c>
      <c r="AR25" s="120" t="str">
        <f>'FBMS-HND LEVEL ONE'!L543</f>
        <v>C+</v>
      </c>
      <c r="AS25" s="121">
        <f>'FBMS-HND LEVEL ONE'!E613</f>
        <v>10</v>
      </c>
      <c r="AT25" s="111">
        <f>'FBMS-HND LEVEL ONE'!F613</f>
        <v>18</v>
      </c>
      <c r="AU25" s="173">
        <f>'FBMS-HND LEVEL ONE'!J613</f>
        <v>48</v>
      </c>
      <c r="AV25" s="173">
        <f>'FBMS-HND LEVEL ONE'!K613</f>
        <v>76</v>
      </c>
      <c r="AW25" s="174" t="str">
        <f>'FBMS-HND LEVEL ONE'!L613</f>
        <v>B+</v>
      </c>
      <c r="AX25" s="119">
        <f>'FBMS-HND LEVEL ONE'!E684</f>
        <v>10</v>
      </c>
      <c r="AY25" s="111">
        <f>'FBMS-HND LEVEL ONE'!F684</f>
        <v>17</v>
      </c>
      <c r="AZ25" s="111">
        <f>'FBMS-HND LEVEL ONE'!J684</f>
        <v>32</v>
      </c>
      <c r="BA25" s="111">
        <f>'FBMS-HND LEVEL ONE'!K684</f>
        <v>59</v>
      </c>
      <c r="BB25" s="120" t="str">
        <f>'FBMS-HND LEVEL ONE'!L684</f>
        <v>C+</v>
      </c>
      <c r="BC25" s="121">
        <f>'FBMS-HND LEVEL ONE'!E759</f>
        <v>8</v>
      </c>
      <c r="BD25" s="111">
        <f>'FBMS-HND LEVEL ONE'!F759</f>
        <v>21</v>
      </c>
      <c r="BE25" s="111">
        <f>'FBMS-HND LEVEL ONE'!J759</f>
        <v>37</v>
      </c>
      <c r="BF25" s="111">
        <f>'FBMS-HND LEVEL ONE'!K759</f>
        <v>66</v>
      </c>
      <c r="BG25" s="111" t="str">
        <f>'FBMS-HND LEVEL ONE'!L759</f>
        <v>B</v>
      </c>
      <c r="BH25" s="252">
        <f>'FBMS-HND LEVEL ONE'!E827</f>
        <v>10</v>
      </c>
      <c r="BI25" s="111">
        <f>'FBMS-HND LEVEL ONE'!F827</f>
        <v>20</v>
      </c>
      <c r="BJ25" s="111">
        <f>'FBMS-HND LEVEL ONE'!J827</f>
        <v>11</v>
      </c>
      <c r="BK25" s="111">
        <f>'FBMS-HND LEVEL ONE'!K827</f>
        <v>41</v>
      </c>
      <c r="BL25" s="120" t="str">
        <f>'FBMS-HND LEVEL ONE'!L827</f>
        <v>D</v>
      </c>
      <c r="BM25" s="119">
        <f>'FBMS-HND LEVEL ONE'!E899</f>
        <v>10</v>
      </c>
      <c r="BN25" s="111">
        <f>'FBMS-HND LEVEL ONE'!F899</f>
        <v>21</v>
      </c>
      <c r="BO25" s="173">
        <f>'FBMS-HND LEVEL ONE'!J899</f>
        <v>42</v>
      </c>
      <c r="BP25" s="173">
        <f>'FBMS-HND LEVEL ONE'!K899</f>
        <v>73</v>
      </c>
      <c r="BQ25" s="178" t="str">
        <f>'FBMS-HND LEVEL ONE'!L899</f>
        <v>B+</v>
      </c>
    </row>
    <row r="26" spans="1:69" ht="15.6" x14ac:dyDescent="0.3">
      <c r="A26" s="116">
        <v>18</v>
      </c>
      <c r="B26" s="306" t="s">
        <v>445</v>
      </c>
      <c r="C26" s="308" t="s">
        <v>379</v>
      </c>
      <c r="D26" s="306" t="s">
        <v>445</v>
      </c>
      <c r="E26" s="122">
        <f>'FBMS-HND LEVEL ONE'!E29</f>
        <v>10</v>
      </c>
      <c r="F26" s="111">
        <f>'FBMS-HND LEVEL ONE'!F29</f>
        <v>16</v>
      </c>
      <c r="G26" s="111">
        <f>'FBMS-HND LEVEL ONE'!J29</f>
        <v>36</v>
      </c>
      <c r="H26" s="112">
        <f>'FBMS-HND LEVEL ONE'!K29</f>
        <v>62</v>
      </c>
      <c r="I26" s="120" t="str">
        <f>'FBMS-HND LEVEL ONE'!L29</f>
        <v>B</v>
      </c>
      <c r="J26" s="119">
        <f>'FBMS-HND LEVEL ONE'!E98</f>
        <v>10</v>
      </c>
      <c r="K26" s="111">
        <f>'FBMS-HND LEVEL ONE'!F98</f>
        <v>24</v>
      </c>
      <c r="L26" s="111">
        <f>'FBMS-HND LEVEL ONE'!J98</f>
        <v>39</v>
      </c>
      <c r="M26" s="111">
        <f>'FBMS-HND LEVEL ONE'!K98</f>
        <v>73</v>
      </c>
      <c r="N26" s="120" t="str">
        <f>'FBMS-HND LEVEL ONE'!L98</f>
        <v>B+</v>
      </c>
      <c r="O26" s="119">
        <f>'FBMS-HND LEVEL ONE'!E178</f>
        <v>9</v>
      </c>
      <c r="P26" s="111">
        <f>'FBMS-HND LEVEL ONE'!F178</f>
        <v>21</v>
      </c>
      <c r="Q26" s="111">
        <f>'FBMS-HND LEVEL ONE'!J178</f>
        <v>21</v>
      </c>
      <c r="R26" s="111">
        <f>'FBMS-HND LEVEL ONE'!K178</f>
        <v>51</v>
      </c>
      <c r="S26" s="120" t="str">
        <f>'FBMS-HND LEVEL ONE'!L178</f>
        <v>C</v>
      </c>
      <c r="T26" s="119">
        <f>'FBMS-HND LEVEL ONE'!E247</f>
        <v>10</v>
      </c>
      <c r="U26" s="111">
        <f>'FBMS-HND LEVEL ONE'!F247</f>
        <v>21</v>
      </c>
      <c r="V26" s="111">
        <f>'FBMS-HND LEVEL ONE'!J247</f>
        <v>27</v>
      </c>
      <c r="W26" s="111">
        <f>'FBMS-HND LEVEL ONE'!K247</f>
        <v>58</v>
      </c>
      <c r="X26" s="120" t="str">
        <f>'FBMS-HND LEVEL ONE'!L247</f>
        <v>C+</v>
      </c>
      <c r="Y26" s="119">
        <f>'FBMS-HND LEVEL ONE'!E319</f>
        <v>9</v>
      </c>
      <c r="Z26" s="111">
        <f>'FBMS-HND LEVEL ONE'!F319</f>
        <v>14</v>
      </c>
      <c r="AA26" s="111">
        <f>'FBMS-HND LEVEL ONE'!J319</f>
        <v>21</v>
      </c>
      <c r="AB26" s="111">
        <f>'FBMS-HND LEVEL ONE'!K319</f>
        <v>44</v>
      </c>
      <c r="AC26" s="120" t="str">
        <f>'FBMS-HND LEVEL ONE'!L319</f>
        <v>D</v>
      </c>
      <c r="AD26" s="119">
        <f>'FBMS-HND LEVEL ONE'!E390</f>
        <v>10</v>
      </c>
      <c r="AE26" s="111">
        <f>'FBMS-HND LEVEL ONE'!F390</f>
        <v>27</v>
      </c>
      <c r="AF26" s="173">
        <f>'FBMS-HND LEVEL ONE'!J390</f>
        <v>35</v>
      </c>
      <c r="AG26" s="173">
        <f>'FBMS-HND LEVEL ONE'!K390</f>
        <v>72</v>
      </c>
      <c r="AH26" s="178" t="str">
        <f>'FBMS-HND LEVEL ONE'!L390</f>
        <v>B+</v>
      </c>
      <c r="AI26" s="122">
        <f>'FBMS-HND LEVEL ONE'!E468</f>
        <v>10</v>
      </c>
      <c r="AJ26" s="111">
        <f>'FBMS-HND LEVEL ONE'!F468</f>
        <v>30</v>
      </c>
      <c r="AK26" s="173">
        <f>'FBMS-HND LEVEL ONE'!J468</f>
        <v>49</v>
      </c>
      <c r="AL26" s="171">
        <f>'FBMS-HND LEVEL ONE'!K468</f>
        <v>89</v>
      </c>
      <c r="AM26" s="178" t="str">
        <f>'FBMS-HND LEVEL ONE'!L468</f>
        <v>A</v>
      </c>
      <c r="AN26" s="119">
        <f>'FBMS-HND LEVEL ONE'!E544</f>
        <v>10</v>
      </c>
      <c r="AO26" s="111">
        <f>'FBMS-HND LEVEL ONE'!F544</f>
        <v>22.5</v>
      </c>
      <c r="AP26" s="111">
        <f>'FBMS-HND LEVEL ONE'!J544</f>
        <v>41</v>
      </c>
      <c r="AQ26" s="111">
        <f>'FBMS-HND LEVEL ONE'!K544</f>
        <v>73.5</v>
      </c>
      <c r="AR26" s="120" t="str">
        <f>'FBMS-HND LEVEL ONE'!L544</f>
        <v>B+</v>
      </c>
      <c r="AS26" s="121">
        <f>'FBMS-HND LEVEL ONE'!E614</f>
        <v>10</v>
      </c>
      <c r="AT26" s="173">
        <f>'FBMS-HND LEVEL ONE'!F614</f>
        <v>17</v>
      </c>
      <c r="AU26" s="173">
        <f>'FBMS-HND LEVEL ONE'!J614</f>
        <v>48</v>
      </c>
      <c r="AV26" s="173">
        <f>'FBMS-HND LEVEL ONE'!K614</f>
        <v>75</v>
      </c>
      <c r="AW26" s="174" t="str">
        <f>'FBMS-HND LEVEL ONE'!L614</f>
        <v>B+</v>
      </c>
      <c r="AX26" s="119">
        <f>'FBMS-HND LEVEL ONE'!E685</f>
        <v>10</v>
      </c>
      <c r="AY26" s="111">
        <f>'FBMS-HND LEVEL ONE'!F685</f>
        <v>23</v>
      </c>
      <c r="AZ26" s="111">
        <f>'FBMS-HND LEVEL ONE'!J685</f>
        <v>44</v>
      </c>
      <c r="BA26" s="111">
        <f>'FBMS-HND LEVEL ONE'!K685</f>
        <v>77</v>
      </c>
      <c r="BB26" s="120" t="str">
        <f>'FBMS-HND LEVEL ONE'!L685</f>
        <v>B+</v>
      </c>
      <c r="BC26" s="121">
        <f>'FBMS-HND LEVEL ONE'!E760</f>
        <v>8</v>
      </c>
      <c r="BD26" s="111">
        <f>'FBMS-HND LEVEL ONE'!F760</f>
        <v>5</v>
      </c>
      <c r="BE26" s="111">
        <f>'FBMS-HND LEVEL ONE'!J760</f>
        <v>23</v>
      </c>
      <c r="BF26" s="111">
        <f>'FBMS-HND LEVEL ONE'!K760</f>
        <v>36</v>
      </c>
      <c r="BG26" s="111" t="str">
        <f>'FBMS-HND LEVEL ONE'!L760</f>
        <v>F</v>
      </c>
      <c r="BH26" s="119">
        <f>'FBMS-HND LEVEL ONE'!E828</f>
        <v>10</v>
      </c>
      <c r="BI26" s="111">
        <f>'FBMS-HND LEVEL ONE'!F828</f>
        <v>22</v>
      </c>
      <c r="BJ26" s="111">
        <f>'FBMS-HND LEVEL ONE'!J828</f>
        <v>50</v>
      </c>
      <c r="BK26" s="111">
        <f>'FBMS-HND LEVEL ONE'!K828</f>
        <v>82</v>
      </c>
      <c r="BL26" s="120" t="str">
        <f>'FBMS-HND LEVEL ONE'!L828</f>
        <v>A</v>
      </c>
      <c r="BM26" s="119">
        <f>'FBMS-HND LEVEL ONE'!E900</f>
        <v>9</v>
      </c>
      <c r="BN26" s="111">
        <f>'FBMS-HND LEVEL ONE'!F900</f>
        <v>22</v>
      </c>
      <c r="BO26" s="173">
        <f>'FBMS-HND LEVEL ONE'!J900</f>
        <v>38</v>
      </c>
      <c r="BP26" s="173">
        <f>'FBMS-HND LEVEL ONE'!K900</f>
        <v>69</v>
      </c>
      <c r="BQ26" s="178" t="str">
        <f>'FBMS-HND LEVEL ONE'!L900</f>
        <v>B</v>
      </c>
    </row>
    <row r="27" spans="1:69" x14ac:dyDescent="0.3">
      <c r="A27" s="109">
        <v>19</v>
      </c>
      <c r="B27" s="306" t="s">
        <v>446</v>
      </c>
      <c r="C27" s="310" t="s">
        <v>602</v>
      </c>
      <c r="D27" s="306" t="s">
        <v>446</v>
      </c>
      <c r="E27" s="122">
        <f>'FBMS-HND LEVEL ONE'!E30</f>
        <v>10</v>
      </c>
      <c r="F27" s="111">
        <f>'FBMS-HND LEVEL ONE'!F30</f>
        <v>18</v>
      </c>
      <c r="G27" s="111">
        <f>'FBMS-HND LEVEL ONE'!J30</f>
        <v>54</v>
      </c>
      <c r="H27" s="112">
        <f>'FBMS-HND LEVEL ONE'!K30</f>
        <v>82</v>
      </c>
      <c r="I27" s="120" t="str">
        <f>'FBMS-HND LEVEL ONE'!L30</f>
        <v>A</v>
      </c>
      <c r="J27" s="119">
        <f>'FBMS-HND LEVEL ONE'!E99</f>
        <v>10</v>
      </c>
      <c r="K27" s="111">
        <f>'FBMS-HND LEVEL ONE'!F99</f>
        <v>28</v>
      </c>
      <c r="L27" s="111">
        <f>'FBMS-HND LEVEL ONE'!J99</f>
        <v>15</v>
      </c>
      <c r="M27" s="111">
        <f>'FBMS-HND LEVEL ONE'!K99</f>
        <v>53</v>
      </c>
      <c r="N27" s="120" t="str">
        <f>'FBMS-HND LEVEL ONE'!L99</f>
        <v>C</v>
      </c>
      <c r="O27" s="119">
        <f>'FBMS-HND LEVEL ONE'!E179</f>
        <v>10</v>
      </c>
      <c r="P27" s="111">
        <f>'FBMS-HND LEVEL ONE'!F179</f>
        <v>22</v>
      </c>
      <c r="Q27" s="111">
        <f>'FBMS-HND LEVEL ONE'!J179</f>
        <v>20</v>
      </c>
      <c r="R27" s="111">
        <f>'FBMS-HND LEVEL ONE'!K179</f>
        <v>52</v>
      </c>
      <c r="S27" s="120" t="str">
        <f>'FBMS-HND LEVEL ONE'!L179</f>
        <v>C</v>
      </c>
      <c r="T27" s="119">
        <f>'FBMS-HND LEVEL ONE'!E248</f>
        <v>10</v>
      </c>
      <c r="U27" s="111">
        <f>'FBMS-HND LEVEL ONE'!F248</f>
        <v>19</v>
      </c>
      <c r="V27" s="111">
        <f>'FBMS-HND LEVEL ONE'!J248</f>
        <v>22</v>
      </c>
      <c r="W27" s="111">
        <f>'FBMS-HND LEVEL ONE'!K248</f>
        <v>51</v>
      </c>
      <c r="X27" s="120" t="str">
        <f>'FBMS-HND LEVEL ONE'!L248</f>
        <v>C</v>
      </c>
      <c r="Y27" s="252">
        <f>'FBMS-HND LEVEL ONE'!E320</f>
        <v>10</v>
      </c>
      <c r="Z27" s="111">
        <f>'FBMS-HND LEVEL ONE'!F320</f>
        <v>16</v>
      </c>
      <c r="AA27" s="111">
        <f>'FBMS-HND LEVEL ONE'!J320</f>
        <v>24</v>
      </c>
      <c r="AB27" s="111">
        <f>'FBMS-HND LEVEL ONE'!K320</f>
        <v>50</v>
      </c>
      <c r="AC27" s="120" t="str">
        <f>'FBMS-HND LEVEL ONE'!L320</f>
        <v>C</v>
      </c>
      <c r="AD27" s="119">
        <f>'FBMS-HND LEVEL ONE'!E391</f>
        <v>10</v>
      </c>
      <c r="AE27" s="111">
        <f>'FBMS-HND LEVEL ONE'!F391</f>
        <v>22.5</v>
      </c>
      <c r="AF27" s="173">
        <f>'FBMS-HND LEVEL ONE'!J391</f>
        <v>24</v>
      </c>
      <c r="AG27" s="173">
        <f>'FBMS-HND LEVEL ONE'!K391</f>
        <v>56.5</v>
      </c>
      <c r="AH27" s="178" t="str">
        <f>'FBMS-HND LEVEL ONE'!L391</f>
        <v>C+</v>
      </c>
      <c r="AI27" s="122">
        <f>'FBMS-HND LEVEL ONE'!E469</f>
        <v>10</v>
      </c>
      <c r="AJ27" s="111">
        <f>'FBMS-HND LEVEL ONE'!F469</f>
        <v>24</v>
      </c>
      <c r="AK27" s="173">
        <f>'FBMS-HND LEVEL ONE'!J469</f>
        <v>35</v>
      </c>
      <c r="AL27" s="171">
        <f>'FBMS-HND LEVEL ONE'!K469</f>
        <v>69</v>
      </c>
      <c r="AM27" s="178" t="str">
        <f>'FBMS-HND LEVEL ONE'!L469</f>
        <v>B</v>
      </c>
      <c r="AN27" s="119">
        <f>'FBMS-HND LEVEL ONE'!E545</f>
        <v>10</v>
      </c>
      <c r="AO27" s="111">
        <f>'FBMS-HND LEVEL ONE'!F545</f>
        <v>18</v>
      </c>
      <c r="AP27" s="111">
        <f>'FBMS-HND LEVEL ONE'!J545</f>
        <v>45</v>
      </c>
      <c r="AQ27" s="111">
        <f>'FBMS-HND LEVEL ONE'!K545</f>
        <v>73</v>
      </c>
      <c r="AR27" s="120" t="str">
        <f>'FBMS-HND LEVEL ONE'!L545</f>
        <v>B+</v>
      </c>
      <c r="AS27" s="121">
        <f>'FBMS-HND LEVEL ONE'!E615</f>
        <v>10</v>
      </c>
      <c r="AT27" s="111">
        <f>'FBMS-HND LEVEL ONE'!F615</f>
        <v>20</v>
      </c>
      <c r="AU27" s="173">
        <f>'FBMS-HND LEVEL ONE'!J615</f>
        <v>34</v>
      </c>
      <c r="AV27" s="173">
        <f>'FBMS-HND LEVEL ONE'!K615</f>
        <v>64</v>
      </c>
      <c r="AW27" s="174" t="str">
        <f>'FBMS-HND LEVEL ONE'!L615</f>
        <v>B</v>
      </c>
      <c r="AX27" s="119">
        <f>'FBMS-HND LEVEL ONE'!E686</f>
        <v>10</v>
      </c>
      <c r="AY27" s="111">
        <f>'FBMS-HND LEVEL ONE'!F686</f>
        <v>12</v>
      </c>
      <c r="AZ27" s="111">
        <f>'FBMS-HND LEVEL ONE'!J686</f>
        <v>7</v>
      </c>
      <c r="BA27" s="111">
        <f>'FBMS-HND LEVEL ONE'!K686</f>
        <v>29</v>
      </c>
      <c r="BB27" s="120" t="str">
        <f>'FBMS-HND LEVEL ONE'!L686</f>
        <v>F</v>
      </c>
      <c r="BC27" s="121">
        <f>'FBMS-HND LEVEL ONE'!E761</f>
        <v>8</v>
      </c>
      <c r="BD27" s="111">
        <f>'FBMS-HND LEVEL ONE'!F761</f>
        <v>23</v>
      </c>
      <c r="BE27" s="111">
        <f>'FBMS-HND LEVEL ONE'!J761</f>
        <v>46</v>
      </c>
      <c r="BF27" s="111">
        <f>'FBMS-HND LEVEL ONE'!K761</f>
        <v>77</v>
      </c>
      <c r="BG27" s="111" t="str">
        <f>'FBMS-HND LEVEL ONE'!L761</f>
        <v>B+</v>
      </c>
      <c r="BH27" s="119">
        <f>'FBMS-HND LEVEL ONE'!E829</f>
        <v>10</v>
      </c>
      <c r="BI27" s="111">
        <f>'FBMS-HND LEVEL ONE'!F829</f>
        <v>23</v>
      </c>
      <c r="BJ27" s="111">
        <f>'FBMS-HND LEVEL ONE'!J829</f>
        <v>42</v>
      </c>
      <c r="BK27" s="111">
        <f>'FBMS-HND LEVEL ONE'!K829</f>
        <v>75</v>
      </c>
      <c r="BL27" s="120" t="str">
        <f>'FBMS-HND LEVEL ONE'!L829</f>
        <v>B+</v>
      </c>
      <c r="BM27" s="119">
        <f>'FBMS-HND LEVEL ONE'!E901</f>
        <v>10</v>
      </c>
      <c r="BN27" s="111">
        <f>'FBMS-HND LEVEL ONE'!F901</f>
        <v>21</v>
      </c>
      <c r="BO27" s="173">
        <f>'FBMS-HND LEVEL ONE'!J901</f>
        <v>38</v>
      </c>
      <c r="BP27" s="173">
        <f>'FBMS-HND LEVEL ONE'!K901</f>
        <v>69</v>
      </c>
      <c r="BQ27" s="178" t="str">
        <f>'FBMS-HND LEVEL ONE'!L901</f>
        <v>B</v>
      </c>
    </row>
    <row r="28" spans="1:69" ht="15.6" x14ac:dyDescent="0.3">
      <c r="A28" s="116">
        <v>20</v>
      </c>
      <c r="B28" s="306" t="s">
        <v>448</v>
      </c>
      <c r="C28" s="308" t="s">
        <v>380</v>
      </c>
      <c r="D28" s="306" t="s">
        <v>448</v>
      </c>
      <c r="E28" s="122">
        <f>'FBMS-HND LEVEL ONE'!E31</f>
        <v>9</v>
      </c>
      <c r="F28" s="111">
        <f>'FBMS-HND LEVEL ONE'!F31</f>
        <v>14</v>
      </c>
      <c r="G28" s="111">
        <f>'FBMS-HND LEVEL ONE'!J31</f>
        <v>28</v>
      </c>
      <c r="H28" s="112">
        <f>'FBMS-HND LEVEL ONE'!K31</f>
        <v>51</v>
      </c>
      <c r="I28" s="120" t="str">
        <f>'FBMS-HND LEVEL ONE'!L31</f>
        <v>C</v>
      </c>
      <c r="J28" s="119">
        <f>'FBMS-HND LEVEL ONE'!E100</f>
        <v>9</v>
      </c>
      <c r="K28" s="111">
        <f>'FBMS-HND LEVEL ONE'!F100</f>
        <v>25</v>
      </c>
      <c r="L28" s="111">
        <f>'FBMS-HND LEVEL ONE'!J100</f>
        <v>32</v>
      </c>
      <c r="M28" s="111">
        <f>'FBMS-HND LEVEL ONE'!K100</f>
        <v>66</v>
      </c>
      <c r="N28" s="120" t="str">
        <f>'FBMS-HND LEVEL ONE'!L100</f>
        <v>B</v>
      </c>
      <c r="O28" s="119">
        <f>'FBMS-HND LEVEL ONE'!E180</f>
        <v>10</v>
      </c>
      <c r="P28" s="111">
        <f>'FBMS-HND LEVEL ONE'!F180</f>
        <v>16</v>
      </c>
      <c r="Q28" s="111">
        <f>'FBMS-HND LEVEL ONE'!J180</f>
        <v>9</v>
      </c>
      <c r="R28" s="111">
        <f>'FBMS-HND LEVEL ONE'!K180</f>
        <v>35</v>
      </c>
      <c r="S28" s="120" t="str">
        <f>'FBMS-HND LEVEL ONE'!L180</f>
        <v>F</v>
      </c>
      <c r="T28" s="119">
        <f>'FBMS-HND LEVEL ONE'!E249</f>
        <v>8</v>
      </c>
      <c r="U28" s="111">
        <f>'FBMS-HND LEVEL ONE'!F249</f>
        <v>21</v>
      </c>
      <c r="V28" s="111">
        <f>'FBMS-HND LEVEL ONE'!J249</f>
        <v>31</v>
      </c>
      <c r="W28" s="111">
        <f>'FBMS-HND LEVEL ONE'!K249</f>
        <v>60</v>
      </c>
      <c r="X28" s="120" t="str">
        <f>'FBMS-HND LEVEL ONE'!L249</f>
        <v>B</v>
      </c>
      <c r="Y28" s="119">
        <f>'FBMS-HND LEVEL ONE'!E321</f>
        <v>9</v>
      </c>
      <c r="Z28" s="111">
        <f>'FBMS-HND LEVEL ONE'!F321</f>
        <v>21</v>
      </c>
      <c r="AA28" s="111">
        <f>'FBMS-HND LEVEL ONE'!J321</f>
        <v>20</v>
      </c>
      <c r="AB28" s="111">
        <f>'FBMS-HND LEVEL ONE'!K321</f>
        <v>50</v>
      </c>
      <c r="AC28" s="120" t="str">
        <f>'FBMS-HND LEVEL ONE'!L321</f>
        <v>C</v>
      </c>
      <c r="AD28" s="119">
        <f>'FBMS-HND LEVEL ONE'!E392</f>
        <v>10</v>
      </c>
      <c r="AE28" s="111">
        <f>'FBMS-HND LEVEL ONE'!F392</f>
        <v>21</v>
      </c>
      <c r="AF28" s="173">
        <f>'FBMS-HND LEVEL ONE'!J392</f>
        <v>35</v>
      </c>
      <c r="AG28" s="173">
        <f>'FBMS-HND LEVEL ONE'!K392</f>
        <v>66</v>
      </c>
      <c r="AH28" s="178" t="str">
        <f>'FBMS-HND LEVEL ONE'!L392</f>
        <v>B</v>
      </c>
      <c r="AI28" s="122">
        <f>'FBMS-HND LEVEL ONE'!E470</f>
        <v>10</v>
      </c>
      <c r="AJ28" s="111">
        <f>'FBMS-HND LEVEL ONE'!F470</f>
        <v>18</v>
      </c>
      <c r="AK28" s="173">
        <f>'FBMS-HND LEVEL ONE'!J470</f>
        <v>25</v>
      </c>
      <c r="AL28" s="171">
        <f>'FBMS-HND LEVEL ONE'!K470</f>
        <v>53</v>
      </c>
      <c r="AM28" s="178" t="str">
        <f>'FBMS-HND LEVEL ONE'!L470</f>
        <v>C</v>
      </c>
      <c r="AN28" s="119">
        <f>'FBMS-HND LEVEL ONE'!E546</f>
        <v>10</v>
      </c>
      <c r="AO28" s="111">
        <f>'FBMS-HND LEVEL ONE'!F546</f>
        <v>16</v>
      </c>
      <c r="AP28" s="111">
        <f>'FBMS-HND LEVEL ONE'!J546</f>
        <v>24</v>
      </c>
      <c r="AQ28" s="111">
        <f>'FBMS-HND LEVEL ONE'!K546</f>
        <v>50</v>
      </c>
      <c r="AR28" s="120" t="str">
        <f>'FBMS-HND LEVEL ONE'!L546</f>
        <v>C</v>
      </c>
      <c r="AS28" s="121">
        <f>'FBMS-HND LEVEL ONE'!E616</f>
        <v>10</v>
      </c>
      <c r="AT28" s="173">
        <f>'FBMS-HND LEVEL ONE'!F616</f>
        <v>17</v>
      </c>
      <c r="AU28" s="173">
        <f>'FBMS-HND LEVEL ONE'!J616</f>
        <v>38</v>
      </c>
      <c r="AV28" s="173">
        <f>'FBMS-HND LEVEL ONE'!K616</f>
        <v>65</v>
      </c>
      <c r="AW28" s="174" t="str">
        <f>'FBMS-HND LEVEL ONE'!L616</f>
        <v>B</v>
      </c>
      <c r="AX28" s="119">
        <f>'FBMS-HND LEVEL ONE'!E687</f>
        <v>10</v>
      </c>
      <c r="AY28" s="111">
        <f>'FBMS-HND LEVEL ONE'!F687</f>
        <v>13</v>
      </c>
      <c r="AZ28" s="111">
        <f>'FBMS-HND LEVEL ONE'!J687</f>
        <v>34</v>
      </c>
      <c r="BA28" s="111">
        <f>'FBMS-HND LEVEL ONE'!K687</f>
        <v>57</v>
      </c>
      <c r="BB28" s="120" t="str">
        <f>'FBMS-HND LEVEL ONE'!L687</f>
        <v>C+</v>
      </c>
      <c r="BC28" s="121">
        <f>'FBMS-HND LEVEL ONE'!E762</f>
        <v>8</v>
      </c>
      <c r="BD28" s="111">
        <f>'FBMS-HND LEVEL ONE'!F762</f>
        <v>2</v>
      </c>
      <c r="BE28" s="111">
        <f>'FBMS-HND LEVEL ONE'!J762</f>
        <v>40</v>
      </c>
      <c r="BF28" s="111">
        <f>'FBMS-HND LEVEL ONE'!K762</f>
        <v>50</v>
      </c>
      <c r="BG28" s="111" t="str">
        <f>'FBMS-HND LEVEL ONE'!L762</f>
        <v>C</v>
      </c>
      <c r="BH28" s="119">
        <f>'FBMS-HND LEVEL ONE'!E830</f>
        <v>10</v>
      </c>
      <c r="BI28" s="111">
        <f>'FBMS-HND LEVEL ONE'!F830</f>
        <v>20</v>
      </c>
      <c r="BJ28" s="111">
        <f>'FBMS-HND LEVEL ONE'!J830</f>
        <v>43</v>
      </c>
      <c r="BK28" s="111">
        <f>'FBMS-HND LEVEL ONE'!K830</f>
        <v>73</v>
      </c>
      <c r="BL28" s="120" t="str">
        <f>'FBMS-HND LEVEL ONE'!L830</f>
        <v>B+</v>
      </c>
      <c r="BM28" s="119">
        <f>'FBMS-HND LEVEL ONE'!E902</f>
        <v>10</v>
      </c>
      <c r="BN28" s="111">
        <f>'FBMS-HND LEVEL ONE'!F902</f>
        <v>17</v>
      </c>
      <c r="BO28" s="173">
        <f>'FBMS-HND LEVEL ONE'!J902</f>
        <v>28</v>
      </c>
      <c r="BP28" s="173">
        <f>'FBMS-HND LEVEL ONE'!K902</f>
        <v>55</v>
      </c>
      <c r="BQ28" s="178" t="str">
        <f>'FBMS-HND LEVEL ONE'!L902</f>
        <v>C+</v>
      </c>
    </row>
    <row r="29" spans="1:69" x14ac:dyDescent="0.3">
      <c r="A29" s="109">
        <v>21</v>
      </c>
      <c r="B29" s="306" t="s">
        <v>447</v>
      </c>
      <c r="C29" s="310" t="s">
        <v>381</v>
      </c>
      <c r="D29" s="306" t="s">
        <v>447</v>
      </c>
      <c r="E29" s="122">
        <f>'FBMS-HND LEVEL ONE'!E32</f>
        <v>9</v>
      </c>
      <c r="F29" s="111">
        <f>'FBMS-HND LEVEL ONE'!F32</f>
        <v>15</v>
      </c>
      <c r="G29" s="111">
        <f>'FBMS-HND LEVEL ONE'!J32</f>
        <v>48</v>
      </c>
      <c r="H29" s="112">
        <f>'FBMS-HND LEVEL ONE'!K32</f>
        <v>72</v>
      </c>
      <c r="I29" s="120" t="str">
        <f>'FBMS-HND LEVEL ONE'!L32</f>
        <v>B+</v>
      </c>
      <c r="J29" s="119">
        <f>'FBMS-HND LEVEL ONE'!E101</f>
        <v>9</v>
      </c>
      <c r="K29" s="111">
        <f>'FBMS-HND LEVEL ONE'!F101</f>
        <v>26</v>
      </c>
      <c r="L29" s="111">
        <f>'FBMS-HND LEVEL ONE'!J101</f>
        <v>40</v>
      </c>
      <c r="M29" s="111">
        <f>'FBMS-HND LEVEL ONE'!K101</f>
        <v>75</v>
      </c>
      <c r="N29" s="120" t="str">
        <f>'FBMS-HND LEVEL ONE'!L101</f>
        <v>B+</v>
      </c>
      <c r="O29" s="119">
        <f>'FBMS-HND LEVEL ONE'!E181</f>
        <v>9</v>
      </c>
      <c r="P29" s="111">
        <f>'FBMS-HND LEVEL ONE'!F181</f>
        <v>29</v>
      </c>
      <c r="Q29" s="111">
        <f>'FBMS-HND LEVEL ONE'!J181</f>
        <v>33</v>
      </c>
      <c r="R29" s="111">
        <f>'FBMS-HND LEVEL ONE'!K181</f>
        <v>71</v>
      </c>
      <c r="S29" s="120" t="str">
        <f>'FBMS-HND LEVEL ONE'!L181</f>
        <v>B+</v>
      </c>
      <c r="T29" s="119">
        <f>'FBMS-HND LEVEL ONE'!E250</f>
        <v>10</v>
      </c>
      <c r="U29" s="111">
        <f>'FBMS-HND LEVEL ONE'!F250</f>
        <v>19</v>
      </c>
      <c r="V29" s="111">
        <f>'FBMS-HND LEVEL ONE'!J250</f>
        <v>32</v>
      </c>
      <c r="W29" s="111">
        <f>'FBMS-HND LEVEL ONE'!K250</f>
        <v>61</v>
      </c>
      <c r="X29" s="120" t="str">
        <f>'FBMS-HND LEVEL ONE'!L250</f>
        <v>B</v>
      </c>
      <c r="Y29" s="119">
        <f>'FBMS-HND LEVEL ONE'!E322</f>
        <v>10</v>
      </c>
      <c r="Z29" s="111">
        <f>'FBMS-HND LEVEL ONE'!F322</f>
        <v>16</v>
      </c>
      <c r="AA29" s="111">
        <f>'FBMS-HND LEVEL ONE'!J322</f>
        <v>20</v>
      </c>
      <c r="AB29" s="111">
        <f>'FBMS-HND LEVEL ONE'!K322</f>
        <v>46</v>
      </c>
      <c r="AC29" s="120" t="str">
        <f>'FBMS-HND LEVEL ONE'!L322</f>
        <v>D+</v>
      </c>
      <c r="AD29" s="119">
        <f>'FBMS-HND LEVEL ONE'!E393</f>
        <v>10</v>
      </c>
      <c r="AE29" s="111">
        <f>'FBMS-HND LEVEL ONE'!F393</f>
        <v>26</v>
      </c>
      <c r="AF29" s="173">
        <f>'FBMS-HND LEVEL ONE'!J393</f>
        <v>31</v>
      </c>
      <c r="AG29" s="173">
        <f>'FBMS-HND LEVEL ONE'!K393</f>
        <v>67</v>
      </c>
      <c r="AH29" s="178" t="str">
        <f>'FBMS-HND LEVEL ONE'!L393</f>
        <v>B</v>
      </c>
      <c r="AI29" s="122">
        <f>'FBMS-HND LEVEL ONE'!E471</f>
        <v>10</v>
      </c>
      <c r="AJ29" s="111">
        <f>'FBMS-HND LEVEL ONE'!F471</f>
        <v>23</v>
      </c>
      <c r="AK29" s="173">
        <f>'FBMS-HND LEVEL ONE'!J471</f>
        <v>35</v>
      </c>
      <c r="AL29" s="171">
        <f>'FBMS-HND LEVEL ONE'!K471</f>
        <v>68</v>
      </c>
      <c r="AM29" s="178" t="str">
        <f>'FBMS-HND LEVEL ONE'!L471</f>
        <v>B</v>
      </c>
      <c r="AN29" s="119">
        <f>'FBMS-HND LEVEL ONE'!E547</f>
        <v>10</v>
      </c>
      <c r="AO29" s="111">
        <f>'FBMS-HND LEVEL ONE'!F547</f>
        <v>20</v>
      </c>
      <c r="AP29" s="111">
        <f>'FBMS-HND LEVEL ONE'!J547</f>
        <v>30</v>
      </c>
      <c r="AQ29" s="111">
        <f>'FBMS-HND LEVEL ONE'!K547</f>
        <v>60</v>
      </c>
      <c r="AR29" s="120" t="str">
        <f>'FBMS-HND LEVEL ONE'!L547</f>
        <v>B</v>
      </c>
      <c r="AS29" s="121">
        <f>'FBMS-HND LEVEL ONE'!E617</f>
        <v>10</v>
      </c>
      <c r="AT29" s="111">
        <f>'FBMS-HND LEVEL ONE'!F617</f>
        <v>17</v>
      </c>
      <c r="AU29" s="173">
        <f>'FBMS-HND LEVEL ONE'!J617</f>
        <v>55</v>
      </c>
      <c r="AV29" s="173">
        <f>'FBMS-HND LEVEL ONE'!K617</f>
        <v>82</v>
      </c>
      <c r="AW29" s="174" t="str">
        <f>'FBMS-HND LEVEL ONE'!L617</f>
        <v>A</v>
      </c>
      <c r="AX29" s="119">
        <f>'FBMS-HND LEVEL ONE'!E688</f>
        <v>10</v>
      </c>
      <c r="AY29" s="111">
        <f>'FBMS-HND LEVEL ONE'!F688</f>
        <v>18</v>
      </c>
      <c r="AZ29" s="111">
        <f>'FBMS-HND LEVEL ONE'!J688</f>
        <v>37</v>
      </c>
      <c r="BA29" s="111">
        <f>'FBMS-HND LEVEL ONE'!K688</f>
        <v>65</v>
      </c>
      <c r="BB29" s="120" t="str">
        <f>'FBMS-HND LEVEL ONE'!L688</f>
        <v>B</v>
      </c>
      <c r="BC29" s="121">
        <f>'FBMS-HND LEVEL ONE'!E763</f>
        <v>8</v>
      </c>
      <c r="BD29" s="111">
        <f>'FBMS-HND LEVEL ONE'!F763</f>
        <v>15</v>
      </c>
      <c r="BE29" s="111">
        <f>'FBMS-HND LEVEL ONE'!J763</f>
        <v>15</v>
      </c>
      <c r="BF29" s="111">
        <f>'FBMS-HND LEVEL ONE'!K763</f>
        <v>38</v>
      </c>
      <c r="BG29" s="111" t="str">
        <f>'FBMS-HND LEVEL ONE'!L763</f>
        <v>F</v>
      </c>
      <c r="BH29" s="119">
        <f>'FBMS-HND LEVEL ONE'!E831</f>
        <v>10</v>
      </c>
      <c r="BI29" s="111">
        <f>'FBMS-HND LEVEL ONE'!F831</f>
        <v>24</v>
      </c>
      <c r="BJ29" s="111">
        <f>'FBMS-HND LEVEL ONE'!J831</f>
        <v>40</v>
      </c>
      <c r="BK29" s="111">
        <f>'FBMS-HND LEVEL ONE'!K831</f>
        <v>74</v>
      </c>
      <c r="BL29" s="120" t="str">
        <f>'FBMS-HND LEVEL ONE'!L831</f>
        <v>B+</v>
      </c>
      <c r="BM29" s="119">
        <f>'FBMS-HND LEVEL ONE'!E903</f>
        <v>10</v>
      </c>
      <c r="BN29" s="111">
        <f>'FBMS-HND LEVEL ONE'!F903</f>
        <v>21</v>
      </c>
      <c r="BO29" s="173">
        <f>'FBMS-HND LEVEL ONE'!J903</f>
        <v>33</v>
      </c>
      <c r="BP29" s="173">
        <f>'FBMS-HND LEVEL ONE'!K903</f>
        <v>64</v>
      </c>
      <c r="BQ29" s="178" t="str">
        <f>'FBMS-HND LEVEL ONE'!L903</f>
        <v>B</v>
      </c>
    </row>
    <row r="30" spans="1:69" ht="15.6" x14ac:dyDescent="0.3">
      <c r="A30" s="116">
        <v>22</v>
      </c>
      <c r="B30" s="313" t="s">
        <v>570</v>
      </c>
      <c r="C30" s="309" t="s">
        <v>382</v>
      </c>
      <c r="D30" s="313" t="s">
        <v>570</v>
      </c>
      <c r="E30" s="122">
        <f>'FBMS-HND LEVEL ONE'!E33</f>
        <v>8</v>
      </c>
      <c r="F30" s="111">
        <f>'FBMS-HND LEVEL ONE'!F33</f>
        <v>19</v>
      </c>
      <c r="G30" s="111">
        <f>'FBMS-HND LEVEL ONE'!J33</f>
        <v>45</v>
      </c>
      <c r="H30" s="112">
        <f>'FBMS-HND LEVEL ONE'!K33</f>
        <v>72</v>
      </c>
      <c r="I30" s="120" t="str">
        <f>'FBMS-HND LEVEL ONE'!L33</f>
        <v>B+</v>
      </c>
      <c r="J30" s="119">
        <f>'FBMS-HND LEVEL ONE'!E102</f>
        <v>8</v>
      </c>
      <c r="K30" s="111">
        <f>'FBMS-HND LEVEL ONE'!F102</f>
        <v>24</v>
      </c>
      <c r="L30" s="111">
        <f>'FBMS-HND LEVEL ONE'!J102</f>
        <v>18</v>
      </c>
      <c r="M30" s="111">
        <f>'FBMS-HND LEVEL ONE'!K102</f>
        <v>50</v>
      </c>
      <c r="N30" s="120" t="str">
        <f>'FBMS-HND LEVEL ONE'!L102</f>
        <v>C</v>
      </c>
      <c r="O30" s="119">
        <f>'FBMS-HND LEVEL ONE'!E182</f>
        <v>9</v>
      </c>
      <c r="P30" s="111">
        <f>'FBMS-HND LEVEL ONE'!F182</f>
        <v>26</v>
      </c>
      <c r="Q30" s="111">
        <f>'FBMS-HND LEVEL ONE'!J182</f>
        <v>3</v>
      </c>
      <c r="R30" s="111">
        <f>'FBMS-HND LEVEL ONE'!K182</f>
        <v>38</v>
      </c>
      <c r="S30" s="120" t="str">
        <f>'FBMS-HND LEVEL ONE'!L182</f>
        <v>F</v>
      </c>
      <c r="T30" s="119">
        <f>'FBMS-HND LEVEL ONE'!E251</f>
        <v>8</v>
      </c>
      <c r="U30" s="111">
        <f>'FBMS-HND LEVEL ONE'!F251</f>
        <v>20</v>
      </c>
      <c r="V30" s="111">
        <f>'FBMS-HND LEVEL ONE'!J251</f>
        <v>22</v>
      </c>
      <c r="W30" s="111">
        <f>'FBMS-HND LEVEL ONE'!K251</f>
        <v>50</v>
      </c>
      <c r="X30" s="120" t="str">
        <f>'FBMS-HND LEVEL ONE'!L251</f>
        <v>C</v>
      </c>
      <c r="Y30" s="119">
        <f>'FBMS-HND LEVEL ONE'!E323</f>
        <v>8</v>
      </c>
      <c r="Z30" s="111">
        <f>'FBMS-HND LEVEL ONE'!F323</f>
        <v>19</v>
      </c>
      <c r="AA30" s="111">
        <f>'FBMS-HND LEVEL ONE'!J323</f>
        <v>16</v>
      </c>
      <c r="AB30" s="111">
        <f>'FBMS-HND LEVEL ONE'!K323</f>
        <v>43</v>
      </c>
      <c r="AC30" s="120" t="str">
        <f>'FBMS-HND LEVEL ONE'!L323</f>
        <v>D</v>
      </c>
      <c r="AD30" s="119">
        <f>'FBMS-HND LEVEL ONE'!E394</f>
        <v>10</v>
      </c>
      <c r="AE30" s="111">
        <f>'FBMS-HND LEVEL ONE'!F394</f>
        <v>24</v>
      </c>
      <c r="AF30" s="173">
        <f>'FBMS-HND LEVEL ONE'!J394</f>
        <v>17</v>
      </c>
      <c r="AG30" s="173">
        <f>'FBMS-HND LEVEL ONE'!K394</f>
        <v>51</v>
      </c>
      <c r="AH30" s="178" t="str">
        <f>'FBMS-HND LEVEL ONE'!L394</f>
        <v>C</v>
      </c>
      <c r="AI30" s="122">
        <f>'FBMS-HND LEVEL ONE'!E472</f>
        <v>10</v>
      </c>
      <c r="AJ30" s="111">
        <f>'FBMS-HND LEVEL ONE'!F472</f>
        <v>17</v>
      </c>
      <c r="AK30" s="173">
        <f>'FBMS-HND LEVEL ONE'!J472</f>
        <v>27</v>
      </c>
      <c r="AL30" s="171">
        <f>'FBMS-HND LEVEL ONE'!K472</f>
        <v>54</v>
      </c>
      <c r="AM30" s="178" t="str">
        <f>'FBMS-HND LEVEL ONE'!L472</f>
        <v>C</v>
      </c>
      <c r="AN30" s="119">
        <f>'FBMS-HND LEVEL ONE'!E548</f>
        <v>10</v>
      </c>
      <c r="AO30" s="111">
        <f>'FBMS-HND LEVEL ONE'!F548</f>
        <v>22.5</v>
      </c>
      <c r="AP30" s="111">
        <f>'FBMS-HND LEVEL ONE'!J548</f>
        <v>4</v>
      </c>
      <c r="AQ30" s="111">
        <f>'FBMS-HND LEVEL ONE'!K548</f>
        <v>36.5</v>
      </c>
      <c r="AR30" s="120" t="str">
        <f>'FBMS-HND LEVEL ONE'!L548</f>
        <v>F</v>
      </c>
      <c r="AS30" s="121">
        <f>'FBMS-HND LEVEL ONE'!E618</f>
        <v>10</v>
      </c>
      <c r="AT30" s="111">
        <f>'FBMS-HND LEVEL ONE'!F618</f>
        <v>17</v>
      </c>
      <c r="AU30" s="173">
        <f>'FBMS-HND LEVEL ONE'!J618</f>
        <v>34</v>
      </c>
      <c r="AV30" s="173">
        <f>'FBMS-HND LEVEL ONE'!K618</f>
        <v>61</v>
      </c>
      <c r="AW30" s="174" t="str">
        <f>'FBMS-HND LEVEL ONE'!L618</f>
        <v>B</v>
      </c>
      <c r="AX30" s="119">
        <f>'FBMS-HND LEVEL ONE'!E689</f>
        <v>9</v>
      </c>
      <c r="AY30" s="111">
        <f>'FBMS-HND LEVEL ONE'!F689</f>
        <v>17</v>
      </c>
      <c r="AZ30" s="111">
        <f>'FBMS-HND LEVEL ONE'!J689</f>
        <v>33</v>
      </c>
      <c r="BA30" s="111">
        <f>'FBMS-HND LEVEL ONE'!K689</f>
        <v>59</v>
      </c>
      <c r="BB30" s="120" t="str">
        <f>'FBMS-HND LEVEL ONE'!L689</f>
        <v>C+</v>
      </c>
      <c r="BC30" s="121">
        <f>'FBMS-HND LEVEL ONE'!E764</f>
        <v>8</v>
      </c>
      <c r="BD30" s="111">
        <f>'FBMS-HND LEVEL ONE'!F764</f>
        <v>18</v>
      </c>
      <c r="BE30" s="111">
        <f>'FBMS-HND LEVEL ONE'!J764</f>
        <v>39</v>
      </c>
      <c r="BF30" s="111">
        <f>'FBMS-HND LEVEL ONE'!K764</f>
        <v>65</v>
      </c>
      <c r="BG30" s="111" t="str">
        <f>'FBMS-HND LEVEL ONE'!L764</f>
        <v>B</v>
      </c>
      <c r="BH30" s="119">
        <f>'FBMS-HND LEVEL ONE'!E832</f>
        <v>10</v>
      </c>
      <c r="BI30" s="111">
        <f>'FBMS-HND LEVEL ONE'!F832</f>
        <v>23</v>
      </c>
      <c r="BJ30" s="111">
        <f>'FBMS-HND LEVEL ONE'!J832</f>
        <v>20</v>
      </c>
      <c r="BK30" s="111">
        <f>'FBMS-HND LEVEL ONE'!K832</f>
        <v>53</v>
      </c>
      <c r="BL30" s="120" t="str">
        <f>'FBMS-HND LEVEL ONE'!L832</f>
        <v>C</v>
      </c>
      <c r="BM30" s="119">
        <f>'FBMS-HND LEVEL ONE'!E904</f>
        <v>10</v>
      </c>
      <c r="BN30" s="111">
        <f>'FBMS-HND LEVEL ONE'!F904</f>
        <v>12</v>
      </c>
      <c r="BO30" s="173">
        <f>'FBMS-HND LEVEL ONE'!J904</f>
        <v>39</v>
      </c>
      <c r="BP30" s="173">
        <f>'FBMS-HND LEVEL ONE'!K904</f>
        <v>61</v>
      </c>
      <c r="BQ30" s="178" t="str">
        <f>'FBMS-HND LEVEL ONE'!L904</f>
        <v>B</v>
      </c>
    </row>
    <row r="31" spans="1:69" ht="15.6" x14ac:dyDescent="0.3">
      <c r="A31" s="109">
        <v>23</v>
      </c>
      <c r="B31" s="306" t="s">
        <v>449</v>
      </c>
      <c r="C31" s="309" t="s">
        <v>383</v>
      </c>
      <c r="D31" s="306" t="s">
        <v>449</v>
      </c>
      <c r="E31" s="122">
        <f>'FBMS-HND LEVEL ONE'!E34</f>
        <v>8</v>
      </c>
      <c r="F31" s="111">
        <f>'FBMS-HND LEVEL ONE'!F34</f>
        <v>25</v>
      </c>
      <c r="G31" s="111">
        <f>'FBMS-HND LEVEL ONE'!J34</f>
        <v>43</v>
      </c>
      <c r="H31" s="112">
        <f>'FBMS-HND LEVEL ONE'!K34</f>
        <v>76</v>
      </c>
      <c r="I31" s="120" t="str">
        <f>'FBMS-HND LEVEL ONE'!L34</f>
        <v>B+</v>
      </c>
      <c r="J31" s="119">
        <f>'FBMS-HND LEVEL ONE'!E103</f>
        <v>8</v>
      </c>
      <c r="K31" s="111">
        <f>'FBMS-HND LEVEL ONE'!F103</f>
        <v>29</v>
      </c>
      <c r="L31" s="111">
        <f>'FBMS-HND LEVEL ONE'!J103</f>
        <v>30</v>
      </c>
      <c r="M31" s="111">
        <f>'FBMS-HND LEVEL ONE'!K103</f>
        <v>67</v>
      </c>
      <c r="N31" s="120" t="str">
        <f>'FBMS-HND LEVEL ONE'!L103</f>
        <v>B</v>
      </c>
      <c r="O31" s="119">
        <f>'FBMS-HND LEVEL ONE'!E183</f>
        <v>10</v>
      </c>
      <c r="P31" s="111">
        <f>'FBMS-HND LEVEL ONE'!F183</f>
        <v>30</v>
      </c>
      <c r="Q31" s="111">
        <f>'FBMS-HND LEVEL ONE'!J183</f>
        <v>25</v>
      </c>
      <c r="R31" s="111">
        <f>'FBMS-HND LEVEL ONE'!K183</f>
        <v>65</v>
      </c>
      <c r="S31" s="120" t="str">
        <f>'FBMS-HND LEVEL ONE'!L183</f>
        <v>B</v>
      </c>
      <c r="T31" s="119">
        <f>'FBMS-HND LEVEL ONE'!E252</f>
        <v>8</v>
      </c>
      <c r="U31" s="111">
        <f>'FBMS-HND LEVEL ONE'!F252</f>
        <v>23</v>
      </c>
      <c r="V31" s="111">
        <f>'FBMS-HND LEVEL ONE'!J252</f>
        <v>37</v>
      </c>
      <c r="W31" s="111">
        <f>'FBMS-HND LEVEL ONE'!K252</f>
        <v>68</v>
      </c>
      <c r="X31" s="120" t="str">
        <f>'FBMS-HND LEVEL ONE'!L252</f>
        <v>B</v>
      </c>
      <c r="Y31" s="119">
        <f>'FBMS-HND LEVEL ONE'!E324</f>
        <v>10</v>
      </c>
      <c r="Z31" s="111">
        <f>'FBMS-HND LEVEL ONE'!F324</f>
        <v>10</v>
      </c>
      <c r="AA31" s="111">
        <f>'FBMS-HND LEVEL ONE'!J324</f>
        <v>4</v>
      </c>
      <c r="AB31" s="111">
        <f>'FBMS-HND LEVEL ONE'!K324</f>
        <v>24</v>
      </c>
      <c r="AC31" s="120" t="str">
        <f>'FBMS-HND LEVEL ONE'!L324</f>
        <v>F</v>
      </c>
      <c r="AD31" s="119">
        <f>'FBMS-HND LEVEL ONE'!E395</f>
        <v>9</v>
      </c>
      <c r="AE31" s="111">
        <f>'FBMS-HND LEVEL ONE'!F395</f>
        <v>25</v>
      </c>
      <c r="AF31" s="173">
        <f>'FBMS-HND LEVEL ONE'!J395</f>
        <v>40</v>
      </c>
      <c r="AG31" s="173">
        <f>'FBMS-HND LEVEL ONE'!K395</f>
        <v>74</v>
      </c>
      <c r="AH31" s="178" t="str">
        <f>'FBMS-HND LEVEL ONE'!L395</f>
        <v>B+</v>
      </c>
      <c r="AI31" s="122">
        <f>'FBMS-HND LEVEL ONE'!E473</f>
        <v>10</v>
      </c>
      <c r="AJ31" s="111">
        <f>'FBMS-HND LEVEL ONE'!F473</f>
        <v>23</v>
      </c>
      <c r="AK31" s="173">
        <f>'FBMS-HND LEVEL ONE'!J473</f>
        <v>26</v>
      </c>
      <c r="AL31" s="171">
        <f>'FBMS-HND LEVEL ONE'!K473</f>
        <v>59</v>
      </c>
      <c r="AM31" s="178" t="str">
        <f>'FBMS-HND LEVEL ONE'!L473</f>
        <v>C+</v>
      </c>
      <c r="AN31" s="119">
        <f>'FBMS-HND LEVEL ONE'!E549</f>
        <v>8</v>
      </c>
      <c r="AO31" s="111">
        <f>'FBMS-HND LEVEL ONE'!F549</f>
        <v>23</v>
      </c>
      <c r="AP31" s="111">
        <f>'FBMS-HND LEVEL ONE'!J549</f>
        <v>26</v>
      </c>
      <c r="AQ31" s="111">
        <f>'FBMS-HND LEVEL ONE'!K549</f>
        <v>57</v>
      </c>
      <c r="AR31" s="120" t="str">
        <f>'FBMS-HND LEVEL ONE'!L549</f>
        <v>C+</v>
      </c>
      <c r="AS31" s="121">
        <f>'FBMS-HND LEVEL ONE'!E619</f>
        <v>10</v>
      </c>
      <c r="AT31" s="111">
        <f>'FBMS-HND LEVEL ONE'!F619</f>
        <v>17</v>
      </c>
      <c r="AU31" s="173">
        <f>'FBMS-HND LEVEL ONE'!J619</f>
        <v>39</v>
      </c>
      <c r="AV31" s="173">
        <f>'FBMS-HND LEVEL ONE'!K619</f>
        <v>66</v>
      </c>
      <c r="AW31" s="174" t="str">
        <f>'FBMS-HND LEVEL ONE'!L619</f>
        <v>B</v>
      </c>
      <c r="AX31" s="119">
        <f>'FBMS-HND LEVEL ONE'!E690</f>
        <v>8</v>
      </c>
      <c r="AY31" s="111">
        <f>'FBMS-HND LEVEL ONE'!F690</f>
        <v>22</v>
      </c>
      <c r="AZ31" s="111">
        <f>'FBMS-HND LEVEL ONE'!J690</f>
        <v>8</v>
      </c>
      <c r="BA31" s="111">
        <f>'FBMS-HND LEVEL ONE'!K690</f>
        <v>38</v>
      </c>
      <c r="BB31" s="120" t="str">
        <f>'FBMS-HND LEVEL ONE'!L690</f>
        <v>F</v>
      </c>
      <c r="BC31" s="121">
        <f>'FBMS-HND LEVEL ONE'!E765</f>
        <v>8</v>
      </c>
      <c r="BD31" s="111">
        <f>'FBMS-HND LEVEL ONE'!F765</f>
        <v>12</v>
      </c>
      <c r="BE31" s="111">
        <f>'FBMS-HND LEVEL ONE'!J765</f>
        <v>40</v>
      </c>
      <c r="BF31" s="111">
        <f>'FBMS-HND LEVEL ONE'!K765</f>
        <v>60</v>
      </c>
      <c r="BG31" s="111" t="str">
        <f>'FBMS-HND LEVEL ONE'!L765</f>
        <v>B</v>
      </c>
      <c r="BH31" s="119">
        <f>'FBMS-HND LEVEL ONE'!E833</f>
        <v>10</v>
      </c>
      <c r="BI31" s="111">
        <f>'FBMS-HND LEVEL ONE'!F833</f>
        <v>26</v>
      </c>
      <c r="BJ31" s="111">
        <f>'FBMS-HND LEVEL ONE'!J833</f>
        <v>30</v>
      </c>
      <c r="BK31" s="111">
        <f>'FBMS-HND LEVEL ONE'!K833</f>
        <v>66</v>
      </c>
      <c r="BL31" s="120" t="str">
        <f>'FBMS-HND LEVEL ONE'!L833</f>
        <v>B</v>
      </c>
      <c r="BM31" s="119">
        <f>'FBMS-HND LEVEL ONE'!E905</f>
        <v>9</v>
      </c>
      <c r="BN31" s="111">
        <f>'FBMS-HND LEVEL ONE'!F905</f>
        <v>22</v>
      </c>
      <c r="BO31" s="173">
        <f>'FBMS-HND LEVEL ONE'!J905</f>
        <v>38</v>
      </c>
      <c r="BP31" s="173">
        <f>'FBMS-HND LEVEL ONE'!K905</f>
        <v>69</v>
      </c>
      <c r="BQ31" s="178" t="str">
        <f>'FBMS-HND LEVEL ONE'!L905</f>
        <v>B</v>
      </c>
    </row>
    <row r="32" spans="1:69" ht="15.6" x14ac:dyDescent="0.3">
      <c r="A32" s="116">
        <v>24</v>
      </c>
      <c r="B32" s="306" t="s">
        <v>450</v>
      </c>
      <c r="C32" s="309" t="s">
        <v>384</v>
      </c>
      <c r="D32" s="306" t="s">
        <v>450</v>
      </c>
      <c r="E32" s="122">
        <f>'FBMS-HND LEVEL ONE'!E35</f>
        <v>9</v>
      </c>
      <c r="F32" s="111">
        <f>'FBMS-HND LEVEL ONE'!F35</f>
        <v>19</v>
      </c>
      <c r="G32" s="111">
        <f>'FBMS-HND LEVEL ONE'!J35</f>
        <v>48</v>
      </c>
      <c r="H32" s="112">
        <f>'FBMS-HND LEVEL ONE'!K35</f>
        <v>76</v>
      </c>
      <c r="I32" s="120" t="str">
        <f>'FBMS-HND LEVEL ONE'!L35</f>
        <v>B+</v>
      </c>
      <c r="J32" s="119">
        <f>'FBMS-HND LEVEL ONE'!E104</f>
        <v>9</v>
      </c>
      <c r="K32" s="111">
        <f>'FBMS-HND LEVEL ONE'!F104</f>
        <v>18</v>
      </c>
      <c r="L32" s="111">
        <f>'FBMS-HND LEVEL ONE'!J104</f>
        <v>23</v>
      </c>
      <c r="M32" s="111">
        <f>'FBMS-HND LEVEL ONE'!K104</f>
        <v>50</v>
      </c>
      <c r="N32" s="120" t="str">
        <f>'FBMS-HND LEVEL ONE'!L104</f>
        <v>C</v>
      </c>
      <c r="O32" s="119">
        <f>'FBMS-HND LEVEL ONE'!E184</f>
        <v>10</v>
      </c>
      <c r="P32" s="111">
        <f>'FBMS-HND LEVEL ONE'!F184</f>
        <v>14.5</v>
      </c>
      <c r="Q32" s="111">
        <f>'FBMS-HND LEVEL ONE'!J184</f>
        <v>12</v>
      </c>
      <c r="R32" s="111">
        <f>'FBMS-HND LEVEL ONE'!K184</f>
        <v>36.5</v>
      </c>
      <c r="S32" s="120" t="str">
        <f>'FBMS-HND LEVEL ONE'!L184</f>
        <v>F</v>
      </c>
      <c r="T32" s="119">
        <f>'FBMS-HND LEVEL ONE'!E253</f>
        <v>10</v>
      </c>
      <c r="U32" s="111">
        <f>'FBMS-HND LEVEL ONE'!F253</f>
        <v>15</v>
      </c>
      <c r="V32" s="111">
        <f>'FBMS-HND LEVEL ONE'!J253</f>
        <v>38</v>
      </c>
      <c r="W32" s="111">
        <f>'FBMS-HND LEVEL ONE'!K253</f>
        <v>63</v>
      </c>
      <c r="X32" s="120" t="str">
        <f>'FBMS-HND LEVEL ONE'!L253</f>
        <v>B</v>
      </c>
      <c r="Y32" s="119">
        <f>'FBMS-HND LEVEL ONE'!E325</f>
        <v>10</v>
      </c>
      <c r="Z32" s="111">
        <f>'FBMS-HND LEVEL ONE'!F325</f>
        <v>21</v>
      </c>
      <c r="AA32" s="111">
        <f>'FBMS-HND LEVEL ONE'!J325</f>
        <v>8</v>
      </c>
      <c r="AB32" s="111">
        <f>'FBMS-HND LEVEL ONE'!K325</f>
        <v>39</v>
      </c>
      <c r="AC32" s="120" t="str">
        <f>'FBMS-HND LEVEL ONE'!L325</f>
        <v>F</v>
      </c>
      <c r="AD32" s="119">
        <f>'FBMS-HND LEVEL ONE'!E396</f>
        <v>9</v>
      </c>
      <c r="AE32" s="111">
        <f>'FBMS-HND LEVEL ONE'!F396</f>
        <v>17.5</v>
      </c>
      <c r="AF32" s="173">
        <f>'FBMS-HND LEVEL ONE'!J396</f>
        <v>44</v>
      </c>
      <c r="AG32" s="173">
        <f>'FBMS-HND LEVEL ONE'!K396</f>
        <v>70.5</v>
      </c>
      <c r="AH32" s="178" t="str">
        <f>'FBMS-HND LEVEL ONE'!L396</f>
        <v>B+</v>
      </c>
      <c r="AI32" s="122">
        <f>'FBMS-HND LEVEL ONE'!E474</f>
        <v>9</v>
      </c>
      <c r="AJ32" s="111">
        <f>'FBMS-HND LEVEL ONE'!F474</f>
        <v>17</v>
      </c>
      <c r="AK32" s="173">
        <f>'FBMS-HND LEVEL ONE'!J474</f>
        <v>26</v>
      </c>
      <c r="AL32" s="171">
        <f>'FBMS-HND LEVEL ONE'!K474</f>
        <v>52</v>
      </c>
      <c r="AM32" s="178" t="str">
        <f>'FBMS-HND LEVEL ONE'!L474</f>
        <v>C</v>
      </c>
      <c r="AN32" s="119">
        <f>'FBMS-HND LEVEL ONE'!E550</f>
        <v>10</v>
      </c>
      <c r="AO32" s="111">
        <f>'FBMS-HND LEVEL ONE'!F550</f>
        <v>19</v>
      </c>
      <c r="AP32" s="111">
        <f>'FBMS-HND LEVEL ONE'!J550</f>
        <v>34</v>
      </c>
      <c r="AQ32" s="111">
        <f>'FBMS-HND LEVEL ONE'!K550</f>
        <v>63</v>
      </c>
      <c r="AR32" s="120" t="str">
        <f>'FBMS-HND LEVEL ONE'!L550</f>
        <v>B</v>
      </c>
      <c r="AS32" s="121">
        <f>'FBMS-HND LEVEL ONE'!E620</f>
        <v>10</v>
      </c>
      <c r="AT32" s="111">
        <f>'FBMS-HND LEVEL ONE'!F620</f>
        <v>8</v>
      </c>
      <c r="AU32" s="173">
        <f>'FBMS-HND LEVEL ONE'!J620</f>
        <v>47</v>
      </c>
      <c r="AV32" s="173">
        <f>'FBMS-HND LEVEL ONE'!K620</f>
        <v>65</v>
      </c>
      <c r="AW32" s="174" t="str">
        <f>'FBMS-HND LEVEL ONE'!L620</f>
        <v>B</v>
      </c>
      <c r="AX32" s="119">
        <f>'FBMS-HND LEVEL ONE'!E691</f>
        <v>9</v>
      </c>
      <c r="AY32" s="111">
        <f>'FBMS-HND LEVEL ONE'!F691</f>
        <v>12</v>
      </c>
      <c r="AZ32" s="111">
        <f>'FBMS-HND LEVEL ONE'!J691</f>
        <v>8</v>
      </c>
      <c r="BA32" s="111">
        <f>'FBMS-HND LEVEL ONE'!K691</f>
        <v>29</v>
      </c>
      <c r="BB32" s="120" t="str">
        <f>'FBMS-HND LEVEL ONE'!L691</f>
        <v>F</v>
      </c>
      <c r="BC32" s="121">
        <f>'FBMS-HND LEVEL ONE'!E766</f>
        <v>8</v>
      </c>
      <c r="BD32" s="111">
        <f>'FBMS-HND LEVEL ONE'!F766</f>
        <v>15</v>
      </c>
      <c r="BE32" s="111">
        <f>'FBMS-HND LEVEL ONE'!J766</f>
        <v>30</v>
      </c>
      <c r="BF32" s="111">
        <f>'FBMS-HND LEVEL ONE'!K766</f>
        <v>53</v>
      </c>
      <c r="BG32" s="118" t="str">
        <f>'FBMS-HND LEVEL ONE'!L766</f>
        <v>C</v>
      </c>
      <c r="BH32" s="254">
        <f>'FBMS-HND LEVEL ONE'!E834</f>
        <v>10</v>
      </c>
      <c r="BI32" s="112">
        <f>'FBMS-HND LEVEL ONE'!F834</f>
        <v>25</v>
      </c>
      <c r="BJ32" s="112">
        <f>'FBMS-HND LEVEL ONE'!J834</f>
        <v>40</v>
      </c>
      <c r="BK32" s="112">
        <f>'FBMS-HND LEVEL ONE'!K834</f>
        <v>75</v>
      </c>
      <c r="BL32" s="114" t="str">
        <f>'FBMS-HND LEVEL ONE'!L834</f>
        <v>B+</v>
      </c>
      <c r="BM32" s="121">
        <f>'FBMS-HND LEVEL ONE'!E906</f>
        <v>10</v>
      </c>
      <c r="BN32" s="111">
        <f>'FBMS-HND LEVEL ONE'!F906</f>
        <v>20</v>
      </c>
      <c r="BO32" s="173">
        <f>'FBMS-HND LEVEL ONE'!J906</f>
        <v>37</v>
      </c>
      <c r="BP32" s="173">
        <f>'FBMS-HND LEVEL ONE'!K906</f>
        <v>67</v>
      </c>
      <c r="BQ32" s="178" t="str">
        <f>'FBMS-HND LEVEL ONE'!L906</f>
        <v>B</v>
      </c>
    </row>
    <row r="33" spans="1:69" ht="13.5" customHeight="1" x14ac:dyDescent="0.3">
      <c r="A33" s="109">
        <v>25</v>
      </c>
      <c r="B33" s="306" t="s">
        <v>451</v>
      </c>
      <c r="C33" s="310" t="s">
        <v>385</v>
      </c>
      <c r="D33" s="306" t="s">
        <v>451</v>
      </c>
      <c r="E33" s="122">
        <f>'FBMS-HND LEVEL ONE'!E36</f>
        <v>10</v>
      </c>
      <c r="F33" s="111">
        <f>'FBMS-HND LEVEL ONE'!F36</f>
        <v>25</v>
      </c>
      <c r="G33" s="111">
        <f>'FBMS-HND LEVEL ONE'!J36</f>
        <v>17</v>
      </c>
      <c r="H33" s="112">
        <f>'FBMS-HND LEVEL ONE'!K36</f>
        <v>52</v>
      </c>
      <c r="I33" s="120" t="str">
        <f>'FBMS-HND LEVEL ONE'!L36</f>
        <v>C</v>
      </c>
      <c r="J33" s="119">
        <f>'FBMS-HND LEVEL ONE'!E105</f>
        <v>10</v>
      </c>
      <c r="K33" s="111">
        <f>'FBMS-HND LEVEL ONE'!F105</f>
        <v>26</v>
      </c>
      <c r="L33" s="111">
        <f>'FBMS-HND LEVEL ONE'!J105</f>
        <v>22</v>
      </c>
      <c r="M33" s="111">
        <f>'FBMS-HND LEVEL ONE'!K105</f>
        <v>58</v>
      </c>
      <c r="N33" s="120" t="str">
        <f>'FBMS-HND LEVEL ONE'!L105</f>
        <v>C+</v>
      </c>
      <c r="O33" s="119">
        <f>'FBMS-HND LEVEL ONE'!E185</f>
        <v>10</v>
      </c>
      <c r="P33" s="111">
        <f>'FBMS-HND LEVEL ONE'!F185</f>
        <v>24</v>
      </c>
      <c r="Q33" s="111">
        <f>'FBMS-HND LEVEL ONE'!J185</f>
        <v>19</v>
      </c>
      <c r="R33" s="111">
        <f>'FBMS-HND LEVEL ONE'!K185</f>
        <v>53</v>
      </c>
      <c r="S33" s="120" t="str">
        <f>'FBMS-HND LEVEL ONE'!L185</f>
        <v>C</v>
      </c>
      <c r="T33" s="119">
        <f>'FBMS-HND LEVEL ONE'!E254</f>
        <v>10</v>
      </c>
      <c r="U33" s="111">
        <f>'FBMS-HND LEVEL ONE'!F254</f>
        <v>21</v>
      </c>
      <c r="V33" s="111">
        <f>'FBMS-HND LEVEL ONE'!J254</f>
        <v>41</v>
      </c>
      <c r="W33" s="111">
        <f>'FBMS-HND LEVEL ONE'!K254</f>
        <v>72</v>
      </c>
      <c r="X33" s="120" t="str">
        <f>'FBMS-HND LEVEL ONE'!L254</f>
        <v>B+</v>
      </c>
      <c r="Y33" s="119">
        <f>'FBMS-HND LEVEL ONE'!E326</f>
        <v>9</v>
      </c>
      <c r="Z33" s="111">
        <f>'FBMS-HND LEVEL ONE'!F326</f>
        <v>6</v>
      </c>
      <c r="AA33" s="111">
        <f>'FBMS-HND LEVEL ONE'!J326</f>
        <v>20</v>
      </c>
      <c r="AB33" s="111">
        <f>'FBMS-HND LEVEL ONE'!K326</f>
        <v>35</v>
      </c>
      <c r="AC33" s="120" t="str">
        <f>'FBMS-HND LEVEL ONE'!L326</f>
        <v>F</v>
      </c>
      <c r="AD33" s="119">
        <f>'FBMS-HND LEVEL ONE'!E397</f>
        <v>10</v>
      </c>
      <c r="AE33" s="111">
        <f>'FBMS-HND LEVEL ONE'!F397</f>
        <v>21</v>
      </c>
      <c r="AF33" s="173">
        <f>'FBMS-HND LEVEL ONE'!J397</f>
        <v>15</v>
      </c>
      <c r="AG33" s="173">
        <f>'FBMS-HND LEVEL ONE'!K397</f>
        <v>46</v>
      </c>
      <c r="AH33" s="178" t="str">
        <f>'FBMS-HND LEVEL ONE'!L397</f>
        <v>D+</v>
      </c>
      <c r="AI33" s="122">
        <f>'FBMS-HND LEVEL ONE'!E475</f>
        <v>10</v>
      </c>
      <c r="AJ33" s="111">
        <f>'FBMS-HND LEVEL ONE'!F475</f>
        <v>25</v>
      </c>
      <c r="AK33" s="173">
        <f>'FBMS-HND LEVEL ONE'!J475</f>
        <v>43</v>
      </c>
      <c r="AL33" s="171">
        <f>'FBMS-HND LEVEL ONE'!K475</f>
        <v>78</v>
      </c>
      <c r="AM33" s="178" t="str">
        <f>'FBMS-HND LEVEL ONE'!L475</f>
        <v>B+</v>
      </c>
      <c r="AN33" s="119">
        <f>'FBMS-HND LEVEL ONE'!E551</f>
        <v>10</v>
      </c>
      <c r="AO33" s="111">
        <f>'FBMS-HND LEVEL ONE'!F551</f>
        <v>27.5</v>
      </c>
      <c r="AP33" s="111">
        <f>'FBMS-HND LEVEL ONE'!J551</f>
        <v>38</v>
      </c>
      <c r="AQ33" s="111">
        <f>'FBMS-HND LEVEL ONE'!K551</f>
        <v>75.5</v>
      </c>
      <c r="AR33" s="120" t="str">
        <f>'FBMS-HND LEVEL ONE'!L551</f>
        <v>B+</v>
      </c>
      <c r="AS33" s="121">
        <f>'FBMS-HND LEVEL ONE'!E621</f>
        <v>10</v>
      </c>
      <c r="AT33" s="111">
        <f>'FBMS-HND LEVEL ONE'!F621</f>
        <v>20</v>
      </c>
      <c r="AU33" s="173">
        <f>'FBMS-HND LEVEL ONE'!J621</f>
        <v>44</v>
      </c>
      <c r="AV33" s="173">
        <f>'FBMS-HND LEVEL ONE'!K621</f>
        <v>74</v>
      </c>
      <c r="AW33" s="174" t="str">
        <f>'FBMS-HND LEVEL ONE'!L621</f>
        <v>B+</v>
      </c>
      <c r="AX33" s="119">
        <f>'FBMS-HND LEVEL ONE'!E692</f>
        <v>10</v>
      </c>
      <c r="AY33" s="111">
        <f>'FBMS-HND LEVEL ONE'!F692</f>
        <v>18</v>
      </c>
      <c r="AZ33" s="111">
        <f>'FBMS-HND LEVEL ONE'!J692</f>
        <v>28</v>
      </c>
      <c r="BA33" s="111">
        <f>'FBMS-HND LEVEL ONE'!K692</f>
        <v>56</v>
      </c>
      <c r="BB33" s="120" t="str">
        <f>'FBMS-HND LEVEL ONE'!L692</f>
        <v>C+</v>
      </c>
      <c r="BC33" s="121">
        <f>'FBMS-HND LEVEL ONE'!E767</f>
        <v>8</v>
      </c>
      <c r="BD33" s="111">
        <f>'FBMS-HND LEVEL ONE'!F767</f>
        <v>16</v>
      </c>
      <c r="BE33" s="111">
        <f>'FBMS-HND LEVEL ONE'!J767</f>
        <v>19</v>
      </c>
      <c r="BF33" s="111">
        <f>'FBMS-HND LEVEL ONE'!K767</f>
        <v>43</v>
      </c>
      <c r="BG33" s="118" t="str">
        <f>'FBMS-HND LEVEL ONE'!L767</f>
        <v>D</v>
      </c>
      <c r="BH33" s="119">
        <f>'FBMS-HND LEVEL ONE'!E835</f>
        <v>10</v>
      </c>
      <c r="BI33" s="111">
        <f>'FBMS-HND LEVEL ONE'!F835</f>
        <v>22</v>
      </c>
      <c r="BJ33" s="111">
        <f>'FBMS-HND LEVEL ONE'!J835</f>
        <v>9</v>
      </c>
      <c r="BK33" s="111">
        <f>'FBMS-HND LEVEL ONE'!K835</f>
        <v>41</v>
      </c>
      <c r="BL33" s="120" t="str">
        <f>'FBMS-HND LEVEL ONE'!L835</f>
        <v>D</v>
      </c>
      <c r="BM33" s="121">
        <f>'FBMS-HND LEVEL ONE'!E907</f>
        <v>10</v>
      </c>
      <c r="BN33" s="111">
        <f>'FBMS-HND LEVEL ONE'!F907</f>
        <v>11</v>
      </c>
      <c r="BO33" s="173">
        <f>'FBMS-HND LEVEL ONE'!J907</f>
        <v>38</v>
      </c>
      <c r="BP33" s="173">
        <f>'FBMS-HND LEVEL ONE'!K907</f>
        <v>59</v>
      </c>
      <c r="BQ33" s="178" t="str">
        <f>'FBMS-HND LEVEL ONE'!L907</f>
        <v>C+</v>
      </c>
    </row>
    <row r="34" spans="1:69" ht="12.75" customHeight="1" x14ac:dyDescent="0.3">
      <c r="A34" s="116">
        <v>26</v>
      </c>
      <c r="B34" s="306" t="s">
        <v>452</v>
      </c>
      <c r="C34" s="310" t="s">
        <v>386</v>
      </c>
      <c r="D34" s="306" t="s">
        <v>452</v>
      </c>
      <c r="E34" s="124">
        <f>'FBMS-HND LEVEL ONE'!E37</f>
        <v>9</v>
      </c>
      <c r="F34" s="125">
        <f>'FBMS-HND LEVEL ONE'!F37</f>
        <v>18</v>
      </c>
      <c r="G34" s="125">
        <f>'FBMS-HND LEVEL ONE'!J37</f>
        <v>34</v>
      </c>
      <c r="H34" s="126">
        <f>'FBMS-HND LEVEL ONE'!K37</f>
        <v>61</v>
      </c>
      <c r="I34" s="128" t="str">
        <f>'FBMS-HND LEVEL ONE'!L37</f>
        <v>B</v>
      </c>
      <c r="J34" s="124">
        <f>'FBMS-HND LEVEL ONE'!E106</f>
        <v>9</v>
      </c>
      <c r="K34" s="125">
        <f>'FBMS-HND LEVEL ONE'!F106</f>
        <v>21</v>
      </c>
      <c r="L34" s="125">
        <f>'FBMS-HND LEVEL ONE'!J106</f>
        <v>21</v>
      </c>
      <c r="M34" s="125">
        <f>'FBMS-HND LEVEL ONE'!K106</f>
        <v>51</v>
      </c>
      <c r="N34" s="128" t="str">
        <f>'FBMS-HND LEVEL ONE'!L106</f>
        <v>C</v>
      </c>
      <c r="O34" s="124">
        <f>'FBMS-HND LEVEL ONE'!E186</f>
        <v>10</v>
      </c>
      <c r="P34" s="125">
        <f>'FBMS-HND LEVEL ONE'!F186</f>
        <v>24</v>
      </c>
      <c r="Q34" s="125">
        <f>'FBMS-HND LEVEL ONE'!J186</f>
        <v>17</v>
      </c>
      <c r="R34" s="125">
        <f>'FBMS-HND LEVEL ONE'!K186</f>
        <v>51</v>
      </c>
      <c r="S34" s="128" t="str">
        <f>'FBMS-HND LEVEL ONE'!L186</f>
        <v>C</v>
      </c>
      <c r="T34" s="124">
        <f>'FBMS-HND LEVEL ONE'!E255</f>
        <v>10</v>
      </c>
      <c r="U34" s="125">
        <f>'FBMS-HND LEVEL ONE'!F255</f>
        <v>15</v>
      </c>
      <c r="V34" s="125">
        <f>'FBMS-HND LEVEL ONE'!J255</f>
        <v>27</v>
      </c>
      <c r="W34" s="125">
        <f>'FBMS-HND LEVEL ONE'!K255</f>
        <v>52</v>
      </c>
      <c r="X34" s="128" t="str">
        <f>'FBMS-HND LEVEL ONE'!L255</f>
        <v>C</v>
      </c>
      <c r="Y34" s="124">
        <f>'FBMS-HND LEVEL ONE'!E327</f>
        <v>10</v>
      </c>
      <c r="Z34" s="125">
        <f>'FBMS-HND LEVEL ONE'!F327</f>
        <v>22</v>
      </c>
      <c r="AA34" s="125">
        <f>'FBMS-HND LEVEL ONE'!J327</f>
        <v>13</v>
      </c>
      <c r="AB34" s="125">
        <f>'FBMS-HND LEVEL ONE'!K327</f>
        <v>45</v>
      </c>
      <c r="AC34" s="128" t="str">
        <f>'FBMS-HND LEVEL ONE'!L327</f>
        <v>D+</v>
      </c>
      <c r="AD34" s="124">
        <f>'FBMS-HND LEVEL ONE'!E398</f>
        <v>10</v>
      </c>
      <c r="AE34" s="125">
        <f>'FBMS-HND LEVEL ONE'!F398</f>
        <v>22</v>
      </c>
      <c r="AF34" s="175">
        <f>'FBMS-HND LEVEL ONE'!J398</f>
        <v>18</v>
      </c>
      <c r="AG34" s="175">
        <f>'FBMS-HND LEVEL ONE'!K398</f>
        <v>50</v>
      </c>
      <c r="AH34" s="325" t="str">
        <f>'FBMS-HND LEVEL ONE'!L398</f>
        <v>C</v>
      </c>
      <c r="AI34" s="124">
        <f>'FBMS-HND LEVEL ONE'!E476</f>
        <v>10</v>
      </c>
      <c r="AJ34" s="125">
        <f>'FBMS-HND LEVEL ONE'!F476</f>
        <v>18</v>
      </c>
      <c r="AK34" s="175">
        <f>'FBMS-HND LEVEL ONE'!J476</f>
        <v>33</v>
      </c>
      <c r="AL34" s="326">
        <f>'FBMS-HND LEVEL ONE'!K476</f>
        <v>61</v>
      </c>
      <c r="AM34" s="325" t="str">
        <f>'FBMS-HND LEVEL ONE'!L476</f>
        <v>B</v>
      </c>
      <c r="AN34" s="119">
        <f>'FBMS-HND LEVEL ONE'!E552</f>
        <v>10</v>
      </c>
      <c r="AO34" s="111">
        <f>'FBMS-HND LEVEL ONE'!F552</f>
        <v>20</v>
      </c>
      <c r="AP34" s="111">
        <f>'FBMS-HND LEVEL ONE'!J552</f>
        <v>40</v>
      </c>
      <c r="AQ34" s="111">
        <f>'FBMS-HND LEVEL ONE'!K552</f>
        <v>70</v>
      </c>
      <c r="AR34" s="120" t="str">
        <f>'FBMS-HND LEVEL ONE'!L552</f>
        <v>B+</v>
      </c>
      <c r="AS34" s="129">
        <f>'FBMS-HND LEVEL ONE'!E622</f>
        <v>10</v>
      </c>
      <c r="AT34" s="125">
        <f>'FBMS-HND LEVEL ONE'!F622</f>
        <v>17</v>
      </c>
      <c r="AU34" s="175">
        <f>'FBMS-HND LEVEL ONE'!J622</f>
        <v>35</v>
      </c>
      <c r="AV34" s="175">
        <f>'FBMS-HND LEVEL ONE'!K622</f>
        <v>62</v>
      </c>
      <c r="AW34" s="176" t="str">
        <f>'FBMS-HND LEVEL ONE'!L622</f>
        <v>B</v>
      </c>
      <c r="AX34" s="119">
        <f>'FBMS-HND LEVEL ONE'!E693</f>
        <v>10</v>
      </c>
      <c r="AY34" s="111">
        <f>'FBMS-HND LEVEL ONE'!F693</f>
        <v>18</v>
      </c>
      <c r="AZ34" s="111">
        <f>'FBMS-HND LEVEL ONE'!J693</f>
        <v>27</v>
      </c>
      <c r="BA34" s="111">
        <f>'FBMS-HND LEVEL ONE'!K693</f>
        <v>55</v>
      </c>
      <c r="BB34" s="120" t="str">
        <f>'FBMS-HND LEVEL ONE'!L693</f>
        <v>C+</v>
      </c>
      <c r="BC34" s="129">
        <f>'FBMS-HND LEVEL ONE'!E768</f>
        <v>8</v>
      </c>
      <c r="BD34" s="125">
        <f>'FBMS-HND LEVEL ONE'!F768</f>
        <v>23</v>
      </c>
      <c r="BE34" s="125">
        <f>'FBMS-HND LEVEL ONE'!J768</f>
        <v>34</v>
      </c>
      <c r="BF34" s="125">
        <f>'FBMS-HND LEVEL ONE'!K768</f>
        <v>65</v>
      </c>
      <c r="BG34" s="127" t="str">
        <f>'FBMS-HND LEVEL ONE'!L768</f>
        <v>B</v>
      </c>
      <c r="BH34" s="124">
        <f>'FBMS-HND LEVEL ONE'!E836</f>
        <v>10</v>
      </c>
      <c r="BI34" s="125">
        <f>'FBMS-HND LEVEL ONE'!F836</f>
        <v>24</v>
      </c>
      <c r="BJ34" s="125">
        <f>'FBMS-HND LEVEL ONE'!J836</f>
        <v>40</v>
      </c>
      <c r="BK34" s="125">
        <f>'FBMS-HND LEVEL ONE'!K836</f>
        <v>74</v>
      </c>
      <c r="BL34" s="128" t="str">
        <f>'FBMS-HND LEVEL ONE'!L836</f>
        <v>B+</v>
      </c>
      <c r="BM34" s="119">
        <f>'FBMS-HND LEVEL ONE'!E908</f>
        <v>9</v>
      </c>
      <c r="BN34" s="111">
        <f>'FBMS-HND LEVEL ONE'!F908</f>
        <v>11</v>
      </c>
      <c r="BO34" s="173">
        <f>'FBMS-HND LEVEL ONE'!J908</f>
        <v>38</v>
      </c>
      <c r="BP34" s="173">
        <f>'FBMS-HND LEVEL ONE'!K908</f>
        <v>58</v>
      </c>
      <c r="BQ34" s="178" t="str">
        <f>'FBMS-HND LEVEL ONE'!L908</f>
        <v>C+</v>
      </c>
    </row>
    <row r="35" spans="1:69" ht="12.75" customHeight="1" x14ac:dyDescent="0.3">
      <c r="A35" s="109">
        <v>27</v>
      </c>
      <c r="B35" s="306" t="s">
        <v>453</v>
      </c>
      <c r="C35" s="309" t="s">
        <v>387</v>
      </c>
      <c r="D35" s="306" t="s">
        <v>453</v>
      </c>
      <c r="E35" s="119">
        <f>'FBMS-HND LEVEL ONE'!E38</f>
        <v>10</v>
      </c>
      <c r="F35" s="111">
        <f>'FBMS-HND LEVEL ONE'!F38</f>
        <v>19</v>
      </c>
      <c r="G35" s="111">
        <f>'FBMS-HND LEVEL ONE'!J38</f>
        <v>42</v>
      </c>
      <c r="H35" s="111">
        <f>'FBMS-HND LEVEL ONE'!K38</f>
        <v>71</v>
      </c>
      <c r="I35" s="120" t="str">
        <f>'FBMS-HND LEVEL ONE'!L38</f>
        <v>B+</v>
      </c>
      <c r="J35" s="119">
        <f>'FBMS-HND LEVEL ONE'!E107</f>
        <v>10</v>
      </c>
      <c r="K35" s="111">
        <f>'FBMS-HND LEVEL ONE'!F107</f>
        <v>26.5</v>
      </c>
      <c r="L35" s="111">
        <f>'FBMS-HND LEVEL ONE'!J107</f>
        <v>43</v>
      </c>
      <c r="M35" s="111">
        <f>'FBMS-HND LEVEL ONE'!K107</f>
        <v>79.5</v>
      </c>
      <c r="N35" s="120" t="str">
        <f>'FBMS-HND LEVEL ONE'!L107</f>
        <v>B+</v>
      </c>
      <c r="O35" s="119">
        <f>'FBMS-HND LEVEL ONE'!E187</f>
        <v>10</v>
      </c>
      <c r="P35" s="111">
        <f>'FBMS-HND LEVEL ONE'!F187</f>
        <v>23</v>
      </c>
      <c r="Q35" s="111">
        <f>'FBMS-HND LEVEL ONE'!J187</f>
        <v>36</v>
      </c>
      <c r="R35" s="111">
        <f>'FBMS-HND LEVEL ONE'!K187</f>
        <v>69</v>
      </c>
      <c r="S35" s="120" t="str">
        <f>'FBMS-HND LEVEL ONE'!L187</f>
        <v>B</v>
      </c>
      <c r="T35" s="119">
        <f>'FBMS-HND LEVEL ONE'!E256</f>
        <v>10</v>
      </c>
      <c r="U35" s="111">
        <f>'FBMS-HND LEVEL ONE'!F256</f>
        <v>21</v>
      </c>
      <c r="V35" s="111">
        <f>'FBMS-HND LEVEL ONE'!J256</f>
        <v>41</v>
      </c>
      <c r="W35" s="111">
        <f>'FBMS-HND LEVEL ONE'!K256</f>
        <v>72</v>
      </c>
      <c r="X35" s="120" t="str">
        <f>'FBMS-HND LEVEL ONE'!L256</f>
        <v>B+</v>
      </c>
      <c r="Y35" s="119">
        <f>'FBMS-HND LEVEL ONE'!E328</f>
        <v>10</v>
      </c>
      <c r="Z35" s="111">
        <f>'FBMS-HND LEVEL ONE'!F328</f>
        <v>14</v>
      </c>
      <c r="AA35" s="111">
        <f>'FBMS-HND LEVEL ONE'!J328</f>
        <v>30</v>
      </c>
      <c r="AB35" s="111">
        <f>'FBMS-HND LEVEL ONE'!K328</f>
        <v>54</v>
      </c>
      <c r="AC35" s="120" t="str">
        <f>'FBMS-HND LEVEL ONE'!L328</f>
        <v>C</v>
      </c>
      <c r="AD35" s="119">
        <f>'FBMS-HND LEVEL ONE'!E399</f>
        <v>10</v>
      </c>
      <c r="AE35" s="111">
        <f>'FBMS-HND LEVEL ONE'!F399</f>
        <v>29</v>
      </c>
      <c r="AF35" s="173">
        <f>'FBMS-HND LEVEL ONE'!J399</f>
        <v>42</v>
      </c>
      <c r="AG35" s="173">
        <f>'FBMS-HND LEVEL ONE'!K399</f>
        <v>81</v>
      </c>
      <c r="AH35" s="178" t="str">
        <f>'FBMS-HND LEVEL ONE'!L399</f>
        <v>A</v>
      </c>
      <c r="AI35" s="119">
        <f>'FBMS-HND LEVEL ONE'!E477</f>
        <v>10</v>
      </c>
      <c r="AJ35" s="111">
        <f>'FBMS-HND LEVEL ONE'!F477</f>
        <v>27</v>
      </c>
      <c r="AK35" s="173">
        <f>'FBMS-HND LEVEL ONE'!J477</f>
        <v>29</v>
      </c>
      <c r="AL35" s="173">
        <f>'FBMS-HND LEVEL ONE'!K477</f>
        <v>66</v>
      </c>
      <c r="AM35" s="178" t="str">
        <f>'FBMS-HND LEVEL ONE'!L477</f>
        <v>B</v>
      </c>
      <c r="AN35" s="113">
        <f>'FBMS-HND LEVEL ONE'!E553</f>
        <v>10</v>
      </c>
      <c r="AO35" s="112">
        <f>'FBMS-HND LEVEL ONE'!F553</f>
        <v>23</v>
      </c>
      <c r="AP35" s="112">
        <f>'FBMS-HND LEVEL ONE'!J553</f>
        <v>49</v>
      </c>
      <c r="AQ35" s="112">
        <f>'FBMS-HND LEVEL ONE'!K553</f>
        <v>82</v>
      </c>
      <c r="AR35" s="114" t="str">
        <f>'FBMS-HND LEVEL ONE'!L553</f>
        <v>A</v>
      </c>
      <c r="AS35" s="121">
        <f>'FBMS-HND LEVEL ONE'!E623</f>
        <v>10</v>
      </c>
      <c r="AT35" s="111">
        <f>'FBMS-HND LEVEL ONE'!F623</f>
        <v>17</v>
      </c>
      <c r="AU35" s="173">
        <f>'FBMS-HND LEVEL ONE'!J623</f>
        <v>41</v>
      </c>
      <c r="AV35" s="173">
        <f>'FBMS-HND LEVEL ONE'!K623</f>
        <v>68</v>
      </c>
      <c r="AW35" s="174" t="str">
        <f>'FBMS-HND LEVEL ONE'!L623</f>
        <v>B</v>
      </c>
      <c r="AX35" s="113">
        <f>'FBMS-HND LEVEL ONE'!E694</f>
        <v>10</v>
      </c>
      <c r="AY35" s="112">
        <f>'FBMS-HND LEVEL ONE'!F694</f>
        <v>24</v>
      </c>
      <c r="AZ35" s="112">
        <f>'FBMS-HND LEVEL ONE'!J694</f>
        <v>45</v>
      </c>
      <c r="BA35" s="112">
        <f>'FBMS-HND LEVEL ONE'!K694</f>
        <v>79</v>
      </c>
      <c r="BB35" s="114" t="str">
        <f>'FBMS-HND LEVEL ONE'!L694</f>
        <v>B+</v>
      </c>
      <c r="BC35" s="121">
        <f>'FBMS-HND LEVEL ONE'!E769</f>
        <v>8</v>
      </c>
      <c r="BD35" s="111">
        <f>'FBMS-HND LEVEL ONE'!F769</f>
        <v>14</v>
      </c>
      <c r="BE35" s="111">
        <f>'FBMS-HND LEVEL ONE'!J769</f>
        <v>20</v>
      </c>
      <c r="BF35" s="111">
        <f>'FBMS-HND LEVEL ONE'!K769</f>
        <v>42</v>
      </c>
      <c r="BG35" s="118" t="str">
        <f>'FBMS-HND LEVEL ONE'!L769</f>
        <v>D</v>
      </c>
      <c r="BH35" s="119">
        <f>'FBMS-HND LEVEL ONE'!E837</f>
        <v>10</v>
      </c>
      <c r="BI35" s="111">
        <f>'FBMS-HND LEVEL ONE'!F837</f>
        <v>24</v>
      </c>
      <c r="BJ35" s="111">
        <f>'FBMS-HND LEVEL ONE'!J837</f>
        <v>41</v>
      </c>
      <c r="BK35" s="111">
        <f>'FBMS-HND LEVEL ONE'!K837</f>
        <v>75</v>
      </c>
      <c r="BL35" s="120" t="str">
        <f>'FBMS-HND LEVEL ONE'!L837</f>
        <v>B+</v>
      </c>
      <c r="BM35" s="113">
        <f>'FBMS-HND LEVEL ONE'!E909</f>
        <v>10</v>
      </c>
      <c r="BN35" s="112">
        <f>'FBMS-HND LEVEL ONE'!F909</f>
        <v>19.5</v>
      </c>
      <c r="BO35" s="171">
        <f>'FBMS-HND LEVEL ONE'!J909</f>
        <v>41</v>
      </c>
      <c r="BP35" s="171">
        <f>'FBMS-HND LEVEL ONE'!K909</f>
        <v>70.5</v>
      </c>
      <c r="BQ35" s="177" t="str">
        <f>'FBMS-HND LEVEL ONE'!L909</f>
        <v>B+</v>
      </c>
    </row>
    <row r="36" spans="1:69" ht="12.75" customHeight="1" x14ac:dyDescent="0.3">
      <c r="A36" s="116">
        <v>28</v>
      </c>
      <c r="B36" s="388">
        <v>400123</v>
      </c>
      <c r="C36" s="310" t="s">
        <v>388</v>
      </c>
      <c r="D36" s="388">
        <v>400123</v>
      </c>
      <c r="E36" s="119">
        <f>'FBMS-HND LEVEL ONE'!E39</f>
        <v>10</v>
      </c>
      <c r="F36" s="111">
        <f>'FBMS-HND LEVEL ONE'!F39</f>
        <v>7</v>
      </c>
      <c r="G36" s="111">
        <f>'FBMS-HND LEVEL ONE'!J39</f>
        <v>42</v>
      </c>
      <c r="H36" s="111">
        <f>'FBMS-HND LEVEL ONE'!K39</f>
        <v>59</v>
      </c>
      <c r="I36" s="120" t="str">
        <f>'FBMS-HND LEVEL ONE'!L39</f>
        <v>C+</v>
      </c>
      <c r="J36" s="119">
        <f>'FBMS-HND LEVEL ONE'!E108</f>
        <v>9</v>
      </c>
      <c r="K36" s="111">
        <f>'FBMS-HND LEVEL ONE'!F108</f>
        <v>13</v>
      </c>
      <c r="L36" s="111">
        <f>'FBMS-HND LEVEL ONE'!J108</f>
        <v>38</v>
      </c>
      <c r="M36" s="111">
        <f>'FBMS-HND LEVEL ONE'!K108</f>
        <v>60</v>
      </c>
      <c r="N36" s="120" t="str">
        <f>'FBMS-HND LEVEL ONE'!L108</f>
        <v>B</v>
      </c>
      <c r="O36" s="119">
        <f>'FBMS-HND LEVEL ONE'!E188</f>
        <v>9</v>
      </c>
      <c r="P36" s="111">
        <f>'FBMS-HND LEVEL ONE'!F188</f>
        <v>22</v>
      </c>
      <c r="Q36" s="111">
        <f>'FBMS-HND LEVEL ONE'!J188</f>
        <v>25</v>
      </c>
      <c r="R36" s="111">
        <f>'FBMS-HND LEVEL ONE'!K188</f>
        <v>56</v>
      </c>
      <c r="S36" s="120" t="str">
        <f>'FBMS-HND LEVEL ONE'!L188</f>
        <v>C+</v>
      </c>
      <c r="T36" s="119">
        <f>'FBMS-HND LEVEL ONE'!E257</f>
        <v>9</v>
      </c>
      <c r="U36" s="111">
        <f>'FBMS-HND LEVEL ONE'!F257</f>
        <v>16</v>
      </c>
      <c r="V36" s="111">
        <f>'FBMS-HND LEVEL ONE'!J257</f>
        <v>25</v>
      </c>
      <c r="W36" s="111">
        <f>'FBMS-HND LEVEL ONE'!K257</f>
        <v>50</v>
      </c>
      <c r="X36" s="120" t="str">
        <f>'FBMS-HND LEVEL ONE'!L257</f>
        <v>C</v>
      </c>
      <c r="Y36" s="119">
        <f>'FBMS-HND LEVEL ONE'!E329</f>
        <v>8</v>
      </c>
      <c r="Z36" s="111">
        <f>'FBMS-HND LEVEL ONE'!F329</f>
        <v>9</v>
      </c>
      <c r="AA36" s="111">
        <f>'FBMS-HND LEVEL ONE'!J329</f>
        <v>16</v>
      </c>
      <c r="AB36" s="111">
        <f>'FBMS-HND LEVEL ONE'!K329</f>
        <v>33</v>
      </c>
      <c r="AC36" s="120" t="str">
        <f>'FBMS-HND LEVEL ONE'!L329</f>
        <v>F</v>
      </c>
      <c r="AD36" s="119">
        <f>'FBMS-HND LEVEL ONE'!E400</f>
        <v>9</v>
      </c>
      <c r="AE36" s="111">
        <f>'FBMS-HND LEVEL ONE'!F400</f>
        <v>23</v>
      </c>
      <c r="AF36" s="173">
        <f>'FBMS-HND LEVEL ONE'!J400</f>
        <v>28</v>
      </c>
      <c r="AG36" s="173">
        <f>'FBMS-HND LEVEL ONE'!K400</f>
        <v>60</v>
      </c>
      <c r="AH36" s="178" t="str">
        <f>'FBMS-HND LEVEL ONE'!L400</f>
        <v>B</v>
      </c>
      <c r="AI36" s="119">
        <f>'FBMS-HND LEVEL ONE'!E478</f>
        <v>10</v>
      </c>
      <c r="AJ36" s="111">
        <f>'FBMS-HND LEVEL ONE'!F478</f>
        <v>20</v>
      </c>
      <c r="AK36" s="173">
        <f>'FBMS-HND LEVEL ONE'!J478</f>
        <v>28</v>
      </c>
      <c r="AL36" s="173">
        <f>'FBMS-HND LEVEL ONE'!K478</f>
        <v>58</v>
      </c>
      <c r="AM36" s="178" t="str">
        <f>'FBMS-HND LEVEL ONE'!L478</f>
        <v>C+</v>
      </c>
      <c r="AN36" s="119">
        <f>'FBMS-HND LEVEL ONE'!E554</f>
        <v>8</v>
      </c>
      <c r="AO36" s="111">
        <f>'FBMS-HND LEVEL ONE'!F554</f>
        <v>20</v>
      </c>
      <c r="AP36" s="111">
        <f>'FBMS-HND LEVEL ONE'!J554</f>
        <v>49</v>
      </c>
      <c r="AQ36" s="111">
        <f>'FBMS-HND LEVEL ONE'!K554</f>
        <v>77</v>
      </c>
      <c r="AR36" s="120" t="str">
        <f>'FBMS-HND LEVEL ONE'!L554</f>
        <v>B+</v>
      </c>
      <c r="AS36" s="121">
        <f>'FBMS-HND LEVEL ONE'!E624</f>
        <v>10</v>
      </c>
      <c r="AT36" s="111">
        <f>'FBMS-HND LEVEL ONE'!F624</f>
        <v>16</v>
      </c>
      <c r="AU36" s="173">
        <f>'FBMS-HND LEVEL ONE'!J624</f>
        <v>53</v>
      </c>
      <c r="AV36" s="173">
        <f>'FBMS-HND LEVEL ONE'!K624</f>
        <v>79</v>
      </c>
      <c r="AW36" s="174" t="str">
        <f>'FBMS-HND LEVEL ONE'!L624</f>
        <v>B+</v>
      </c>
      <c r="AX36" s="119">
        <f>'FBMS-HND LEVEL ONE'!E695</f>
        <v>9</v>
      </c>
      <c r="AY36" s="111">
        <f>'FBMS-HND LEVEL ONE'!F695</f>
        <v>15</v>
      </c>
      <c r="AZ36" s="111">
        <f>'FBMS-HND LEVEL ONE'!J695</f>
        <v>39</v>
      </c>
      <c r="BA36" s="111">
        <f>'FBMS-HND LEVEL ONE'!K695</f>
        <v>63</v>
      </c>
      <c r="BB36" s="120" t="str">
        <f>'FBMS-HND LEVEL ONE'!L695</f>
        <v>B</v>
      </c>
      <c r="BC36" s="121">
        <f>'FBMS-HND LEVEL ONE'!E770</f>
        <v>8</v>
      </c>
      <c r="BD36" s="111">
        <f>'FBMS-HND LEVEL ONE'!F770</f>
        <v>22</v>
      </c>
      <c r="BE36" s="111">
        <f>'FBMS-HND LEVEL ONE'!J770</f>
        <v>20</v>
      </c>
      <c r="BF36" s="111">
        <f>'FBMS-HND LEVEL ONE'!K770</f>
        <v>50</v>
      </c>
      <c r="BG36" s="118" t="str">
        <f>'FBMS-HND LEVEL ONE'!L770</f>
        <v>C</v>
      </c>
      <c r="BH36" s="119">
        <f>'FBMS-HND LEVEL ONE'!E838</f>
        <v>10</v>
      </c>
      <c r="BI36" s="111">
        <f>'FBMS-HND LEVEL ONE'!F838</f>
        <v>25</v>
      </c>
      <c r="BJ36" s="111">
        <f>'FBMS-HND LEVEL ONE'!J838</f>
        <v>40</v>
      </c>
      <c r="BK36" s="111">
        <f>'FBMS-HND LEVEL ONE'!K838</f>
        <v>75</v>
      </c>
      <c r="BL36" s="120" t="str">
        <f>'FBMS-HND LEVEL ONE'!L838</f>
        <v>B+</v>
      </c>
      <c r="BM36" s="119">
        <f>'FBMS-HND LEVEL ONE'!E910</f>
        <v>8</v>
      </c>
      <c r="BN36" s="111">
        <f>'FBMS-HND LEVEL ONE'!F910</f>
        <v>18</v>
      </c>
      <c r="BO36" s="173">
        <f>'FBMS-HND LEVEL ONE'!J910</f>
        <v>37</v>
      </c>
      <c r="BP36" s="173">
        <f>'FBMS-HND LEVEL ONE'!K910</f>
        <v>63</v>
      </c>
      <c r="BQ36" s="178" t="str">
        <f>'FBMS-HND LEVEL ONE'!L910</f>
        <v>B</v>
      </c>
    </row>
    <row r="37" spans="1:69" ht="12.75" customHeight="1" x14ac:dyDescent="0.3">
      <c r="A37" s="109">
        <v>29</v>
      </c>
      <c r="B37" s="306" t="s">
        <v>454</v>
      </c>
      <c r="C37" s="309" t="s">
        <v>771</v>
      </c>
      <c r="D37" s="306" t="s">
        <v>454</v>
      </c>
      <c r="E37" s="119">
        <f>'FBMS-HND LEVEL ONE'!E40</f>
        <v>10</v>
      </c>
      <c r="F37" s="111">
        <f>'FBMS-HND LEVEL ONE'!F40</f>
        <v>9</v>
      </c>
      <c r="G37" s="111">
        <f>'FBMS-HND LEVEL ONE'!J40</f>
        <v>44</v>
      </c>
      <c r="H37" s="111">
        <f>'FBMS-HND LEVEL ONE'!K40</f>
        <v>63</v>
      </c>
      <c r="I37" s="120" t="str">
        <f>'FBMS-HND LEVEL ONE'!L40</f>
        <v>B</v>
      </c>
      <c r="J37" s="119">
        <f>'FBMS-HND LEVEL ONE'!E109</f>
        <v>10</v>
      </c>
      <c r="K37" s="111">
        <f>'FBMS-HND LEVEL ONE'!F109</f>
        <v>22</v>
      </c>
      <c r="L37" s="111">
        <f>'FBMS-HND LEVEL ONE'!J109</f>
        <v>2</v>
      </c>
      <c r="M37" s="111">
        <f>'FBMS-HND LEVEL ONE'!K109</f>
        <v>34</v>
      </c>
      <c r="N37" s="120" t="str">
        <f>'FBMS-HND LEVEL ONE'!L109</f>
        <v>F</v>
      </c>
      <c r="O37" s="119">
        <f>'FBMS-HND LEVEL ONE'!E189</f>
        <v>10</v>
      </c>
      <c r="P37" s="111">
        <f>'FBMS-HND LEVEL ONE'!F189</f>
        <v>20</v>
      </c>
      <c r="Q37" s="111">
        <f>'FBMS-HND LEVEL ONE'!J189</f>
        <v>8</v>
      </c>
      <c r="R37" s="111">
        <f>'FBMS-HND LEVEL ONE'!K189</f>
        <v>38</v>
      </c>
      <c r="S37" s="120" t="str">
        <f>'FBMS-HND LEVEL ONE'!L189</f>
        <v>F</v>
      </c>
      <c r="T37" s="119">
        <f>'FBMS-HND LEVEL ONE'!E258</f>
        <v>10</v>
      </c>
      <c r="U37" s="111">
        <f>'FBMS-HND LEVEL ONE'!F258</f>
        <v>19</v>
      </c>
      <c r="V37" s="111">
        <f>'FBMS-HND LEVEL ONE'!J258</f>
        <v>22</v>
      </c>
      <c r="W37" s="111">
        <f>'FBMS-HND LEVEL ONE'!K258</f>
        <v>51</v>
      </c>
      <c r="X37" s="120" t="str">
        <f>'FBMS-HND LEVEL ONE'!L258</f>
        <v>C</v>
      </c>
      <c r="Y37" s="119">
        <f>'FBMS-HND LEVEL ONE'!E330</f>
        <v>10</v>
      </c>
      <c r="Z37" s="111">
        <f>'FBMS-HND LEVEL ONE'!F330</f>
        <v>17</v>
      </c>
      <c r="AA37" s="111">
        <f>'FBMS-HND LEVEL ONE'!J330</f>
        <v>34</v>
      </c>
      <c r="AB37" s="111">
        <f>'FBMS-HND LEVEL ONE'!K330</f>
        <v>61</v>
      </c>
      <c r="AC37" s="120" t="str">
        <f>'FBMS-HND LEVEL ONE'!L330</f>
        <v>B</v>
      </c>
      <c r="AD37" s="119">
        <f>'FBMS-HND LEVEL ONE'!E401</f>
        <v>10</v>
      </c>
      <c r="AE37" s="111">
        <f>'FBMS-HND LEVEL ONE'!F401</f>
        <v>27</v>
      </c>
      <c r="AF37" s="173">
        <f>'FBMS-HND LEVEL ONE'!J401</f>
        <v>22</v>
      </c>
      <c r="AG37" s="173">
        <f>'FBMS-HND LEVEL ONE'!K401</f>
        <v>59</v>
      </c>
      <c r="AH37" s="178" t="str">
        <f>'FBMS-HND LEVEL ONE'!L401</f>
        <v>C+</v>
      </c>
      <c r="AI37" s="119">
        <f>'FBMS-HND LEVEL ONE'!E479</f>
        <v>10</v>
      </c>
      <c r="AJ37" s="111">
        <f>'FBMS-HND LEVEL ONE'!F479</f>
        <v>23</v>
      </c>
      <c r="AK37" s="173">
        <f>'FBMS-HND LEVEL ONE'!J479</f>
        <v>22</v>
      </c>
      <c r="AL37" s="173">
        <f>'FBMS-HND LEVEL ONE'!K479</f>
        <v>55</v>
      </c>
      <c r="AM37" s="178" t="str">
        <f>'FBMS-HND LEVEL ONE'!L479</f>
        <v>C+</v>
      </c>
      <c r="AN37" s="119">
        <f>'FBMS-HND LEVEL ONE'!E555</f>
        <v>10</v>
      </c>
      <c r="AO37" s="111">
        <f>'FBMS-HND LEVEL ONE'!F555</f>
        <v>21</v>
      </c>
      <c r="AP37" s="111">
        <f>'FBMS-HND LEVEL ONE'!J555</f>
        <v>7</v>
      </c>
      <c r="AQ37" s="111">
        <f>'FBMS-HND LEVEL ONE'!K555</f>
        <v>38</v>
      </c>
      <c r="AR37" s="120" t="str">
        <f>'FBMS-HND LEVEL ONE'!L555</f>
        <v>F</v>
      </c>
      <c r="AS37" s="121">
        <f>'FBMS-HND LEVEL ONE'!E625</f>
        <v>10</v>
      </c>
      <c r="AT37" s="111">
        <f>'FBMS-HND LEVEL ONE'!F625</f>
        <v>17</v>
      </c>
      <c r="AU37" s="173">
        <f>'FBMS-HND LEVEL ONE'!J625</f>
        <v>35</v>
      </c>
      <c r="AV37" s="173">
        <f>'FBMS-HND LEVEL ONE'!K625</f>
        <v>62</v>
      </c>
      <c r="AW37" s="174" t="str">
        <f>'FBMS-HND LEVEL ONE'!L625</f>
        <v>B</v>
      </c>
      <c r="AX37" s="119">
        <f>'FBMS-HND LEVEL ONE'!E696</f>
        <v>10</v>
      </c>
      <c r="AY37" s="111">
        <f>'FBMS-HND LEVEL ONE'!F696</f>
        <v>15</v>
      </c>
      <c r="AZ37" s="111">
        <f>'FBMS-HND LEVEL ONE'!J696</f>
        <v>11</v>
      </c>
      <c r="BA37" s="111">
        <f>'FBMS-HND LEVEL ONE'!K696</f>
        <v>36</v>
      </c>
      <c r="BB37" s="120" t="str">
        <f>'FBMS-HND LEVEL ONE'!L696</f>
        <v>F</v>
      </c>
      <c r="BC37" s="121">
        <f>'FBMS-HND LEVEL ONE'!E771</f>
        <v>8</v>
      </c>
      <c r="BD37" s="111">
        <f>'FBMS-HND LEVEL ONE'!F771</f>
        <v>21</v>
      </c>
      <c r="BE37" s="111">
        <f>'FBMS-HND LEVEL ONE'!J771</f>
        <v>48</v>
      </c>
      <c r="BF37" s="111">
        <f>'FBMS-HND LEVEL ONE'!K771</f>
        <v>77</v>
      </c>
      <c r="BG37" s="118" t="str">
        <f>'FBMS-HND LEVEL ONE'!L771</f>
        <v>B+</v>
      </c>
      <c r="BH37" s="119">
        <f>'FBMS-HND LEVEL ONE'!E839</f>
        <v>10</v>
      </c>
      <c r="BI37" s="111">
        <f>'FBMS-HND LEVEL ONE'!F839</f>
        <v>26</v>
      </c>
      <c r="BJ37" s="111">
        <f>'FBMS-HND LEVEL ONE'!J839</f>
        <v>18</v>
      </c>
      <c r="BK37" s="111">
        <f>'FBMS-HND LEVEL ONE'!K839</f>
        <v>54</v>
      </c>
      <c r="BL37" s="120" t="str">
        <f>'FBMS-HND LEVEL ONE'!L839</f>
        <v>C</v>
      </c>
      <c r="BM37" s="119">
        <f>'FBMS-HND LEVEL ONE'!E911</f>
        <v>10</v>
      </c>
      <c r="BN37" s="111">
        <f>'FBMS-HND LEVEL ONE'!F911</f>
        <v>20</v>
      </c>
      <c r="BO37" s="173">
        <f>'FBMS-HND LEVEL ONE'!J911</f>
        <v>43</v>
      </c>
      <c r="BP37" s="173">
        <f>'FBMS-HND LEVEL ONE'!K911</f>
        <v>73</v>
      </c>
      <c r="BQ37" s="178" t="str">
        <f>'FBMS-HND LEVEL ONE'!L911</f>
        <v>B+</v>
      </c>
    </row>
    <row r="38" spans="1:69" ht="12.75" customHeight="1" x14ac:dyDescent="0.3">
      <c r="A38" s="116">
        <v>30</v>
      </c>
      <c r="B38" s="306" t="s">
        <v>455</v>
      </c>
      <c r="C38" s="307" t="s">
        <v>389</v>
      </c>
      <c r="D38" s="306" t="s">
        <v>455</v>
      </c>
      <c r="E38" s="119">
        <f>'FBMS-HND LEVEL ONE'!E41</f>
        <v>10</v>
      </c>
      <c r="F38" s="111">
        <f>'FBMS-HND LEVEL ONE'!F41</f>
        <v>21</v>
      </c>
      <c r="G38" s="111">
        <f>'FBMS-HND LEVEL ONE'!J41</f>
        <v>56</v>
      </c>
      <c r="H38" s="111">
        <f>'FBMS-HND LEVEL ONE'!K41</f>
        <v>87</v>
      </c>
      <c r="I38" s="120" t="str">
        <f>'FBMS-HND LEVEL ONE'!L41</f>
        <v>A</v>
      </c>
      <c r="J38" s="119">
        <f>'FBMS-HND LEVEL ONE'!E110</f>
        <v>10</v>
      </c>
      <c r="K38" s="111">
        <f>'FBMS-HND LEVEL ONE'!F110</f>
        <v>19.5</v>
      </c>
      <c r="L38" s="111">
        <f>'FBMS-HND LEVEL ONE'!J110</f>
        <v>33</v>
      </c>
      <c r="M38" s="111">
        <f>'FBMS-HND LEVEL ONE'!K110</f>
        <v>62.5</v>
      </c>
      <c r="N38" s="120" t="str">
        <f>'FBMS-HND LEVEL ONE'!L110</f>
        <v>B</v>
      </c>
      <c r="O38" s="119">
        <f>'FBMS-HND LEVEL ONE'!E190</f>
        <v>10</v>
      </c>
      <c r="P38" s="111">
        <f>'FBMS-HND LEVEL ONE'!F190</f>
        <v>25</v>
      </c>
      <c r="Q38" s="111">
        <f>'FBMS-HND LEVEL ONE'!J190</f>
        <v>37</v>
      </c>
      <c r="R38" s="111">
        <f>'FBMS-HND LEVEL ONE'!K190</f>
        <v>72</v>
      </c>
      <c r="S38" s="120" t="str">
        <f>'FBMS-HND LEVEL ONE'!L190</f>
        <v>B+</v>
      </c>
      <c r="T38" s="119">
        <f>'FBMS-HND LEVEL ONE'!E259</f>
        <v>10</v>
      </c>
      <c r="U38" s="111">
        <f>'FBMS-HND LEVEL ONE'!F259</f>
        <v>25</v>
      </c>
      <c r="V38" s="111">
        <f>'FBMS-HND LEVEL ONE'!J259</f>
        <v>35</v>
      </c>
      <c r="W38" s="111">
        <f>'FBMS-HND LEVEL ONE'!K259</f>
        <v>70</v>
      </c>
      <c r="X38" s="120" t="str">
        <f>'FBMS-HND LEVEL ONE'!L259</f>
        <v>B+</v>
      </c>
      <c r="Y38" s="119">
        <f>'FBMS-HND LEVEL ONE'!E331</f>
        <v>10</v>
      </c>
      <c r="Z38" s="111">
        <f>'FBMS-HND LEVEL ONE'!F331</f>
        <v>23</v>
      </c>
      <c r="AA38" s="111">
        <f>'FBMS-HND LEVEL ONE'!J331</f>
        <v>38</v>
      </c>
      <c r="AB38" s="111">
        <f>'FBMS-HND LEVEL ONE'!K331</f>
        <v>71</v>
      </c>
      <c r="AC38" s="120" t="str">
        <f>'FBMS-HND LEVEL ONE'!L331</f>
        <v>B+</v>
      </c>
      <c r="AD38" s="119">
        <f>'FBMS-HND LEVEL ONE'!E402</f>
        <v>9</v>
      </c>
      <c r="AE38" s="111">
        <f>'FBMS-HND LEVEL ONE'!F402</f>
        <v>29</v>
      </c>
      <c r="AF38" s="173">
        <f>'FBMS-HND LEVEL ONE'!J402</f>
        <v>47</v>
      </c>
      <c r="AG38" s="173">
        <f>'FBMS-HND LEVEL ONE'!K402</f>
        <v>85</v>
      </c>
      <c r="AH38" s="178" t="str">
        <f>'FBMS-HND LEVEL ONE'!L402</f>
        <v>A</v>
      </c>
      <c r="AI38" s="119">
        <f>'FBMS-HND LEVEL ONE'!E480</f>
        <v>10</v>
      </c>
      <c r="AJ38" s="111">
        <f>'FBMS-HND LEVEL ONE'!F480</f>
        <v>26</v>
      </c>
      <c r="AK38" s="173">
        <f>'FBMS-HND LEVEL ONE'!J480</f>
        <v>40</v>
      </c>
      <c r="AL38" s="173">
        <f>'FBMS-HND LEVEL ONE'!K480</f>
        <v>76</v>
      </c>
      <c r="AM38" s="178" t="str">
        <f>'FBMS-HND LEVEL ONE'!L480</f>
        <v>B+</v>
      </c>
      <c r="AN38" s="119">
        <f>'FBMS-HND LEVEL ONE'!E556</f>
        <v>10</v>
      </c>
      <c r="AO38" s="111">
        <f>'FBMS-HND LEVEL ONE'!F556</f>
        <v>24</v>
      </c>
      <c r="AP38" s="111">
        <f>'FBMS-HND LEVEL ONE'!J556</f>
        <v>32</v>
      </c>
      <c r="AQ38" s="111">
        <f>'FBMS-HND LEVEL ONE'!K556</f>
        <v>66</v>
      </c>
      <c r="AR38" s="120" t="str">
        <f>'FBMS-HND LEVEL ONE'!L556</f>
        <v>B</v>
      </c>
      <c r="AS38" s="121">
        <f>'FBMS-HND LEVEL ONE'!E626</f>
        <v>10</v>
      </c>
      <c r="AT38" s="111">
        <f>'FBMS-HND LEVEL ONE'!F626</f>
        <v>17</v>
      </c>
      <c r="AU38" s="173">
        <f>'FBMS-HND LEVEL ONE'!J626</f>
        <v>39</v>
      </c>
      <c r="AV38" s="173">
        <f>'FBMS-HND LEVEL ONE'!K626</f>
        <v>66</v>
      </c>
      <c r="AW38" s="174" t="str">
        <f>'FBMS-HND LEVEL ONE'!L626</f>
        <v>B</v>
      </c>
      <c r="AX38" s="119">
        <f>'FBMS-HND LEVEL ONE'!E697</f>
        <v>9</v>
      </c>
      <c r="AY38" s="111">
        <f>'FBMS-HND LEVEL ONE'!F697</f>
        <v>15</v>
      </c>
      <c r="AZ38" s="111">
        <f>'FBMS-HND LEVEL ONE'!J697</f>
        <v>33</v>
      </c>
      <c r="BA38" s="111">
        <f>'FBMS-HND LEVEL ONE'!K697</f>
        <v>57</v>
      </c>
      <c r="BB38" s="120" t="str">
        <f>'FBMS-HND LEVEL ONE'!L697</f>
        <v>C+</v>
      </c>
      <c r="BC38" s="121">
        <f>'FBMS-HND LEVEL ONE'!E772</f>
        <v>8</v>
      </c>
      <c r="BD38" s="111">
        <f>'FBMS-HND LEVEL ONE'!F772</f>
        <v>19</v>
      </c>
      <c r="BE38" s="111">
        <f>'FBMS-HND LEVEL ONE'!J772</f>
        <v>20</v>
      </c>
      <c r="BF38" s="111">
        <f>'FBMS-HND LEVEL ONE'!K772</f>
        <v>47</v>
      </c>
      <c r="BG38" s="118" t="str">
        <f>'FBMS-HND LEVEL ONE'!L772</f>
        <v>D+</v>
      </c>
      <c r="BH38" s="252">
        <f>'FBMS-HND LEVEL ONE'!E840</f>
        <v>10</v>
      </c>
      <c r="BI38" s="111">
        <f>'FBMS-HND LEVEL ONE'!F840</f>
        <v>24</v>
      </c>
      <c r="BJ38" s="111">
        <f>'FBMS-HND LEVEL ONE'!J840</f>
        <v>36</v>
      </c>
      <c r="BK38" s="111">
        <f>'FBMS-HND LEVEL ONE'!K840</f>
        <v>70</v>
      </c>
      <c r="BL38" s="120" t="str">
        <f>'FBMS-HND LEVEL ONE'!L840</f>
        <v>B+</v>
      </c>
      <c r="BM38" s="119">
        <f>'FBMS-HND LEVEL ONE'!E912</f>
        <v>10</v>
      </c>
      <c r="BN38" s="111">
        <f>'FBMS-HND LEVEL ONE'!F912</f>
        <v>19</v>
      </c>
      <c r="BO38" s="173">
        <f>'FBMS-HND LEVEL ONE'!J912</f>
        <v>32</v>
      </c>
      <c r="BP38" s="173">
        <f>'FBMS-HND LEVEL ONE'!K912</f>
        <v>61</v>
      </c>
      <c r="BQ38" s="178" t="str">
        <f>'FBMS-HND LEVEL ONE'!L912</f>
        <v>B</v>
      </c>
    </row>
    <row r="39" spans="1:69" ht="12.75" customHeight="1" x14ac:dyDescent="0.3">
      <c r="A39" s="109">
        <v>31</v>
      </c>
      <c r="B39" s="306" t="s">
        <v>456</v>
      </c>
      <c r="C39" s="310" t="s">
        <v>535</v>
      </c>
      <c r="D39" s="306" t="s">
        <v>456</v>
      </c>
      <c r="E39" s="119">
        <f>'FBMS-HND LEVEL ONE'!E42</f>
        <v>9</v>
      </c>
      <c r="F39" s="111">
        <f>'FBMS-HND LEVEL ONE'!F42</f>
        <v>24</v>
      </c>
      <c r="G39" s="111">
        <f>'FBMS-HND LEVEL ONE'!J42</f>
        <v>37</v>
      </c>
      <c r="H39" s="111">
        <f>'FBMS-HND LEVEL ONE'!K42</f>
        <v>70</v>
      </c>
      <c r="I39" s="120" t="str">
        <f>'FBMS-HND LEVEL ONE'!L42</f>
        <v>B+</v>
      </c>
      <c r="J39" s="119">
        <f>'FBMS-HND LEVEL ONE'!E111</f>
        <v>9</v>
      </c>
      <c r="K39" s="111">
        <f>'FBMS-HND LEVEL ONE'!F111</f>
        <v>27.5</v>
      </c>
      <c r="L39" s="111">
        <f>'FBMS-HND LEVEL ONE'!J111</f>
        <v>33</v>
      </c>
      <c r="M39" s="111">
        <f>'FBMS-HND LEVEL ONE'!K111</f>
        <v>69.5</v>
      </c>
      <c r="N39" s="120" t="str">
        <f>'FBMS-HND LEVEL ONE'!L111</f>
        <v>B</v>
      </c>
      <c r="O39" s="119">
        <f>'FBMS-HND LEVEL ONE'!E191</f>
        <v>9</v>
      </c>
      <c r="P39" s="111">
        <f>'FBMS-HND LEVEL ONE'!F191</f>
        <v>25</v>
      </c>
      <c r="Q39" s="111">
        <f>'FBMS-HND LEVEL ONE'!J191</f>
        <v>20</v>
      </c>
      <c r="R39" s="111">
        <f>'FBMS-HND LEVEL ONE'!K191</f>
        <v>54</v>
      </c>
      <c r="S39" s="120" t="str">
        <f>'FBMS-HND LEVEL ONE'!L191</f>
        <v>C</v>
      </c>
      <c r="T39" s="119" t="str">
        <f>'FBMS-HND LEVEL ONE'!E260</f>
        <v>x</v>
      </c>
      <c r="U39" s="111" t="str">
        <f>'FBMS-HND LEVEL ONE'!F260</f>
        <v>x</v>
      </c>
      <c r="V39" s="111" t="str">
        <f>'FBMS-HND LEVEL ONE'!J260</f>
        <v>ABS</v>
      </c>
      <c r="W39" s="111">
        <f>'FBMS-HND LEVEL ONE'!K260</f>
        <v>0</v>
      </c>
      <c r="X39" s="120">
        <f>'FBMS-HND LEVEL ONE'!L260</f>
        <v>0</v>
      </c>
      <c r="Y39" s="119">
        <f>'FBMS-HND LEVEL ONE'!E332</f>
        <v>9</v>
      </c>
      <c r="Z39" s="111">
        <f>'FBMS-HND LEVEL ONE'!F332</f>
        <v>12</v>
      </c>
      <c r="AA39" s="111">
        <f>'FBMS-HND LEVEL ONE'!J332</f>
        <v>13</v>
      </c>
      <c r="AB39" s="111">
        <f>'FBMS-HND LEVEL ONE'!K332</f>
        <v>34</v>
      </c>
      <c r="AC39" s="120" t="str">
        <f>'FBMS-HND LEVEL ONE'!L332</f>
        <v>F</v>
      </c>
      <c r="AD39" s="119">
        <f>'FBMS-HND LEVEL ONE'!E403</f>
        <v>9</v>
      </c>
      <c r="AE39" s="111">
        <f>'FBMS-HND LEVEL ONE'!F403</f>
        <v>25</v>
      </c>
      <c r="AF39" s="173">
        <f>'FBMS-HND LEVEL ONE'!J403</f>
        <v>50</v>
      </c>
      <c r="AG39" s="173">
        <f>'FBMS-HND LEVEL ONE'!K403</f>
        <v>84</v>
      </c>
      <c r="AH39" s="178" t="str">
        <f>'FBMS-HND LEVEL ONE'!L403</f>
        <v>A</v>
      </c>
      <c r="AI39" s="119">
        <f>'FBMS-HND LEVEL ONE'!E481</f>
        <v>8</v>
      </c>
      <c r="AJ39" s="111">
        <f>'FBMS-HND LEVEL ONE'!F481</f>
        <v>25</v>
      </c>
      <c r="AK39" s="173">
        <f>'FBMS-HND LEVEL ONE'!J481</f>
        <v>45</v>
      </c>
      <c r="AL39" s="173">
        <f>'FBMS-HND LEVEL ONE'!K481</f>
        <v>78</v>
      </c>
      <c r="AM39" s="178" t="str">
        <f>'FBMS-HND LEVEL ONE'!L481</f>
        <v>B+</v>
      </c>
      <c r="AN39" s="119">
        <f>'FBMS-HND LEVEL ONE'!E557</f>
        <v>10</v>
      </c>
      <c r="AO39" s="111">
        <f>'FBMS-HND LEVEL ONE'!F557</f>
        <v>18</v>
      </c>
      <c r="AP39" s="111">
        <f>'FBMS-HND LEVEL ONE'!J557</f>
        <v>29</v>
      </c>
      <c r="AQ39" s="111">
        <f>'FBMS-HND LEVEL ONE'!K557</f>
        <v>57</v>
      </c>
      <c r="AR39" s="120" t="str">
        <f>'FBMS-HND LEVEL ONE'!L557</f>
        <v>C+</v>
      </c>
      <c r="AS39" s="121">
        <f>'FBMS-HND LEVEL ONE'!E627</f>
        <v>10</v>
      </c>
      <c r="AT39" s="111">
        <f>'FBMS-HND LEVEL ONE'!F627</f>
        <v>19</v>
      </c>
      <c r="AU39" s="173">
        <f>'FBMS-HND LEVEL ONE'!J627</f>
        <v>29</v>
      </c>
      <c r="AV39" s="173">
        <f>'FBMS-HND LEVEL ONE'!K627</f>
        <v>58</v>
      </c>
      <c r="AW39" s="174" t="str">
        <f>'FBMS-HND LEVEL ONE'!L627</f>
        <v>C+</v>
      </c>
      <c r="AX39" s="119">
        <f>'FBMS-HND LEVEL ONE'!E698</f>
        <v>10</v>
      </c>
      <c r="AY39" s="111">
        <f>'FBMS-HND LEVEL ONE'!F698</f>
        <v>21</v>
      </c>
      <c r="AZ39" s="111">
        <f>'FBMS-HND LEVEL ONE'!J698</f>
        <v>29</v>
      </c>
      <c r="BA39" s="111">
        <f>'FBMS-HND LEVEL ONE'!K698</f>
        <v>60</v>
      </c>
      <c r="BB39" s="120" t="str">
        <f>'FBMS-HND LEVEL ONE'!L698</f>
        <v>B</v>
      </c>
      <c r="BC39" s="121">
        <f>'FBMS-HND LEVEL ONE'!E773</f>
        <v>8</v>
      </c>
      <c r="BD39" s="111">
        <f>'FBMS-HND LEVEL ONE'!F773</f>
        <v>14</v>
      </c>
      <c r="BE39" s="111">
        <f>'FBMS-HND LEVEL ONE'!J773</f>
        <v>38</v>
      </c>
      <c r="BF39" s="111">
        <f>'FBMS-HND LEVEL ONE'!K773</f>
        <v>60</v>
      </c>
      <c r="BG39" s="118" t="str">
        <f>'FBMS-HND LEVEL ONE'!L773</f>
        <v>B</v>
      </c>
      <c r="BH39" s="119">
        <f>'FBMS-HND LEVEL ONE'!E841</f>
        <v>10</v>
      </c>
      <c r="BI39" s="111">
        <f>'FBMS-HND LEVEL ONE'!F841</f>
        <v>25</v>
      </c>
      <c r="BJ39" s="111">
        <f>'FBMS-HND LEVEL ONE'!J841</f>
        <v>41</v>
      </c>
      <c r="BK39" s="111">
        <f>'FBMS-HND LEVEL ONE'!K841</f>
        <v>76</v>
      </c>
      <c r="BL39" s="120" t="str">
        <f>'FBMS-HND LEVEL ONE'!L841</f>
        <v>B+</v>
      </c>
      <c r="BM39" s="119">
        <f>'FBMS-HND LEVEL ONE'!E913</f>
        <v>10</v>
      </c>
      <c r="BN39" s="111">
        <f>'FBMS-HND LEVEL ONE'!F913</f>
        <v>9</v>
      </c>
      <c r="BO39" s="173">
        <f>'FBMS-HND LEVEL ONE'!J913</f>
        <v>34</v>
      </c>
      <c r="BP39" s="173">
        <f>'FBMS-HND LEVEL ONE'!K913</f>
        <v>53</v>
      </c>
      <c r="BQ39" s="178" t="str">
        <f>'FBMS-HND LEVEL ONE'!L913</f>
        <v>C</v>
      </c>
    </row>
    <row r="40" spans="1:69" ht="12.75" customHeight="1" x14ac:dyDescent="0.3">
      <c r="A40" s="116">
        <v>32</v>
      </c>
      <c r="B40" s="306" t="s">
        <v>457</v>
      </c>
      <c r="C40" s="307" t="s">
        <v>390</v>
      </c>
      <c r="D40" s="306" t="s">
        <v>457</v>
      </c>
      <c r="E40" s="119">
        <f>'FBMS-HND LEVEL ONE'!E43</f>
        <v>10</v>
      </c>
      <c r="F40" s="111">
        <f>'FBMS-HND LEVEL ONE'!F43</f>
        <v>14</v>
      </c>
      <c r="G40" s="111">
        <f>'FBMS-HND LEVEL ONE'!J43</f>
        <v>43</v>
      </c>
      <c r="H40" s="111">
        <f>'FBMS-HND LEVEL ONE'!K43</f>
        <v>67</v>
      </c>
      <c r="I40" s="120" t="str">
        <f>'FBMS-HND LEVEL ONE'!L43</f>
        <v>B</v>
      </c>
      <c r="J40" s="119">
        <f>'FBMS-HND LEVEL ONE'!E112</f>
        <v>10</v>
      </c>
      <c r="K40" s="111">
        <f>'FBMS-HND LEVEL ONE'!F112</f>
        <v>23</v>
      </c>
      <c r="L40" s="111">
        <f>'FBMS-HND LEVEL ONE'!J112</f>
        <v>32</v>
      </c>
      <c r="M40" s="111">
        <f>'FBMS-HND LEVEL ONE'!K112</f>
        <v>65</v>
      </c>
      <c r="N40" s="120" t="str">
        <f>'FBMS-HND LEVEL ONE'!L112</f>
        <v>B</v>
      </c>
      <c r="O40" s="119">
        <f>'FBMS-HND LEVEL ONE'!E192</f>
        <v>10</v>
      </c>
      <c r="P40" s="111">
        <f>'FBMS-HND LEVEL ONE'!F192</f>
        <v>25</v>
      </c>
      <c r="Q40" s="111">
        <f>'FBMS-HND LEVEL ONE'!J192</f>
        <v>23</v>
      </c>
      <c r="R40" s="111">
        <f>'FBMS-HND LEVEL ONE'!K192</f>
        <v>58</v>
      </c>
      <c r="S40" s="120" t="str">
        <f>'FBMS-HND LEVEL ONE'!L192</f>
        <v>C+</v>
      </c>
      <c r="T40" s="119">
        <f>'FBMS-HND LEVEL ONE'!E261</f>
        <v>9</v>
      </c>
      <c r="U40" s="111">
        <f>'FBMS-HND LEVEL ONE'!F261</f>
        <v>18</v>
      </c>
      <c r="V40" s="111">
        <f>'FBMS-HND LEVEL ONE'!J261</f>
        <v>18</v>
      </c>
      <c r="W40" s="111">
        <f>'FBMS-HND LEVEL ONE'!K261</f>
        <v>45</v>
      </c>
      <c r="X40" s="120" t="str">
        <f>'FBMS-HND LEVEL ONE'!L261</f>
        <v>D+</v>
      </c>
      <c r="Y40" s="119">
        <f>'FBMS-HND LEVEL ONE'!E333</f>
        <v>9</v>
      </c>
      <c r="Z40" s="111">
        <f>'FBMS-HND LEVEL ONE'!F333</f>
        <v>10</v>
      </c>
      <c r="AA40" s="111">
        <f>'FBMS-HND LEVEL ONE'!J333</f>
        <v>35</v>
      </c>
      <c r="AB40" s="111">
        <f>'FBMS-HND LEVEL ONE'!K333</f>
        <v>54</v>
      </c>
      <c r="AC40" s="120" t="str">
        <f>'FBMS-HND LEVEL ONE'!L333</f>
        <v>C</v>
      </c>
      <c r="AD40" s="119">
        <f>'FBMS-HND LEVEL ONE'!E404</f>
        <v>9</v>
      </c>
      <c r="AE40" s="111">
        <f>'FBMS-HND LEVEL ONE'!F404</f>
        <v>9</v>
      </c>
      <c r="AF40" s="173">
        <f>'FBMS-HND LEVEL ONE'!J404</f>
        <v>24</v>
      </c>
      <c r="AG40" s="173">
        <f>'FBMS-HND LEVEL ONE'!K404</f>
        <v>42</v>
      </c>
      <c r="AH40" s="178" t="str">
        <f>'FBMS-HND LEVEL ONE'!L404</f>
        <v>D</v>
      </c>
      <c r="AI40" s="119">
        <f>'FBMS-HND LEVEL ONE'!E482</f>
        <v>10</v>
      </c>
      <c r="AJ40" s="111">
        <f>'FBMS-HND LEVEL ONE'!F482</f>
        <v>23</v>
      </c>
      <c r="AK40" s="173">
        <f>'FBMS-HND LEVEL ONE'!J482</f>
        <v>32</v>
      </c>
      <c r="AL40" s="173">
        <f>'FBMS-HND LEVEL ONE'!K482</f>
        <v>65</v>
      </c>
      <c r="AM40" s="178" t="str">
        <f>'FBMS-HND LEVEL ONE'!L482</f>
        <v>B</v>
      </c>
      <c r="AN40" s="119">
        <f>'FBMS-HND LEVEL ONE'!E558</f>
        <v>10</v>
      </c>
      <c r="AO40" s="111">
        <f>'FBMS-HND LEVEL ONE'!F558</f>
        <v>15</v>
      </c>
      <c r="AP40" s="111">
        <f>'FBMS-HND LEVEL ONE'!J558</f>
        <v>19</v>
      </c>
      <c r="AQ40" s="111">
        <f>'FBMS-HND LEVEL ONE'!K558</f>
        <v>44</v>
      </c>
      <c r="AR40" s="120" t="str">
        <f>'FBMS-HND LEVEL ONE'!L558</f>
        <v>D</v>
      </c>
      <c r="AS40" s="121">
        <f>'FBMS-HND LEVEL ONE'!E628</f>
        <v>10</v>
      </c>
      <c r="AT40" s="111">
        <f>'FBMS-HND LEVEL ONE'!F628</f>
        <v>19</v>
      </c>
      <c r="AU40" s="173">
        <f>'FBMS-HND LEVEL ONE'!J628</f>
        <v>24</v>
      </c>
      <c r="AV40" s="173">
        <f>'FBMS-HND LEVEL ONE'!K628</f>
        <v>53</v>
      </c>
      <c r="AW40" s="174" t="str">
        <f>'FBMS-HND LEVEL ONE'!L628</f>
        <v>C</v>
      </c>
      <c r="AX40" s="119">
        <f>'FBMS-HND LEVEL ONE'!E699</f>
        <v>10</v>
      </c>
      <c r="AY40" s="111">
        <f>'FBMS-HND LEVEL ONE'!F699</f>
        <v>15</v>
      </c>
      <c r="AZ40" s="111">
        <f>'FBMS-HND LEVEL ONE'!J699</f>
        <v>4</v>
      </c>
      <c r="BA40" s="111">
        <f>'FBMS-HND LEVEL ONE'!K699</f>
        <v>29</v>
      </c>
      <c r="BB40" s="120" t="str">
        <f>'FBMS-HND LEVEL ONE'!L699</f>
        <v>F</v>
      </c>
      <c r="BC40" s="121">
        <f>'FBMS-HND LEVEL ONE'!E774</f>
        <v>8</v>
      </c>
      <c r="BD40" s="111">
        <f>'FBMS-HND LEVEL ONE'!F774</f>
        <v>19</v>
      </c>
      <c r="BE40" s="111">
        <f>'FBMS-HND LEVEL ONE'!J774</f>
        <v>44</v>
      </c>
      <c r="BF40" s="111">
        <f>'FBMS-HND LEVEL ONE'!K774</f>
        <v>71</v>
      </c>
      <c r="BG40" s="118" t="str">
        <f>'FBMS-HND LEVEL ONE'!L774</f>
        <v>B+</v>
      </c>
      <c r="BH40" s="119">
        <f>'FBMS-HND LEVEL ONE'!E842</f>
        <v>10</v>
      </c>
      <c r="BI40" s="111">
        <f>'FBMS-HND LEVEL ONE'!F842</f>
        <v>18</v>
      </c>
      <c r="BJ40" s="111">
        <f>'FBMS-HND LEVEL ONE'!J842</f>
        <v>1</v>
      </c>
      <c r="BK40" s="111">
        <f>'FBMS-HND LEVEL ONE'!K842</f>
        <v>29</v>
      </c>
      <c r="BL40" s="120" t="str">
        <f>'FBMS-HND LEVEL ONE'!L842</f>
        <v>F</v>
      </c>
      <c r="BM40" s="119">
        <f>'FBMS-HND LEVEL ONE'!E914</f>
        <v>10</v>
      </c>
      <c r="BN40" s="111">
        <f>'FBMS-HND LEVEL ONE'!F914</f>
        <v>20</v>
      </c>
      <c r="BO40" s="173">
        <f>'FBMS-HND LEVEL ONE'!J914</f>
        <v>44</v>
      </c>
      <c r="BP40" s="173">
        <f>'FBMS-HND LEVEL ONE'!K914</f>
        <v>74</v>
      </c>
      <c r="BQ40" s="178" t="str">
        <f>'FBMS-HND LEVEL ONE'!L914</f>
        <v>B+</v>
      </c>
    </row>
    <row r="41" spans="1:69" ht="12.75" customHeight="1" x14ac:dyDescent="0.3">
      <c r="A41" s="109">
        <v>33</v>
      </c>
      <c r="B41" s="306" t="s">
        <v>458</v>
      </c>
      <c r="C41" s="307" t="s">
        <v>391</v>
      </c>
      <c r="D41" s="306" t="s">
        <v>458</v>
      </c>
      <c r="E41" s="119">
        <f>'FBMS-HND LEVEL ONE'!E44</f>
        <v>9</v>
      </c>
      <c r="F41" s="111">
        <f>'FBMS-HND LEVEL ONE'!F44</f>
        <v>16</v>
      </c>
      <c r="G41" s="111">
        <f>'FBMS-HND LEVEL ONE'!J44</f>
        <v>28</v>
      </c>
      <c r="H41" s="111">
        <f>'FBMS-HND LEVEL ONE'!K44</f>
        <v>53</v>
      </c>
      <c r="I41" s="120" t="str">
        <f>'FBMS-HND LEVEL ONE'!L44</f>
        <v>C</v>
      </c>
      <c r="J41" s="119">
        <f>'FBMS-HND LEVEL ONE'!E113</f>
        <v>9</v>
      </c>
      <c r="K41" s="111">
        <f>'FBMS-HND LEVEL ONE'!F113</f>
        <v>30</v>
      </c>
      <c r="L41" s="111">
        <f>'FBMS-HND LEVEL ONE'!J113</f>
        <v>11</v>
      </c>
      <c r="M41" s="111">
        <f>'FBMS-HND LEVEL ONE'!K113</f>
        <v>50</v>
      </c>
      <c r="N41" s="120" t="str">
        <f>'FBMS-HND LEVEL ONE'!L113</f>
        <v>C</v>
      </c>
      <c r="O41" s="119">
        <f>'FBMS-HND LEVEL ONE'!E193</f>
        <v>10</v>
      </c>
      <c r="P41" s="111">
        <f>'FBMS-HND LEVEL ONE'!F193</f>
        <v>26</v>
      </c>
      <c r="Q41" s="111">
        <f>'FBMS-HND LEVEL ONE'!J193</f>
        <v>23</v>
      </c>
      <c r="R41" s="111">
        <f>'FBMS-HND LEVEL ONE'!K193</f>
        <v>59</v>
      </c>
      <c r="S41" s="120" t="str">
        <f>'FBMS-HND LEVEL ONE'!L193</f>
        <v>C+</v>
      </c>
      <c r="T41" s="119">
        <f>'FBMS-HND LEVEL ONE'!E262</f>
        <v>9</v>
      </c>
      <c r="U41" s="111">
        <f>'FBMS-HND LEVEL ONE'!F262</f>
        <v>16</v>
      </c>
      <c r="V41" s="111">
        <f>'FBMS-HND LEVEL ONE'!J262</f>
        <v>33</v>
      </c>
      <c r="W41" s="111">
        <f>'FBMS-HND LEVEL ONE'!K262</f>
        <v>58</v>
      </c>
      <c r="X41" s="120" t="str">
        <f>'FBMS-HND LEVEL ONE'!L262</f>
        <v>C+</v>
      </c>
      <c r="Y41" s="119">
        <f>'FBMS-HND LEVEL ONE'!E334</f>
        <v>10</v>
      </c>
      <c r="Z41" s="111">
        <f>'FBMS-HND LEVEL ONE'!F334</f>
        <v>18</v>
      </c>
      <c r="AA41" s="111">
        <f>'FBMS-HND LEVEL ONE'!J334</f>
        <v>9</v>
      </c>
      <c r="AB41" s="111">
        <f>'FBMS-HND LEVEL ONE'!K334</f>
        <v>37</v>
      </c>
      <c r="AC41" s="120" t="str">
        <f>'FBMS-HND LEVEL ONE'!L334</f>
        <v>F</v>
      </c>
      <c r="AD41" s="119">
        <f>'FBMS-HND LEVEL ONE'!E405</f>
        <v>9</v>
      </c>
      <c r="AE41" s="111">
        <f>'FBMS-HND LEVEL ONE'!F405</f>
        <v>17</v>
      </c>
      <c r="AF41" s="173">
        <f>'FBMS-HND LEVEL ONE'!J405</f>
        <v>35</v>
      </c>
      <c r="AG41" s="173">
        <f>'FBMS-HND LEVEL ONE'!K405</f>
        <v>61</v>
      </c>
      <c r="AH41" s="178" t="str">
        <f>'FBMS-HND LEVEL ONE'!L405</f>
        <v>B</v>
      </c>
      <c r="AI41" s="119">
        <f>'FBMS-HND LEVEL ONE'!E483</f>
        <v>9</v>
      </c>
      <c r="AJ41" s="111">
        <f>'FBMS-HND LEVEL ONE'!F483</f>
        <v>23</v>
      </c>
      <c r="AK41" s="173">
        <f>'FBMS-HND LEVEL ONE'!J483</f>
        <v>21</v>
      </c>
      <c r="AL41" s="173">
        <f>'FBMS-HND LEVEL ONE'!K483</f>
        <v>53</v>
      </c>
      <c r="AM41" s="178" t="str">
        <f>'FBMS-HND LEVEL ONE'!L483</f>
        <v>C</v>
      </c>
      <c r="AN41" s="119">
        <f>'FBMS-HND LEVEL ONE'!E559</f>
        <v>9</v>
      </c>
      <c r="AO41" s="111">
        <f>'FBMS-HND LEVEL ONE'!F559</f>
        <v>19</v>
      </c>
      <c r="AP41" s="111">
        <f>'FBMS-HND LEVEL ONE'!J559</f>
        <v>31</v>
      </c>
      <c r="AQ41" s="111">
        <f>'FBMS-HND LEVEL ONE'!K559</f>
        <v>59</v>
      </c>
      <c r="AR41" s="120" t="str">
        <f>'FBMS-HND LEVEL ONE'!L559</f>
        <v>C+</v>
      </c>
      <c r="AS41" s="121">
        <f>'FBMS-HND LEVEL ONE'!E629</f>
        <v>10</v>
      </c>
      <c r="AT41" s="173">
        <f>'FBMS-HND LEVEL ONE'!F629</f>
        <v>17</v>
      </c>
      <c r="AU41" s="173">
        <f>'FBMS-HND LEVEL ONE'!J629</f>
        <v>26</v>
      </c>
      <c r="AV41" s="173">
        <f>'FBMS-HND LEVEL ONE'!K629</f>
        <v>53</v>
      </c>
      <c r="AW41" s="174" t="str">
        <f>'FBMS-HND LEVEL ONE'!L629</f>
        <v>C</v>
      </c>
      <c r="AX41" s="119">
        <f>'FBMS-HND LEVEL ONE'!E700</f>
        <v>9</v>
      </c>
      <c r="AY41" s="111">
        <f>'FBMS-HND LEVEL ONE'!F700</f>
        <v>11</v>
      </c>
      <c r="AZ41" s="111">
        <f>'FBMS-HND LEVEL ONE'!J700</f>
        <v>30</v>
      </c>
      <c r="BA41" s="111">
        <f>'FBMS-HND LEVEL ONE'!K700</f>
        <v>50</v>
      </c>
      <c r="BB41" s="120" t="str">
        <f>'FBMS-HND LEVEL ONE'!L700</f>
        <v>C</v>
      </c>
      <c r="BC41" s="121">
        <f>'FBMS-HND LEVEL ONE'!E775</f>
        <v>8</v>
      </c>
      <c r="BD41" s="111">
        <f>'FBMS-HND LEVEL ONE'!F775</f>
        <v>17</v>
      </c>
      <c r="BE41" s="111">
        <f>'FBMS-HND LEVEL ONE'!J775</f>
        <v>38</v>
      </c>
      <c r="BF41" s="111">
        <f>'FBMS-HND LEVEL ONE'!K775</f>
        <v>63</v>
      </c>
      <c r="BG41" s="118" t="str">
        <f>'FBMS-HND LEVEL ONE'!L775</f>
        <v>B</v>
      </c>
      <c r="BH41" s="119">
        <f>'FBMS-HND LEVEL ONE'!E843</f>
        <v>10</v>
      </c>
      <c r="BI41" s="111">
        <f>'FBMS-HND LEVEL ONE'!F843</f>
        <v>28</v>
      </c>
      <c r="BJ41" s="111">
        <f>'FBMS-HND LEVEL ONE'!J843</f>
        <v>12</v>
      </c>
      <c r="BK41" s="111">
        <f>'FBMS-HND LEVEL ONE'!K843</f>
        <v>50</v>
      </c>
      <c r="BL41" s="120" t="str">
        <f>'FBMS-HND LEVEL ONE'!L843</f>
        <v>C</v>
      </c>
      <c r="BM41" s="119">
        <f>'FBMS-HND LEVEL ONE'!E915</f>
        <v>8</v>
      </c>
      <c r="BN41" s="111">
        <f>'FBMS-HND LEVEL ONE'!F915</f>
        <v>8</v>
      </c>
      <c r="BO41" s="173">
        <f>'FBMS-HND LEVEL ONE'!J915</f>
        <v>39</v>
      </c>
      <c r="BP41" s="173">
        <f>'FBMS-HND LEVEL ONE'!K915</f>
        <v>55</v>
      </c>
      <c r="BQ41" s="178" t="str">
        <f>'FBMS-HND LEVEL ONE'!L915</f>
        <v>C+</v>
      </c>
    </row>
    <row r="42" spans="1:69" ht="12.75" customHeight="1" x14ac:dyDescent="0.3">
      <c r="A42" s="116">
        <v>34</v>
      </c>
      <c r="B42" s="306" t="s">
        <v>459</v>
      </c>
      <c r="C42" s="309" t="s">
        <v>557</v>
      </c>
      <c r="D42" s="306" t="s">
        <v>459</v>
      </c>
      <c r="E42" s="119">
        <f>'FBMS-HND LEVEL ONE'!E45</f>
        <v>8</v>
      </c>
      <c r="F42" s="111">
        <f>'FBMS-HND LEVEL ONE'!F45</f>
        <v>9</v>
      </c>
      <c r="G42" s="111">
        <f>'FBMS-HND LEVEL ONE'!J45</f>
        <v>15</v>
      </c>
      <c r="H42" s="111">
        <f>'FBMS-HND LEVEL ONE'!K45</f>
        <v>32</v>
      </c>
      <c r="I42" s="120" t="str">
        <f>'FBMS-HND LEVEL ONE'!L45</f>
        <v>F</v>
      </c>
      <c r="J42" s="119">
        <f>'FBMS-HND LEVEL ONE'!E114</f>
        <v>10</v>
      </c>
      <c r="K42" s="111">
        <f>'FBMS-HND LEVEL ONE'!F114</f>
        <v>26</v>
      </c>
      <c r="L42" s="111">
        <f>'FBMS-HND LEVEL ONE'!J114</f>
        <v>16</v>
      </c>
      <c r="M42" s="111">
        <f>'FBMS-HND LEVEL ONE'!K114</f>
        <v>52</v>
      </c>
      <c r="N42" s="120" t="str">
        <f>'FBMS-HND LEVEL ONE'!L114</f>
        <v>C</v>
      </c>
      <c r="O42" s="119">
        <f>'FBMS-HND LEVEL ONE'!E194</f>
        <v>10</v>
      </c>
      <c r="P42" s="111">
        <f>'FBMS-HND LEVEL ONE'!F194</f>
        <v>20.5</v>
      </c>
      <c r="Q42" s="111">
        <f>'FBMS-HND LEVEL ONE'!J194</f>
        <v>11</v>
      </c>
      <c r="R42" s="111">
        <f>'FBMS-HND LEVEL ONE'!K194</f>
        <v>41.5</v>
      </c>
      <c r="S42" s="120" t="str">
        <f>'FBMS-HND LEVEL ONE'!L194</f>
        <v>D</v>
      </c>
      <c r="T42" s="119">
        <f>'FBMS-HND LEVEL ONE'!E263</f>
        <v>9</v>
      </c>
      <c r="U42" s="111">
        <f>'FBMS-HND LEVEL ONE'!F263</f>
        <v>18</v>
      </c>
      <c r="V42" s="111">
        <f>'FBMS-HND LEVEL ONE'!J263</f>
        <v>23</v>
      </c>
      <c r="W42" s="111">
        <f>'FBMS-HND LEVEL ONE'!K263</f>
        <v>50</v>
      </c>
      <c r="X42" s="120" t="str">
        <f>'FBMS-HND LEVEL ONE'!L263</f>
        <v>C</v>
      </c>
      <c r="Y42" s="119">
        <f>'FBMS-HND LEVEL ONE'!E335</f>
        <v>10</v>
      </c>
      <c r="Z42" s="111">
        <f>'FBMS-HND LEVEL ONE'!F335</f>
        <v>21</v>
      </c>
      <c r="AA42" s="111">
        <f>'FBMS-HND LEVEL ONE'!J335</f>
        <v>14</v>
      </c>
      <c r="AB42" s="111">
        <f>'FBMS-HND LEVEL ONE'!K335</f>
        <v>45</v>
      </c>
      <c r="AC42" s="120" t="str">
        <f>'FBMS-HND LEVEL ONE'!L335</f>
        <v>D+</v>
      </c>
      <c r="AD42" s="119">
        <f>'FBMS-HND LEVEL ONE'!E406</f>
        <v>9</v>
      </c>
      <c r="AE42" s="111">
        <f>'FBMS-HND LEVEL ONE'!F406</f>
        <v>16</v>
      </c>
      <c r="AF42" s="173">
        <f>'FBMS-HND LEVEL ONE'!J406</f>
        <v>14</v>
      </c>
      <c r="AG42" s="173">
        <f>'FBMS-HND LEVEL ONE'!K406</f>
        <v>39</v>
      </c>
      <c r="AH42" s="178" t="str">
        <f>'FBMS-HND LEVEL ONE'!L406</f>
        <v>F</v>
      </c>
      <c r="AI42" s="119">
        <f>'FBMS-HND LEVEL ONE'!E484</f>
        <v>10</v>
      </c>
      <c r="AJ42" s="111">
        <f>'FBMS-HND LEVEL ONE'!F484</f>
        <v>22</v>
      </c>
      <c r="AK42" s="173">
        <f>'FBMS-HND LEVEL ONE'!J484</f>
        <v>27</v>
      </c>
      <c r="AL42" s="173">
        <f>'FBMS-HND LEVEL ONE'!K484</f>
        <v>59</v>
      </c>
      <c r="AM42" s="178" t="str">
        <f>'FBMS-HND LEVEL ONE'!L484</f>
        <v>C+</v>
      </c>
      <c r="AN42" s="119">
        <f>'FBMS-HND LEVEL ONE'!E560</f>
        <v>10</v>
      </c>
      <c r="AO42" s="111">
        <f>'FBMS-HND LEVEL ONE'!F560</f>
        <v>20</v>
      </c>
      <c r="AP42" s="111">
        <f>'FBMS-HND LEVEL ONE'!J560</f>
        <v>22</v>
      </c>
      <c r="AQ42" s="111">
        <f>'FBMS-HND LEVEL ONE'!K560</f>
        <v>52</v>
      </c>
      <c r="AR42" s="120" t="str">
        <f>'FBMS-HND LEVEL ONE'!L560</f>
        <v>C</v>
      </c>
      <c r="AS42" s="121">
        <f>'FBMS-HND LEVEL ONE'!E630</f>
        <v>10</v>
      </c>
      <c r="AT42" s="111">
        <f>'FBMS-HND LEVEL ONE'!F630</f>
        <v>19</v>
      </c>
      <c r="AU42" s="173">
        <f>'FBMS-HND LEVEL ONE'!J630</f>
        <v>15</v>
      </c>
      <c r="AV42" s="173">
        <f>'FBMS-HND LEVEL ONE'!K630</f>
        <v>44</v>
      </c>
      <c r="AW42" s="174" t="str">
        <f>'FBMS-HND LEVEL ONE'!L630</f>
        <v>D</v>
      </c>
      <c r="AX42" s="119">
        <f>'FBMS-HND LEVEL ONE'!E701</f>
        <v>10</v>
      </c>
      <c r="AY42" s="111">
        <f>'FBMS-HND LEVEL ONE'!F701</f>
        <v>12</v>
      </c>
      <c r="AZ42" s="111">
        <f>'FBMS-HND LEVEL ONE'!J701</f>
        <v>5</v>
      </c>
      <c r="BA42" s="111">
        <f>'FBMS-HND LEVEL ONE'!K701</f>
        <v>27</v>
      </c>
      <c r="BB42" s="120" t="str">
        <f>'FBMS-HND LEVEL ONE'!L701</f>
        <v>F</v>
      </c>
      <c r="BC42" s="121">
        <f>'FBMS-HND LEVEL ONE'!E776</f>
        <v>8</v>
      </c>
      <c r="BD42" s="111">
        <f>'FBMS-HND LEVEL ONE'!F776</f>
        <v>17</v>
      </c>
      <c r="BE42" s="111">
        <f>'FBMS-HND LEVEL ONE'!J776</f>
        <v>38</v>
      </c>
      <c r="BF42" s="111">
        <f>'FBMS-HND LEVEL ONE'!K776</f>
        <v>63</v>
      </c>
      <c r="BG42" s="118" t="str">
        <f>'FBMS-HND LEVEL ONE'!L776</f>
        <v>B</v>
      </c>
      <c r="BH42" s="252">
        <f>'FBMS-HND LEVEL ONE'!E844</f>
        <v>10</v>
      </c>
      <c r="BI42" s="111">
        <f>'FBMS-HND LEVEL ONE'!F844</f>
        <v>20</v>
      </c>
      <c r="BJ42" s="111">
        <f>'FBMS-HND LEVEL ONE'!J844</f>
        <v>3</v>
      </c>
      <c r="BK42" s="111">
        <f>'FBMS-HND LEVEL ONE'!K844</f>
        <v>33</v>
      </c>
      <c r="BL42" s="120" t="str">
        <f>'FBMS-HND LEVEL ONE'!L844</f>
        <v>F</v>
      </c>
      <c r="BM42" s="119">
        <f>'FBMS-HND LEVEL ONE'!E916</f>
        <v>8</v>
      </c>
      <c r="BN42" s="111">
        <f>'FBMS-HND LEVEL ONE'!F916</f>
        <v>10</v>
      </c>
      <c r="BO42" s="173">
        <f>'FBMS-HND LEVEL ONE'!J916</f>
        <v>35</v>
      </c>
      <c r="BP42" s="173">
        <f>'FBMS-HND LEVEL ONE'!K916</f>
        <v>53</v>
      </c>
      <c r="BQ42" s="178" t="str">
        <f>'FBMS-HND LEVEL ONE'!L916</f>
        <v>C</v>
      </c>
    </row>
    <row r="43" spans="1:69" ht="12.75" customHeight="1" x14ac:dyDescent="0.3">
      <c r="A43" s="109">
        <v>35</v>
      </c>
      <c r="B43" s="306" t="s">
        <v>460</v>
      </c>
      <c r="C43" s="309" t="s">
        <v>392</v>
      </c>
      <c r="D43" s="306" t="s">
        <v>460</v>
      </c>
      <c r="E43" s="119">
        <f>'FBMS-HND LEVEL ONE'!E46</f>
        <v>10</v>
      </c>
      <c r="F43" s="111">
        <f>'FBMS-HND LEVEL ONE'!F46</f>
        <v>25</v>
      </c>
      <c r="G43" s="111">
        <f>'FBMS-HND LEVEL ONE'!J46</f>
        <v>48</v>
      </c>
      <c r="H43" s="111">
        <f>'FBMS-HND LEVEL ONE'!K46</f>
        <v>83</v>
      </c>
      <c r="I43" s="120" t="str">
        <f>'FBMS-HND LEVEL ONE'!L46</f>
        <v>A</v>
      </c>
      <c r="J43" s="119">
        <f>'FBMS-HND LEVEL ONE'!E115</f>
        <v>10</v>
      </c>
      <c r="K43" s="111">
        <f>'FBMS-HND LEVEL ONE'!F115</f>
        <v>20</v>
      </c>
      <c r="L43" s="111">
        <f>'FBMS-HND LEVEL ONE'!J115</f>
        <v>33</v>
      </c>
      <c r="M43" s="111">
        <f>'FBMS-HND LEVEL ONE'!K115</f>
        <v>63</v>
      </c>
      <c r="N43" s="120" t="str">
        <f>'FBMS-HND LEVEL ONE'!L115</f>
        <v>B</v>
      </c>
      <c r="O43" s="119">
        <f>'FBMS-HND LEVEL ONE'!E195</f>
        <v>10</v>
      </c>
      <c r="P43" s="111">
        <f>'FBMS-HND LEVEL ONE'!F195</f>
        <v>21</v>
      </c>
      <c r="Q43" s="111">
        <f>'FBMS-HND LEVEL ONE'!J195</f>
        <v>29</v>
      </c>
      <c r="R43" s="111">
        <f>'FBMS-HND LEVEL ONE'!K195</f>
        <v>60</v>
      </c>
      <c r="S43" s="120" t="str">
        <f>'FBMS-HND LEVEL ONE'!L195</f>
        <v>B</v>
      </c>
      <c r="T43" s="119">
        <f>'FBMS-HND LEVEL ONE'!E264</f>
        <v>10</v>
      </c>
      <c r="U43" s="111">
        <f>'FBMS-HND LEVEL ONE'!F264</f>
        <v>15</v>
      </c>
      <c r="V43" s="111">
        <f>'FBMS-HND LEVEL ONE'!J264</f>
        <v>34</v>
      </c>
      <c r="W43" s="111">
        <f>'FBMS-HND LEVEL ONE'!K264</f>
        <v>59</v>
      </c>
      <c r="X43" s="120" t="str">
        <f>'FBMS-HND LEVEL ONE'!L264</f>
        <v>C+</v>
      </c>
      <c r="Y43" s="119">
        <f>'FBMS-HND LEVEL ONE'!E336</f>
        <v>10</v>
      </c>
      <c r="Z43" s="111">
        <f>'FBMS-HND LEVEL ONE'!F336</f>
        <v>19</v>
      </c>
      <c r="AA43" s="111">
        <f>'FBMS-HND LEVEL ONE'!J336</f>
        <v>21</v>
      </c>
      <c r="AB43" s="111">
        <f>'FBMS-HND LEVEL ONE'!K336</f>
        <v>50</v>
      </c>
      <c r="AC43" s="120" t="str">
        <f>'FBMS-HND LEVEL ONE'!L336</f>
        <v>C</v>
      </c>
      <c r="AD43" s="119">
        <f>'FBMS-HND LEVEL ONE'!E407</f>
        <v>10</v>
      </c>
      <c r="AE43" s="111">
        <f>'FBMS-HND LEVEL ONE'!F407</f>
        <v>20</v>
      </c>
      <c r="AF43" s="173">
        <f>'FBMS-HND LEVEL ONE'!J407</f>
        <v>34</v>
      </c>
      <c r="AG43" s="173">
        <f>'FBMS-HND LEVEL ONE'!K407</f>
        <v>64</v>
      </c>
      <c r="AH43" s="178" t="str">
        <f>'FBMS-HND LEVEL ONE'!L407</f>
        <v>B</v>
      </c>
      <c r="AI43" s="119">
        <f>'FBMS-HND LEVEL ONE'!E485</f>
        <v>10</v>
      </c>
      <c r="AJ43" s="111">
        <f>'FBMS-HND LEVEL ONE'!F485</f>
        <v>22</v>
      </c>
      <c r="AK43" s="173">
        <f>'FBMS-HND LEVEL ONE'!J485</f>
        <v>33</v>
      </c>
      <c r="AL43" s="173">
        <f>'FBMS-HND LEVEL ONE'!K485</f>
        <v>65</v>
      </c>
      <c r="AM43" s="178" t="str">
        <f>'FBMS-HND LEVEL ONE'!L485</f>
        <v>B</v>
      </c>
      <c r="AN43" s="119">
        <f>'FBMS-HND LEVEL ONE'!E561</f>
        <v>10</v>
      </c>
      <c r="AO43" s="111">
        <f>'FBMS-HND LEVEL ONE'!F561</f>
        <v>20</v>
      </c>
      <c r="AP43" s="111">
        <f>'FBMS-HND LEVEL ONE'!J561</f>
        <v>30</v>
      </c>
      <c r="AQ43" s="111">
        <f>'FBMS-HND LEVEL ONE'!K561</f>
        <v>60</v>
      </c>
      <c r="AR43" s="120" t="str">
        <f>'FBMS-HND LEVEL ONE'!L561</f>
        <v>B</v>
      </c>
      <c r="AS43" s="121">
        <f>'FBMS-HND LEVEL ONE'!E631</f>
        <v>10</v>
      </c>
      <c r="AT43" s="111">
        <f>'FBMS-HND LEVEL ONE'!F631</f>
        <v>17</v>
      </c>
      <c r="AU43" s="173">
        <f>'FBMS-HND LEVEL ONE'!J631</f>
        <v>48</v>
      </c>
      <c r="AV43" s="173">
        <f>'FBMS-HND LEVEL ONE'!K631</f>
        <v>75</v>
      </c>
      <c r="AW43" s="174" t="str">
        <f>'FBMS-HND LEVEL ONE'!L631</f>
        <v>B+</v>
      </c>
      <c r="AX43" s="119">
        <f>'FBMS-HND LEVEL ONE'!E702</f>
        <v>10</v>
      </c>
      <c r="AY43" s="111">
        <f>'FBMS-HND LEVEL ONE'!F702</f>
        <v>15</v>
      </c>
      <c r="AZ43" s="111">
        <f>'FBMS-HND LEVEL ONE'!J702</f>
        <v>28</v>
      </c>
      <c r="BA43" s="111">
        <f>'FBMS-HND LEVEL ONE'!K702</f>
        <v>53</v>
      </c>
      <c r="BB43" s="120" t="str">
        <f>'FBMS-HND LEVEL ONE'!L702</f>
        <v>C</v>
      </c>
      <c r="BC43" s="121">
        <f>'FBMS-HND LEVEL ONE'!E777</f>
        <v>8</v>
      </c>
      <c r="BD43" s="111">
        <f>'FBMS-HND LEVEL ONE'!F777</f>
        <v>14</v>
      </c>
      <c r="BE43" s="111">
        <f>'FBMS-HND LEVEL ONE'!J777</f>
        <v>8</v>
      </c>
      <c r="BF43" s="111">
        <f>'FBMS-HND LEVEL ONE'!K777</f>
        <v>30</v>
      </c>
      <c r="BG43" s="118" t="str">
        <f>'FBMS-HND LEVEL ONE'!L777</f>
        <v>F</v>
      </c>
      <c r="BH43" s="119">
        <f>'FBMS-HND LEVEL ONE'!E845</f>
        <v>10</v>
      </c>
      <c r="BI43" s="111">
        <f>'FBMS-HND LEVEL ONE'!F845</f>
        <v>22</v>
      </c>
      <c r="BJ43" s="111">
        <f>'FBMS-HND LEVEL ONE'!J845</f>
        <v>40</v>
      </c>
      <c r="BK43" s="111">
        <f>'FBMS-HND LEVEL ONE'!K845</f>
        <v>72</v>
      </c>
      <c r="BL43" s="120" t="str">
        <f>'FBMS-HND LEVEL ONE'!L845</f>
        <v>B+</v>
      </c>
      <c r="BM43" s="119">
        <f>'FBMS-HND LEVEL ONE'!E917</f>
        <v>10</v>
      </c>
      <c r="BN43" s="111">
        <f>'FBMS-HND LEVEL ONE'!F917</f>
        <v>21</v>
      </c>
      <c r="BO43" s="173">
        <f>'FBMS-HND LEVEL ONE'!J917</f>
        <v>33</v>
      </c>
      <c r="BP43" s="173">
        <f>'FBMS-HND LEVEL ONE'!K917</f>
        <v>64</v>
      </c>
      <c r="BQ43" s="178" t="str">
        <f>'FBMS-HND LEVEL ONE'!L917</f>
        <v>B</v>
      </c>
    </row>
    <row r="44" spans="1:69" ht="12.75" customHeight="1" x14ac:dyDescent="0.3">
      <c r="A44" s="116">
        <v>36</v>
      </c>
      <c r="B44" s="306" t="s">
        <v>461</v>
      </c>
      <c r="C44" s="309" t="s">
        <v>393</v>
      </c>
      <c r="D44" s="306" t="s">
        <v>461</v>
      </c>
      <c r="E44" s="119">
        <f>'FBMS-HND LEVEL ONE'!E47</f>
        <v>10</v>
      </c>
      <c r="F44" s="111">
        <f>'FBMS-HND LEVEL ONE'!F47</f>
        <v>27</v>
      </c>
      <c r="G44" s="111">
        <f>'FBMS-HND LEVEL ONE'!J47</f>
        <v>30</v>
      </c>
      <c r="H44" s="111">
        <f>'FBMS-HND LEVEL ONE'!K47</f>
        <v>67</v>
      </c>
      <c r="I44" s="120" t="str">
        <f>'FBMS-HND LEVEL ONE'!L47</f>
        <v>B</v>
      </c>
      <c r="J44" s="119">
        <f>'FBMS-HND LEVEL ONE'!E116</f>
        <v>10</v>
      </c>
      <c r="K44" s="111">
        <f>'FBMS-HND LEVEL ONE'!F116</f>
        <v>26</v>
      </c>
      <c r="L44" s="111">
        <f>'FBMS-HND LEVEL ONE'!J116</f>
        <v>18</v>
      </c>
      <c r="M44" s="111">
        <f>'FBMS-HND LEVEL ONE'!K116</f>
        <v>54</v>
      </c>
      <c r="N44" s="120" t="str">
        <f>'FBMS-HND LEVEL ONE'!L116</f>
        <v>C</v>
      </c>
      <c r="O44" s="119">
        <f>'FBMS-HND LEVEL ONE'!E196</f>
        <v>10</v>
      </c>
      <c r="P44" s="111">
        <f>'FBMS-HND LEVEL ONE'!F196</f>
        <v>23</v>
      </c>
      <c r="Q44" s="111">
        <f>'FBMS-HND LEVEL ONE'!J196</f>
        <v>29</v>
      </c>
      <c r="R44" s="111">
        <f>'FBMS-HND LEVEL ONE'!K196</f>
        <v>62</v>
      </c>
      <c r="S44" s="120" t="str">
        <f>'FBMS-HND LEVEL ONE'!L196</f>
        <v>B</v>
      </c>
      <c r="T44" s="119">
        <f>'FBMS-HND LEVEL ONE'!E265</f>
        <v>8</v>
      </c>
      <c r="U44" s="111">
        <f>'FBMS-HND LEVEL ONE'!F265</f>
        <v>19</v>
      </c>
      <c r="V44" s="111">
        <f>'FBMS-HND LEVEL ONE'!J265</f>
        <v>16</v>
      </c>
      <c r="W44" s="111">
        <f>'FBMS-HND LEVEL ONE'!K265</f>
        <v>43</v>
      </c>
      <c r="X44" s="120" t="str">
        <f>'FBMS-HND LEVEL ONE'!L265</f>
        <v>D</v>
      </c>
      <c r="Y44" s="119">
        <f>'FBMS-HND LEVEL ONE'!E337</f>
        <v>10</v>
      </c>
      <c r="Z44" s="111">
        <f>'FBMS-HND LEVEL ONE'!F337</f>
        <v>12</v>
      </c>
      <c r="AA44" s="111">
        <f>'FBMS-HND LEVEL ONE'!J337</f>
        <v>30</v>
      </c>
      <c r="AB44" s="111">
        <f>'FBMS-HND LEVEL ONE'!K337</f>
        <v>52</v>
      </c>
      <c r="AC44" s="120" t="str">
        <f>'FBMS-HND LEVEL ONE'!L337</f>
        <v>C</v>
      </c>
      <c r="AD44" s="119">
        <f>'FBMS-HND LEVEL ONE'!E408</f>
        <v>9</v>
      </c>
      <c r="AE44" s="111">
        <f>'FBMS-HND LEVEL ONE'!F408</f>
        <v>18</v>
      </c>
      <c r="AF44" s="173">
        <f>'FBMS-HND LEVEL ONE'!J408</f>
        <v>31</v>
      </c>
      <c r="AG44" s="173">
        <f>'FBMS-HND LEVEL ONE'!K408</f>
        <v>58</v>
      </c>
      <c r="AH44" s="178" t="str">
        <f>'FBMS-HND LEVEL ONE'!L408</f>
        <v>C+</v>
      </c>
      <c r="AI44" s="119">
        <f>'FBMS-HND LEVEL ONE'!E486</f>
        <v>8</v>
      </c>
      <c r="AJ44" s="111">
        <f>'FBMS-HND LEVEL ONE'!F486</f>
        <v>20</v>
      </c>
      <c r="AK44" s="173">
        <f>'FBMS-HND LEVEL ONE'!J486</f>
        <v>26</v>
      </c>
      <c r="AL44" s="173">
        <f>'FBMS-HND LEVEL ONE'!K486</f>
        <v>54</v>
      </c>
      <c r="AM44" s="178" t="str">
        <f>'FBMS-HND LEVEL ONE'!L486</f>
        <v>C</v>
      </c>
      <c r="AN44" s="119">
        <f>'FBMS-HND LEVEL ONE'!E562</f>
        <v>10</v>
      </c>
      <c r="AO44" s="111">
        <f>'FBMS-HND LEVEL ONE'!F562</f>
        <v>22</v>
      </c>
      <c r="AP44" s="111">
        <f>'FBMS-HND LEVEL ONE'!J562</f>
        <v>21</v>
      </c>
      <c r="AQ44" s="111">
        <f>'FBMS-HND LEVEL ONE'!K562</f>
        <v>53</v>
      </c>
      <c r="AR44" s="120" t="str">
        <f>'FBMS-HND LEVEL ONE'!L562</f>
        <v>C</v>
      </c>
      <c r="AS44" s="121">
        <f>'FBMS-HND LEVEL ONE'!E632</f>
        <v>10</v>
      </c>
      <c r="AT44" s="111">
        <f>'FBMS-HND LEVEL ONE'!F632</f>
        <v>19</v>
      </c>
      <c r="AU44" s="173">
        <f>'FBMS-HND LEVEL ONE'!J632</f>
        <v>39</v>
      </c>
      <c r="AV44" s="173">
        <f>'FBMS-HND LEVEL ONE'!K632</f>
        <v>68</v>
      </c>
      <c r="AW44" s="174" t="str">
        <f>'FBMS-HND LEVEL ONE'!L632</f>
        <v>B</v>
      </c>
      <c r="AX44" s="119">
        <f>'FBMS-HND LEVEL ONE'!E703</f>
        <v>10</v>
      </c>
      <c r="AY44" s="111">
        <f>'FBMS-HND LEVEL ONE'!F703</f>
        <v>18</v>
      </c>
      <c r="AZ44" s="111">
        <f>'FBMS-HND LEVEL ONE'!J703</f>
        <v>15</v>
      </c>
      <c r="BA44" s="111">
        <f>'FBMS-HND LEVEL ONE'!K703</f>
        <v>43</v>
      </c>
      <c r="BB44" s="120" t="str">
        <f>'FBMS-HND LEVEL ONE'!L703</f>
        <v>D</v>
      </c>
      <c r="BC44" s="121">
        <f>'FBMS-HND LEVEL ONE'!E778</f>
        <v>8</v>
      </c>
      <c r="BD44" s="111">
        <f>'FBMS-HND LEVEL ONE'!F778</f>
        <v>18</v>
      </c>
      <c r="BE44" s="111">
        <f>'FBMS-HND LEVEL ONE'!J778</f>
        <v>26</v>
      </c>
      <c r="BF44" s="111">
        <f>'FBMS-HND LEVEL ONE'!K778</f>
        <v>52</v>
      </c>
      <c r="BG44" s="118" t="str">
        <f>'FBMS-HND LEVEL ONE'!L778</f>
        <v>C</v>
      </c>
      <c r="BH44" s="119">
        <f>'FBMS-HND LEVEL ONE'!E846</f>
        <v>10</v>
      </c>
      <c r="BI44" s="111">
        <f>'FBMS-HND LEVEL ONE'!F846</f>
        <v>25</v>
      </c>
      <c r="BJ44" s="111">
        <f>'FBMS-HND LEVEL ONE'!J846</f>
        <v>1</v>
      </c>
      <c r="BK44" s="111">
        <f>'FBMS-HND LEVEL ONE'!K846</f>
        <v>36</v>
      </c>
      <c r="BL44" s="120" t="str">
        <f>'FBMS-HND LEVEL ONE'!L846</f>
        <v>F</v>
      </c>
      <c r="BM44" s="119">
        <f>'FBMS-HND LEVEL ONE'!E918</f>
        <v>8</v>
      </c>
      <c r="BN44" s="111">
        <f>'FBMS-HND LEVEL ONE'!F918</f>
        <v>13</v>
      </c>
      <c r="BO44" s="173">
        <f>'FBMS-HND LEVEL ONE'!J918</f>
        <v>32</v>
      </c>
      <c r="BP44" s="173">
        <f>'FBMS-HND LEVEL ONE'!K918</f>
        <v>53</v>
      </c>
      <c r="BQ44" s="178" t="str">
        <f>'FBMS-HND LEVEL ONE'!L918</f>
        <v>C</v>
      </c>
    </row>
    <row r="45" spans="1:69" ht="12.75" customHeight="1" x14ac:dyDescent="0.3">
      <c r="A45" s="109">
        <v>37</v>
      </c>
      <c r="B45" s="306" t="s">
        <v>462</v>
      </c>
      <c r="C45" s="309" t="s">
        <v>394</v>
      </c>
      <c r="D45" s="306" t="s">
        <v>462</v>
      </c>
      <c r="E45" s="119">
        <f>'FBMS-HND LEVEL ONE'!E48</f>
        <v>10</v>
      </c>
      <c r="F45" s="111">
        <f>'FBMS-HND LEVEL ONE'!F48</f>
        <v>24</v>
      </c>
      <c r="G45" s="111">
        <f>'FBMS-HND LEVEL ONE'!J48</f>
        <v>41</v>
      </c>
      <c r="H45" s="111">
        <f>'FBMS-HND LEVEL ONE'!K48</f>
        <v>75</v>
      </c>
      <c r="I45" s="120" t="str">
        <f>'FBMS-HND LEVEL ONE'!L48</f>
        <v>B+</v>
      </c>
      <c r="J45" s="119">
        <f>'FBMS-HND LEVEL ONE'!E117</f>
        <v>10</v>
      </c>
      <c r="K45" s="111">
        <f>'FBMS-HND LEVEL ONE'!F117</f>
        <v>26</v>
      </c>
      <c r="L45" s="111">
        <f>'FBMS-HND LEVEL ONE'!J117</f>
        <v>24</v>
      </c>
      <c r="M45" s="111">
        <f>'FBMS-HND LEVEL ONE'!K117</f>
        <v>60</v>
      </c>
      <c r="N45" s="120" t="str">
        <f>'FBMS-HND LEVEL ONE'!L117</f>
        <v>B</v>
      </c>
      <c r="O45" s="119">
        <f>'FBMS-HND LEVEL ONE'!E197</f>
        <v>10</v>
      </c>
      <c r="P45" s="111">
        <f>'FBMS-HND LEVEL ONE'!F197</f>
        <v>29</v>
      </c>
      <c r="Q45" s="111">
        <f>'FBMS-HND LEVEL ONE'!J197</f>
        <v>29</v>
      </c>
      <c r="R45" s="111">
        <f>'FBMS-HND LEVEL ONE'!K197</f>
        <v>68</v>
      </c>
      <c r="S45" s="120" t="str">
        <f>'FBMS-HND LEVEL ONE'!L197</f>
        <v>B</v>
      </c>
      <c r="T45" s="119">
        <f>'FBMS-HND LEVEL ONE'!E266</f>
        <v>10</v>
      </c>
      <c r="U45" s="111">
        <f>'FBMS-HND LEVEL ONE'!F266</f>
        <v>23</v>
      </c>
      <c r="V45" s="111">
        <f>'FBMS-HND LEVEL ONE'!J266</f>
        <v>28</v>
      </c>
      <c r="W45" s="111">
        <f>'FBMS-HND LEVEL ONE'!K266</f>
        <v>61</v>
      </c>
      <c r="X45" s="120" t="str">
        <f>'FBMS-HND LEVEL ONE'!L266</f>
        <v>B</v>
      </c>
      <c r="Y45" s="119">
        <f>'FBMS-HND LEVEL ONE'!E338</f>
        <v>10</v>
      </c>
      <c r="Z45" s="111">
        <f>'FBMS-HND LEVEL ONE'!F338</f>
        <v>12</v>
      </c>
      <c r="AA45" s="111">
        <f>'FBMS-HND LEVEL ONE'!J338</f>
        <v>21</v>
      </c>
      <c r="AB45" s="111">
        <f>'FBMS-HND LEVEL ONE'!K338</f>
        <v>43</v>
      </c>
      <c r="AC45" s="120" t="str">
        <f>'FBMS-HND LEVEL ONE'!L338</f>
        <v>D</v>
      </c>
      <c r="AD45" s="119">
        <f>'FBMS-HND LEVEL ONE'!E409</f>
        <v>10</v>
      </c>
      <c r="AE45" s="111">
        <f>'FBMS-HND LEVEL ONE'!F409</f>
        <v>18</v>
      </c>
      <c r="AF45" s="173">
        <f>'FBMS-HND LEVEL ONE'!J409</f>
        <v>33</v>
      </c>
      <c r="AG45" s="173">
        <f>'FBMS-HND LEVEL ONE'!K409</f>
        <v>61</v>
      </c>
      <c r="AH45" s="178" t="str">
        <f>'FBMS-HND LEVEL ONE'!L409</f>
        <v>B</v>
      </c>
      <c r="AI45" s="119">
        <f>'FBMS-HND LEVEL ONE'!E487</f>
        <v>10</v>
      </c>
      <c r="AJ45" s="111">
        <f>'FBMS-HND LEVEL ONE'!F487</f>
        <v>22</v>
      </c>
      <c r="AK45" s="173">
        <f>'FBMS-HND LEVEL ONE'!J487</f>
        <v>32</v>
      </c>
      <c r="AL45" s="173">
        <f>'FBMS-HND LEVEL ONE'!K487</f>
        <v>64</v>
      </c>
      <c r="AM45" s="178" t="str">
        <f>'FBMS-HND LEVEL ONE'!L487</f>
        <v>B</v>
      </c>
      <c r="AN45" s="119">
        <f>'FBMS-HND LEVEL ONE'!E563</f>
        <v>10</v>
      </c>
      <c r="AO45" s="111">
        <f>'FBMS-HND LEVEL ONE'!F563</f>
        <v>24</v>
      </c>
      <c r="AP45" s="111">
        <f>'FBMS-HND LEVEL ONE'!J563</f>
        <v>30</v>
      </c>
      <c r="AQ45" s="111">
        <f>'FBMS-HND LEVEL ONE'!K563</f>
        <v>64</v>
      </c>
      <c r="AR45" s="120" t="str">
        <f>'FBMS-HND LEVEL ONE'!L563</f>
        <v>B</v>
      </c>
      <c r="AS45" s="121">
        <f>'FBMS-HND LEVEL ONE'!E633</f>
        <v>10</v>
      </c>
      <c r="AT45" s="173">
        <f>'FBMS-HND LEVEL ONE'!F633</f>
        <v>17</v>
      </c>
      <c r="AU45" s="173">
        <f>'FBMS-HND LEVEL ONE'!J633</f>
        <v>36</v>
      </c>
      <c r="AV45" s="173">
        <f>'FBMS-HND LEVEL ONE'!K633</f>
        <v>63</v>
      </c>
      <c r="AW45" s="174" t="str">
        <f>'FBMS-HND LEVEL ONE'!L633</f>
        <v>B</v>
      </c>
      <c r="AX45" s="119">
        <f>'FBMS-HND LEVEL ONE'!E704</f>
        <v>10</v>
      </c>
      <c r="AY45" s="111">
        <f>'FBMS-HND LEVEL ONE'!F704</f>
        <v>14</v>
      </c>
      <c r="AZ45" s="111">
        <f>'FBMS-HND LEVEL ONE'!J704</f>
        <v>29</v>
      </c>
      <c r="BA45" s="111">
        <f>'FBMS-HND LEVEL ONE'!K704</f>
        <v>53</v>
      </c>
      <c r="BB45" s="120" t="str">
        <f>'FBMS-HND LEVEL ONE'!L704</f>
        <v>C</v>
      </c>
      <c r="BC45" s="121">
        <f>'FBMS-HND LEVEL ONE'!E779</f>
        <v>8</v>
      </c>
      <c r="BD45" s="111">
        <f>'FBMS-HND LEVEL ONE'!F779</f>
        <v>19</v>
      </c>
      <c r="BE45" s="111">
        <f>'FBMS-HND LEVEL ONE'!J779</f>
        <v>39</v>
      </c>
      <c r="BF45" s="111">
        <f>'FBMS-HND LEVEL ONE'!K779</f>
        <v>66</v>
      </c>
      <c r="BG45" s="118" t="str">
        <f>'FBMS-HND LEVEL ONE'!L779</f>
        <v>B</v>
      </c>
      <c r="BH45" s="119">
        <f>'FBMS-HND LEVEL ONE'!E847</f>
        <v>10</v>
      </c>
      <c r="BI45" s="111">
        <f>'FBMS-HND LEVEL ONE'!F847</f>
        <v>19</v>
      </c>
      <c r="BJ45" s="111">
        <f>'FBMS-HND LEVEL ONE'!J847</f>
        <v>30</v>
      </c>
      <c r="BK45" s="111">
        <f>'FBMS-HND LEVEL ONE'!K847</f>
        <v>59</v>
      </c>
      <c r="BL45" s="120" t="str">
        <f>'FBMS-HND LEVEL ONE'!L847</f>
        <v>C+</v>
      </c>
      <c r="BM45" s="119">
        <f>'FBMS-HND LEVEL ONE'!E919</f>
        <v>10</v>
      </c>
      <c r="BN45" s="111">
        <f>'FBMS-HND LEVEL ONE'!F919</f>
        <v>17</v>
      </c>
      <c r="BO45" s="173">
        <f>'FBMS-HND LEVEL ONE'!J919</f>
        <v>43</v>
      </c>
      <c r="BP45" s="173">
        <f>'FBMS-HND LEVEL ONE'!K919</f>
        <v>70</v>
      </c>
      <c r="BQ45" s="178" t="str">
        <f>'FBMS-HND LEVEL ONE'!L919</f>
        <v>B+</v>
      </c>
    </row>
    <row r="46" spans="1:69" ht="12.75" customHeight="1" x14ac:dyDescent="0.3">
      <c r="A46" s="116">
        <v>38</v>
      </c>
      <c r="B46" s="306" t="s">
        <v>463</v>
      </c>
      <c r="C46" s="309" t="s">
        <v>395</v>
      </c>
      <c r="D46" s="306" t="s">
        <v>463</v>
      </c>
      <c r="E46" s="119">
        <f>'FBMS-HND LEVEL ONE'!E49</f>
        <v>8</v>
      </c>
      <c r="F46" s="111">
        <f>'FBMS-HND LEVEL ONE'!F49</f>
        <v>14</v>
      </c>
      <c r="G46" s="111">
        <f>'FBMS-HND LEVEL ONE'!J49</f>
        <v>21</v>
      </c>
      <c r="H46" s="111">
        <f>'FBMS-HND LEVEL ONE'!K49</f>
        <v>43</v>
      </c>
      <c r="I46" s="120" t="str">
        <f>'FBMS-HND LEVEL ONE'!L49</f>
        <v>D</v>
      </c>
      <c r="J46" s="119">
        <f>'FBMS-HND LEVEL ONE'!E118</f>
        <v>9</v>
      </c>
      <c r="K46" s="111">
        <f>'FBMS-HND LEVEL ONE'!F118</f>
        <v>21</v>
      </c>
      <c r="L46" s="111">
        <f>'FBMS-HND LEVEL ONE'!J118</f>
        <v>10</v>
      </c>
      <c r="M46" s="111">
        <f>'FBMS-HND LEVEL ONE'!K118</f>
        <v>40</v>
      </c>
      <c r="N46" s="120" t="str">
        <f>'FBMS-HND LEVEL ONE'!L118</f>
        <v>D</v>
      </c>
      <c r="O46" s="119">
        <f>'FBMS-HND LEVEL ONE'!E198</f>
        <v>10</v>
      </c>
      <c r="P46" s="111">
        <f>'FBMS-HND LEVEL ONE'!F198</f>
        <v>11</v>
      </c>
      <c r="Q46" s="111">
        <f>'FBMS-HND LEVEL ONE'!J198</f>
        <v>7</v>
      </c>
      <c r="R46" s="111">
        <f>'FBMS-HND LEVEL ONE'!K198</f>
        <v>28</v>
      </c>
      <c r="S46" s="120" t="str">
        <f>'FBMS-HND LEVEL ONE'!L198</f>
        <v>F</v>
      </c>
      <c r="T46" s="119">
        <f>'FBMS-HND LEVEL ONE'!E267</f>
        <v>8</v>
      </c>
      <c r="U46" s="111">
        <f>'FBMS-HND LEVEL ONE'!F267</f>
        <v>21</v>
      </c>
      <c r="V46" s="111">
        <f>'FBMS-HND LEVEL ONE'!J267</f>
        <v>9</v>
      </c>
      <c r="W46" s="111">
        <f>'FBMS-HND LEVEL ONE'!K267</f>
        <v>38</v>
      </c>
      <c r="X46" s="120" t="str">
        <f>'FBMS-HND LEVEL ONE'!L267</f>
        <v>F</v>
      </c>
      <c r="Y46" s="252">
        <f>'FBMS-HND LEVEL ONE'!E339</f>
        <v>7.5</v>
      </c>
      <c r="Z46" s="111">
        <f>'FBMS-HND LEVEL ONE'!F339</f>
        <v>10</v>
      </c>
      <c r="AA46" s="111">
        <f>'FBMS-HND LEVEL ONE'!J339</f>
        <v>15</v>
      </c>
      <c r="AB46" s="111">
        <f>'FBMS-HND LEVEL ONE'!K339</f>
        <v>32.5</v>
      </c>
      <c r="AC46" s="120" t="str">
        <f>'FBMS-HND LEVEL ONE'!L339</f>
        <v>F</v>
      </c>
      <c r="AD46" s="119">
        <f>'FBMS-HND LEVEL ONE'!E410</f>
        <v>8</v>
      </c>
      <c r="AE46" s="111">
        <f>'FBMS-HND LEVEL ONE'!F410</f>
        <v>22</v>
      </c>
      <c r="AF46" s="173">
        <f>'FBMS-HND LEVEL ONE'!J410</f>
        <v>17</v>
      </c>
      <c r="AG46" s="173">
        <f>'FBMS-HND LEVEL ONE'!K410</f>
        <v>47</v>
      </c>
      <c r="AH46" s="178" t="str">
        <f>'FBMS-HND LEVEL ONE'!L410</f>
        <v>D+</v>
      </c>
      <c r="AI46" s="119">
        <f>'FBMS-HND LEVEL ONE'!E488</f>
        <v>9</v>
      </c>
      <c r="AJ46" s="111">
        <f>'FBMS-HND LEVEL ONE'!F488</f>
        <v>17</v>
      </c>
      <c r="AK46" s="173">
        <f>'FBMS-HND LEVEL ONE'!J488</f>
        <v>25</v>
      </c>
      <c r="AL46" s="173">
        <f>'FBMS-HND LEVEL ONE'!K488</f>
        <v>51</v>
      </c>
      <c r="AM46" s="178" t="str">
        <f>'FBMS-HND LEVEL ONE'!L488</f>
        <v>C</v>
      </c>
      <c r="AN46" s="119">
        <f>'FBMS-HND LEVEL ONE'!E564</f>
        <v>9</v>
      </c>
      <c r="AO46" s="111">
        <f>'FBMS-HND LEVEL ONE'!F564</f>
        <v>25</v>
      </c>
      <c r="AP46" s="111">
        <f>'FBMS-HND LEVEL ONE'!J564</f>
        <v>5</v>
      </c>
      <c r="AQ46" s="111">
        <f>'FBMS-HND LEVEL ONE'!K564</f>
        <v>39</v>
      </c>
      <c r="AR46" s="120" t="str">
        <f>'FBMS-HND LEVEL ONE'!L564</f>
        <v>F</v>
      </c>
      <c r="AS46" s="121">
        <f>'FBMS-HND LEVEL ONE'!E634</f>
        <v>10</v>
      </c>
      <c r="AT46" s="111">
        <f>'FBMS-HND LEVEL ONE'!F634</f>
        <v>11</v>
      </c>
      <c r="AU46" s="173">
        <f>'FBMS-HND LEVEL ONE'!J634</f>
        <v>18</v>
      </c>
      <c r="AV46" s="173">
        <f>'FBMS-HND LEVEL ONE'!K634</f>
        <v>39</v>
      </c>
      <c r="AW46" s="174" t="str">
        <f>'FBMS-HND LEVEL ONE'!L634</f>
        <v>F</v>
      </c>
      <c r="AX46" s="119">
        <f>'FBMS-HND LEVEL ONE'!E705</f>
        <v>8</v>
      </c>
      <c r="AY46" s="111">
        <f>'FBMS-HND LEVEL ONE'!F705</f>
        <v>19</v>
      </c>
      <c r="AZ46" s="111">
        <f>'FBMS-HND LEVEL ONE'!J705</f>
        <v>8</v>
      </c>
      <c r="BA46" s="111">
        <f>'FBMS-HND LEVEL ONE'!K705</f>
        <v>35</v>
      </c>
      <c r="BB46" s="120" t="str">
        <f>'FBMS-HND LEVEL ONE'!L705</f>
        <v>F</v>
      </c>
      <c r="BC46" s="121">
        <f>'FBMS-HND LEVEL ONE'!E780</f>
        <v>8</v>
      </c>
      <c r="BD46" s="111">
        <f>'FBMS-HND LEVEL ONE'!F780</f>
        <v>21</v>
      </c>
      <c r="BE46" s="111">
        <f>'FBMS-HND LEVEL ONE'!J780</f>
        <v>7</v>
      </c>
      <c r="BF46" s="111">
        <f>'FBMS-HND LEVEL ONE'!K780</f>
        <v>36</v>
      </c>
      <c r="BG46" s="118" t="str">
        <f>'FBMS-HND LEVEL ONE'!L780</f>
        <v>F</v>
      </c>
      <c r="BH46" s="119">
        <f>'FBMS-HND LEVEL ONE'!E848</f>
        <v>10</v>
      </c>
      <c r="BI46" s="111">
        <f>'FBMS-HND LEVEL ONE'!F848</f>
        <v>18</v>
      </c>
      <c r="BJ46" s="111">
        <f>'FBMS-HND LEVEL ONE'!J848</f>
        <v>1</v>
      </c>
      <c r="BK46" s="111">
        <f>'FBMS-HND LEVEL ONE'!K848</f>
        <v>29</v>
      </c>
      <c r="BL46" s="120" t="str">
        <f>'FBMS-HND LEVEL ONE'!L848</f>
        <v>F</v>
      </c>
      <c r="BM46" s="119">
        <f>'FBMS-HND LEVEL ONE'!E920</f>
        <v>8</v>
      </c>
      <c r="BN46" s="111">
        <f>'FBMS-HND LEVEL ONE'!F920</f>
        <v>8</v>
      </c>
      <c r="BO46" s="173">
        <f>'FBMS-HND LEVEL ONE'!J920</f>
        <v>37</v>
      </c>
      <c r="BP46" s="173">
        <f>'FBMS-HND LEVEL ONE'!K920</f>
        <v>53</v>
      </c>
      <c r="BQ46" s="178" t="str">
        <f>'FBMS-HND LEVEL ONE'!L920</f>
        <v>C</v>
      </c>
    </row>
    <row r="47" spans="1:69" ht="12.75" customHeight="1" x14ac:dyDescent="0.3">
      <c r="A47" s="109">
        <v>39</v>
      </c>
      <c r="B47" s="306" t="s">
        <v>464</v>
      </c>
      <c r="C47" s="309" t="s">
        <v>396</v>
      </c>
      <c r="D47" s="306" t="s">
        <v>464</v>
      </c>
      <c r="E47" s="119">
        <f>'FBMS-HND LEVEL ONE'!E50</f>
        <v>10</v>
      </c>
      <c r="F47" s="111">
        <f>'FBMS-HND LEVEL ONE'!F50</f>
        <v>18</v>
      </c>
      <c r="G47" s="111">
        <f>'FBMS-HND LEVEL ONE'!J50</f>
        <v>27</v>
      </c>
      <c r="H47" s="111">
        <f>'FBMS-HND LEVEL ONE'!K50</f>
        <v>55</v>
      </c>
      <c r="I47" s="120" t="str">
        <f>'FBMS-HND LEVEL ONE'!L50</f>
        <v>C+</v>
      </c>
      <c r="J47" s="119">
        <f>'FBMS-HND LEVEL ONE'!E119</f>
        <v>9</v>
      </c>
      <c r="K47" s="111">
        <f>'FBMS-HND LEVEL ONE'!F119</f>
        <v>28</v>
      </c>
      <c r="L47" s="111">
        <f>'FBMS-HND LEVEL ONE'!J119</f>
        <v>24</v>
      </c>
      <c r="M47" s="111">
        <f>'FBMS-HND LEVEL ONE'!K119</f>
        <v>61</v>
      </c>
      <c r="N47" s="120" t="str">
        <f>'FBMS-HND LEVEL ONE'!L119</f>
        <v>B</v>
      </c>
      <c r="O47" s="119">
        <f>'FBMS-HND LEVEL ONE'!E199</f>
        <v>10</v>
      </c>
      <c r="P47" s="111">
        <f>'FBMS-HND LEVEL ONE'!F199</f>
        <v>27</v>
      </c>
      <c r="Q47" s="111">
        <f>'FBMS-HND LEVEL ONE'!J199</f>
        <v>20</v>
      </c>
      <c r="R47" s="111">
        <f>'FBMS-HND LEVEL ONE'!K199</f>
        <v>57</v>
      </c>
      <c r="S47" s="120" t="str">
        <f>'FBMS-HND LEVEL ONE'!L199</f>
        <v>C+</v>
      </c>
      <c r="T47" s="119">
        <f>'FBMS-HND LEVEL ONE'!E268</f>
        <v>9</v>
      </c>
      <c r="U47" s="111">
        <f>'FBMS-HND LEVEL ONE'!F268</f>
        <v>20</v>
      </c>
      <c r="V47" s="111">
        <f>'FBMS-HND LEVEL ONE'!J268</f>
        <v>21</v>
      </c>
      <c r="W47" s="111">
        <f>'FBMS-HND LEVEL ONE'!K268</f>
        <v>50</v>
      </c>
      <c r="X47" s="120" t="str">
        <f>'FBMS-HND LEVEL ONE'!L268</f>
        <v>C</v>
      </c>
      <c r="Y47" s="119">
        <f>'FBMS-HND LEVEL ONE'!E340</f>
        <v>10</v>
      </c>
      <c r="Z47" s="111">
        <f>'FBMS-HND LEVEL ONE'!F340</f>
        <v>23</v>
      </c>
      <c r="AA47" s="111">
        <f>'FBMS-HND LEVEL ONE'!J340</f>
        <v>21</v>
      </c>
      <c r="AB47" s="111">
        <f>'FBMS-HND LEVEL ONE'!K340</f>
        <v>54</v>
      </c>
      <c r="AC47" s="120" t="str">
        <f>'FBMS-HND LEVEL ONE'!L340</f>
        <v>C</v>
      </c>
      <c r="AD47" s="119">
        <f>'FBMS-HND LEVEL ONE'!E411</f>
        <v>10</v>
      </c>
      <c r="AE47" s="111">
        <f>'FBMS-HND LEVEL ONE'!F411</f>
        <v>25</v>
      </c>
      <c r="AF47" s="173">
        <f>'FBMS-HND LEVEL ONE'!J411</f>
        <v>10</v>
      </c>
      <c r="AG47" s="173">
        <f>'FBMS-HND LEVEL ONE'!K411</f>
        <v>45</v>
      </c>
      <c r="AH47" s="178" t="str">
        <f>'FBMS-HND LEVEL ONE'!L411</f>
        <v>D+</v>
      </c>
      <c r="AI47" s="119">
        <f>'FBMS-HND LEVEL ONE'!E489</f>
        <v>9</v>
      </c>
      <c r="AJ47" s="111">
        <f>'FBMS-HND LEVEL ONE'!F489</f>
        <v>21</v>
      </c>
      <c r="AK47" s="173">
        <f>'FBMS-HND LEVEL ONE'!J489</f>
        <v>30</v>
      </c>
      <c r="AL47" s="173">
        <f>'FBMS-HND LEVEL ONE'!K489</f>
        <v>60</v>
      </c>
      <c r="AM47" s="178" t="str">
        <f>'FBMS-HND LEVEL ONE'!L489</f>
        <v>B</v>
      </c>
      <c r="AN47" s="119">
        <f>'FBMS-HND LEVEL ONE'!E565</f>
        <v>10</v>
      </c>
      <c r="AO47" s="111">
        <f>'FBMS-HND LEVEL ONE'!F565</f>
        <v>20</v>
      </c>
      <c r="AP47" s="111">
        <f>'FBMS-HND LEVEL ONE'!J565</f>
        <v>0</v>
      </c>
      <c r="AQ47" s="111">
        <f>'FBMS-HND LEVEL ONE'!K565</f>
        <v>30</v>
      </c>
      <c r="AR47" s="120" t="str">
        <f>'FBMS-HND LEVEL ONE'!L565</f>
        <v>F</v>
      </c>
      <c r="AS47" s="121">
        <f>'FBMS-HND LEVEL ONE'!E635</f>
        <v>10</v>
      </c>
      <c r="AT47" s="111">
        <f>'FBMS-HND LEVEL ONE'!F635</f>
        <v>17</v>
      </c>
      <c r="AU47" s="173">
        <f>'FBMS-HND LEVEL ONE'!J635</f>
        <v>34</v>
      </c>
      <c r="AV47" s="173">
        <f>'FBMS-HND LEVEL ONE'!K635</f>
        <v>61</v>
      </c>
      <c r="AW47" s="174" t="str">
        <f>'FBMS-HND LEVEL ONE'!L635</f>
        <v>B</v>
      </c>
      <c r="AX47" s="119">
        <f>'FBMS-HND LEVEL ONE'!E706</f>
        <v>10</v>
      </c>
      <c r="AY47" s="111">
        <f>'FBMS-HND LEVEL ONE'!F706</f>
        <v>20</v>
      </c>
      <c r="AZ47" s="111">
        <f>'FBMS-HND LEVEL ONE'!J706</f>
        <v>28</v>
      </c>
      <c r="BA47" s="111">
        <f>'FBMS-HND LEVEL ONE'!K706</f>
        <v>58</v>
      </c>
      <c r="BB47" s="120" t="str">
        <f>'FBMS-HND LEVEL ONE'!L706</f>
        <v>C+</v>
      </c>
      <c r="BC47" s="121">
        <f>'FBMS-HND LEVEL ONE'!E781</f>
        <v>8</v>
      </c>
      <c r="BD47" s="111">
        <f>'FBMS-HND LEVEL ONE'!F781</f>
        <v>16</v>
      </c>
      <c r="BE47" s="111">
        <f>'FBMS-HND LEVEL ONE'!J781</f>
        <v>40</v>
      </c>
      <c r="BF47" s="111">
        <f>'FBMS-HND LEVEL ONE'!K781</f>
        <v>64</v>
      </c>
      <c r="BG47" s="118" t="str">
        <f>'FBMS-HND LEVEL ONE'!L781</f>
        <v>B</v>
      </c>
      <c r="BH47" s="119">
        <f>'FBMS-HND LEVEL ONE'!E849</f>
        <v>10</v>
      </c>
      <c r="BI47" s="111">
        <f>'FBMS-HND LEVEL ONE'!F849</f>
        <v>22</v>
      </c>
      <c r="BJ47" s="111">
        <f>'FBMS-HND LEVEL ONE'!J849</f>
        <v>13</v>
      </c>
      <c r="BK47" s="111">
        <f>'FBMS-HND LEVEL ONE'!K849</f>
        <v>45</v>
      </c>
      <c r="BL47" s="120" t="str">
        <f>'FBMS-HND LEVEL ONE'!L849</f>
        <v>D+</v>
      </c>
      <c r="BM47" s="119">
        <f>'FBMS-HND LEVEL ONE'!E921</f>
        <v>10</v>
      </c>
      <c r="BN47" s="111">
        <f>'FBMS-HND LEVEL ONE'!F921</f>
        <v>19</v>
      </c>
      <c r="BO47" s="173">
        <f>'FBMS-HND LEVEL ONE'!J921</f>
        <v>43</v>
      </c>
      <c r="BP47" s="173">
        <f>'FBMS-HND LEVEL ONE'!K921</f>
        <v>72</v>
      </c>
      <c r="BQ47" s="178" t="str">
        <f>'FBMS-HND LEVEL ONE'!L921</f>
        <v>B+</v>
      </c>
    </row>
    <row r="48" spans="1:69" ht="12.75" customHeight="1" x14ac:dyDescent="0.3">
      <c r="A48" s="116">
        <v>40</v>
      </c>
      <c r="B48" s="306" t="s">
        <v>465</v>
      </c>
      <c r="C48" s="309" t="s">
        <v>397</v>
      </c>
      <c r="D48" s="306" t="s">
        <v>465</v>
      </c>
      <c r="E48" s="119">
        <f>'FBMS-HND LEVEL ONE'!E51</f>
        <v>9</v>
      </c>
      <c r="F48" s="111">
        <f>'FBMS-HND LEVEL ONE'!F51</f>
        <v>8</v>
      </c>
      <c r="G48" s="111">
        <f>'FBMS-HND LEVEL ONE'!J51</f>
        <v>16</v>
      </c>
      <c r="H48" s="111">
        <f>'FBMS-HND LEVEL ONE'!K51</f>
        <v>33</v>
      </c>
      <c r="I48" s="120" t="str">
        <f>'FBMS-HND LEVEL ONE'!L51</f>
        <v>F</v>
      </c>
      <c r="J48" s="119">
        <f>'FBMS-HND LEVEL ONE'!E120</f>
        <v>9</v>
      </c>
      <c r="K48" s="111">
        <f>'FBMS-HND LEVEL ONE'!F120</f>
        <v>27</v>
      </c>
      <c r="L48" s="111">
        <f>'FBMS-HND LEVEL ONE'!J120</f>
        <v>20</v>
      </c>
      <c r="M48" s="111">
        <f>'FBMS-HND LEVEL ONE'!K120</f>
        <v>56</v>
      </c>
      <c r="N48" s="120" t="str">
        <f>'FBMS-HND LEVEL ONE'!L120</f>
        <v>C+</v>
      </c>
      <c r="O48" s="119">
        <f>'FBMS-HND LEVEL ONE'!E200</f>
        <v>10</v>
      </c>
      <c r="P48" s="111">
        <f>'FBMS-HND LEVEL ONE'!F200</f>
        <v>20</v>
      </c>
      <c r="Q48" s="111">
        <f>'FBMS-HND LEVEL ONE'!J200</f>
        <v>23</v>
      </c>
      <c r="R48" s="111">
        <f>'FBMS-HND LEVEL ONE'!K200</f>
        <v>53</v>
      </c>
      <c r="S48" s="120" t="str">
        <f>'FBMS-HND LEVEL ONE'!L200</f>
        <v>C</v>
      </c>
      <c r="T48" s="119">
        <f>'FBMS-HND LEVEL ONE'!E269</f>
        <v>9</v>
      </c>
      <c r="U48" s="111">
        <f>'FBMS-HND LEVEL ONE'!F269</f>
        <v>12</v>
      </c>
      <c r="V48" s="111">
        <f>'FBMS-HND LEVEL ONE'!J269</f>
        <v>24</v>
      </c>
      <c r="W48" s="111">
        <f>'FBMS-HND LEVEL ONE'!K269</f>
        <v>45</v>
      </c>
      <c r="X48" s="120" t="str">
        <f>'FBMS-HND LEVEL ONE'!L269</f>
        <v>D+</v>
      </c>
      <c r="Y48" s="119">
        <f>'FBMS-HND LEVEL ONE'!E341</f>
        <v>10</v>
      </c>
      <c r="Z48" s="111">
        <f>'FBMS-HND LEVEL ONE'!F341</f>
        <v>11</v>
      </c>
      <c r="AA48" s="111">
        <f>'FBMS-HND LEVEL ONE'!J341</f>
        <v>24</v>
      </c>
      <c r="AB48" s="111">
        <f>'FBMS-HND LEVEL ONE'!K341</f>
        <v>45</v>
      </c>
      <c r="AC48" s="120" t="str">
        <f>'FBMS-HND LEVEL ONE'!L341</f>
        <v>D+</v>
      </c>
      <c r="AD48" s="119">
        <f>'FBMS-HND LEVEL ONE'!E412</f>
        <v>10</v>
      </c>
      <c r="AE48" s="111">
        <f>'FBMS-HND LEVEL ONE'!F412</f>
        <v>22</v>
      </c>
      <c r="AF48" s="173">
        <f>'FBMS-HND LEVEL ONE'!J412</f>
        <v>25</v>
      </c>
      <c r="AG48" s="173">
        <f>'FBMS-HND LEVEL ONE'!K412</f>
        <v>57</v>
      </c>
      <c r="AH48" s="178" t="str">
        <f>'FBMS-HND LEVEL ONE'!L412</f>
        <v>C+</v>
      </c>
      <c r="AI48" s="119">
        <f>'FBMS-HND LEVEL ONE'!E490</f>
        <v>10</v>
      </c>
      <c r="AJ48" s="111">
        <f>'FBMS-HND LEVEL ONE'!F490</f>
        <v>22</v>
      </c>
      <c r="AK48" s="173">
        <f>'FBMS-HND LEVEL ONE'!J490</f>
        <v>23</v>
      </c>
      <c r="AL48" s="173">
        <f>'FBMS-HND LEVEL ONE'!K490</f>
        <v>55</v>
      </c>
      <c r="AM48" s="178" t="str">
        <f>'FBMS-HND LEVEL ONE'!L490</f>
        <v>C+</v>
      </c>
      <c r="AN48" s="119">
        <f>'FBMS-HND LEVEL ONE'!E566</f>
        <v>10</v>
      </c>
      <c r="AO48" s="111">
        <f>'FBMS-HND LEVEL ONE'!F566</f>
        <v>19</v>
      </c>
      <c r="AP48" s="111">
        <f>'FBMS-HND LEVEL ONE'!J566</f>
        <v>22</v>
      </c>
      <c r="AQ48" s="111">
        <f>'FBMS-HND LEVEL ONE'!K566</f>
        <v>51</v>
      </c>
      <c r="AR48" s="120" t="str">
        <f>'FBMS-HND LEVEL ONE'!L566</f>
        <v>C</v>
      </c>
      <c r="AS48" s="121">
        <f>'FBMS-HND LEVEL ONE'!E636</f>
        <v>10</v>
      </c>
      <c r="AT48" s="173">
        <f>'FBMS-HND LEVEL ONE'!F636</f>
        <v>16</v>
      </c>
      <c r="AU48" s="173">
        <f>'FBMS-HND LEVEL ONE'!J636</f>
        <v>41</v>
      </c>
      <c r="AV48" s="173">
        <f>'FBMS-HND LEVEL ONE'!K636</f>
        <v>67</v>
      </c>
      <c r="AW48" s="174" t="str">
        <f>'FBMS-HND LEVEL ONE'!L636</f>
        <v>B</v>
      </c>
      <c r="AX48" s="119">
        <f>'FBMS-HND LEVEL ONE'!E707</f>
        <v>10</v>
      </c>
      <c r="AY48" s="111">
        <f>'FBMS-HND LEVEL ONE'!F707</f>
        <v>27</v>
      </c>
      <c r="AZ48" s="111">
        <f>'FBMS-HND LEVEL ONE'!J707</f>
        <v>33</v>
      </c>
      <c r="BA48" s="111">
        <f>'FBMS-HND LEVEL ONE'!K707</f>
        <v>70</v>
      </c>
      <c r="BB48" s="120" t="str">
        <f>'FBMS-HND LEVEL ONE'!L707</f>
        <v>B+</v>
      </c>
      <c r="BC48" s="121">
        <f>'FBMS-HND LEVEL ONE'!E782</f>
        <v>8</v>
      </c>
      <c r="BD48" s="111">
        <f>'FBMS-HND LEVEL ONE'!F782</f>
        <v>27</v>
      </c>
      <c r="BE48" s="111">
        <f>'FBMS-HND LEVEL ONE'!J782</f>
        <v>7</v>
      </c>
      <c r="BF48" s="111">
        <f>'FBMS-HND LEVEL ONE'!K782</f>
        <v>42</v>
      </c>
      <c r="BG48" s="118" t="str">
        <f>'FBMS-HND LEVEL ONE'!L782</f>
        <v>D</v>
      </c>
      <c r="BH48" s="252">
        <f>'FBMS-HND LEVEL ONE'!E850</f>
        <v>10</v>
      </c>
      <c r="BI48" s="111">
        <f>'FBMS-HND LEVEL ONE'!F850</f>
        <v>19</v>
      </c>
      <c r="BJ48" s="111">
        <f>'FBMS-HND LEVEL ONE'!J850</f>
        <v>32</v>
      </c>
      <c r="BK48" s="111">
        <f>'FBMS-HND LEVEL ONE'!K850</f>
        <v>61</v>
      </c>
      <c r="BL48" s="120" t="str">
        <f>'FBMS-HND LEVEL ONE'!L850</f>
        <v>B</v>
      </c>
      <c r="BM48" s="119">
        <f>'FBMS-HND LEVEL ONE'!E922</f>
        <v>9</v>
      </c>
      <c r="BN48" s="111">
        <f>'FBMS-HND LEVEL ONE'!F922</f>
        <v>19</v>
      </c>
      <c r="BO48" s="173">
        <f>'FBMS-HND LEVEL ONE'!J922</f>
        <v>41</v>
      </c>
      <c r="BP48" s="173">
        <f>'FBMS-HND LEVEL ONE'!K922</f>
        <v>69</v>
      </c>
      <c r="BQ48" s="178" t="str">
        <f>'FBMS-HND LEVEL ONE'!L922</f>
        <v>B</v>
      </c>
    </row>
    <row r="49" spans="1:69" ht="12.75" customHeight="1" x14ac:dyDescent="0.3">
      <c r="A49" s="109">
        <v>41</v>
      </c>
      <c r="B49" s="306" t="s">
        <v>466</v>
      </c>
      <c r="C49" s="307" t="s">
        <v>398</v>
      </c>
      <c r="D49" s="306" t="s">
        <v>466</v>
      </c>
      <c r="E49" s="119">
        <f>'FBMS-HND LEVEL ONE'!E52</f>
        <v>9</v>
      </c>
      <c r="F49" s="111">
        <f>'FBMS-HND LEVEL ONE'!F52</f>
        <v>16</v>
      </c>
      <c r="G49" s="111">
        <f>'FBMS-HND LEVEL ONE'!J52</f>
        <v>30</v>
      </c>
      <c r="H49" s="111">
        <f>'FBMS-HND LEVEL ONE'!K52</f>
        <v>55</v>
      </c>
      <c r="I49" s="120" t="str">
        <f>'FBMS-HND LEVEL ONE'!L52</f>
        <v>C+</v>
      </c>
      <c r="J49" s="119">
        <f>'FBMS-HND LEVEL ONE'!E121</f>
        <v>9</v>
      </c>
      <c r="K49" s="111">
        <f>'FBMS-HND LEVEL ONE'!F121</f>
        <v>26</v>
      </c>
      <c r="L49" s="111">
        <f>'FBMS-HND LEVEL ONE'!J121</f>
        <v>26</v>
      </c>
      <c r="M49" s="111">
        <f>'FBMS-HND LEVEL ONE'!K121</f>
        <v>61</v>
      </c>
      <c r="N49" s="120" t="str">
        <f>'FBMS-HND LEVEL ONE'!L121</f>
        <v>B</v>
      </c>
      <c r="O49" s="119">
        <f>'FBMS-HND LEVEL ONE'!E201</f>
        <v>8</v>
      </c>
      <c r="P49" s="111">
        <f>'FBMS-HND LEVEL ONE'!F201</f>
        <v>12</v>
      </c>
      <c r="Q49" s="111">
        <f>'FBMS-HND LEVEL ONE'!J201</f>
        <v>24</v>
      </c>
      <c r="R49" s="111">
        <f>'FBMS-HND LEVEL ONE'!K201</f>
        <v>44</v>
      </c>
      <c r="S49" s="120" t="str">
        <f>'FBMS-HND LEVEL ONE'!L201</f>
        <v>D</v>
      </c>
      <c r="T49" s="119">
        <f>'FBMS-HND LEVEL ONE'!E270</f>
        <v>13</v>
      </c>
      <c r="U49" s="111">
        <f>'FBMS-HND LEVEL ONE'!F270</f>
        <v>23</v>
      </c>
      <c r="V49" s="111">
        <f>'FBMS-HND LEVEL ONE'!J270</f>
        <v>22</v>
      </c>
      <c r="W49" s="111">
        <f>'FBMS-HND LEVEL ONE'!K270</f>
        <v>58</v>
      </c>
      <c r="X49" s="120" t="str">
        <f>'FBMS-HND LEVEL ONE'!L270</f>
        <v>C+</v>
      </c>
      <c r="Y49" s="119">
        <f>'FBMS-HND LEVEL ONE'!E342</f>
        <v>9</v>
      </c>
      <c r="Z49" s="111">
        <f>'FBMS-HND LEVEL ONE'!F342</f>
        <v>7</v>
      </c>
      <c r="AA49" s="111">
        <f>'FBMS-HND LEVEL ONE'!J342</f>
        <v>15</v>
      </c>
      <c r="AB49" s="111">
        <f>'FBMS-HND LEVEL ONE'!K342</f>
        <v>31</v>
      </c>
      <c r="AC49" s="120" t="str">
        <f>'FBMS-HND LEVEL ONE'!L342</f>
        <v>F</v>
      </c>
      <c r="AD49" s="119">
        <f>'FBMS-HND LEVEL ONE'!E413</f>
        <v>9</v>
      </c>
      <c r="AE49" s="111">
        <f>'FBMS-HND LEVEL ONE'!F413</f>
        <v>27</v>
      </c>
      <c r="AF49" s="173">
        <f>'FBMS-HND LEVEL ONE'!J413</f>
        <v>14</v>
      </c>
      <c r="AG49" s="173">
        <f>'FBMS-HND LEVEL ONE'!K413</f>
        <v>50</v>
      </c>
      <c r="AH49" s="178" t="str">
        <f>'FBMS-HND LEVEL ONE'!L413</f>
        <v>C</v>
      </c>
      <c r="AI49" s="119">
        <f>'FBMS-HND LEVEL ONE'!E491</f>
        <v>10</v>
      </c>
      <c r="AJ49" s="111">
        <f>'FBMS-HND LEVEL ONE'!F491</f>
        <v>20</v>
      </c>
      <c r="AK49" s="173">
        <f>'FBMS-HND LEVEL ONE'!J491</f>
        <v>22</v>
      </c>
      <c r="AL49" s="173">
        <f>'FBMS-HND LEVEL ONE'!K491</f>
        <v>52</v>
      </c>
      <c r="AM49" s="178" t="str">
        <f>'FBMS-HND LEVEL ONE'!L491</f>
        <v>C</v>
      </c>
      <c r="AN49" s="119">
        <f>'FBMS-HND LEVEL ONE'!E567</f>
        <v>10</v>
      </c>
      <c r="AO49" s="111">
        <f>'FBMS-HND LEVEL ONE'!F567</f>
        <v>18</v>
      </c>
      <c r="AP49" s="111">
        <f>'FBMS-HND LEVEL ONE'!J567</f>
        <v>5</v>
      </c>
      <c r="AQ49" s="111">
        <f>'FBMS-HND LEVEL ONE'!K567</f>
        <v>33</v>
      </c>
      <c r="AR49" s="120" t="str">
        <f>'FBMS-HND LEVEL ONE'!L567</f>
        <v>F</v>
      </c>
      <c r="AS49" s="121">
        <f>'FBMS-HND LEVEL ONE'!E637</f>
        <v>10</v>
      </c>
      <c r="AT49" s="111">
        <f>'FBMS-HND LEVEL ONE'!F637</f>
        <v>15</v>
      </c>
      <c r="AU49" s="173">
        <f>'FBMS-HND LEVEL ONE'!J637</f>
        <v>21</v>
      </c>
      <c r="AV49" s="173">
        <f>'FBMS-HND LEVEL ONE'!K637</f>
        <v>46</v>
      </c>
      <c r="AW49" s="174" t="str">
        <f>'FBMS-HND LEVEL ONE'!L637</f>
        <v>D+</v>
      </c>
      <c r="AX49" s="119">
        <f>'FBMS-HND LEVEL ONE'!E708</f>
        <v>9</v>
      </c>
      <c r="AY49" s="111">
        <f>'FBMS-HND LEVEL ONE'!F708</f>
        <v>16</v>
      </c>
      <c r="AZ49" s="111">
        <f>'FBMS-HND LEVEL ONE'!J708</f>
        <v>7</v>
      </c>
      <c r="BA49" s="111">
        <f>'FBMS-HND LEVEL ONE'!K708</f>
        <v>32</v>
      </c>
      <c r="BB49" s="120" t="str">
        <f>'FBMS-HND LEVEL ONE'!L708</f>
        <v>F</v>
      </c>
      <c r="BC49" s="121">
        <f>'FBMS-HND LEVEL ONE'!E783</f>
        <v>8</v>
      </c>
      <c r="BD49" s="111">
        <f>'FBMS-HND LEVEL ONE'!F783</f>
        <v>21</v>
      </c>
      <c r="BE49" s="111">
        <f>'FBMS-HND LEVEL ONE'!J783</f>
        <v>24</v>
      </c>
      <c r="BF49" s="111">
        <f>'FBMS-HND LEVEL ONE'!K783</f>
        <v>53</v>
      </c>
      <c r="BG49" s="118" t="str">
        <f>'FBMS-HND LEVEL ONE'!L783</f>
        <v>C</v>
      </c>
      <c r="BH49" s="119">
        <f>'FBMS-HND LEVEL ONE'!E851</f>
        <v>10</v>
      </c>
      <c r="BI49" s="111">
        <f>'FBMS-HND LEVEL ONE'!F851</f>
        <v>24</v>
      </c>
      <c r="BJ49" s="111">
        <f>'FBMS-HND LEVEL ONE'!J851</f>
        <v>1</v>
      </c>
      <c r="BK49" s="111">
        <f>'FBMS-HND LEVEL ONE'!K851</f>
        <v>35</v>
      </c>
      <c r="BL49" s="120" t="str">
        <f>'FBMS-HND LEVEL ONE'!L851</f>
        <v>F</v>
      </c>
      <c r="BM49" s="119">
        <f>'FBMS-HND LEVEL ONE'!E923</f>
        <v>10</v>
      </c>
      <c r="BN49" s="111">
        <f>'FBMS-HND LEVEL ONE'!F923</f>
        <v>7</v>
      </c>
      <c r="BO49" s="173">
        <f>'FBMS-HND LEVEL ONE'!J923</f>
        <v>36</v>
      </c>
      <c r="BP49" s="173">
        <f>'FBMS-HND LEVEL ONE'!K923</f>
        <v>53</v>
      </c>
      <c r="BQ49" s="178" t="str">
        <f>'FBMS-HND LEVEL ONE'!L923</f>
        <v>C</v>
      </c>
    </row>
    <row r="50" spans="1:69" ht="12.75" customHeight="1" x14ac:dyDescent="0.3">
      <c r="A50" s="116">
        <v>42</v>
      </c>
      <c r="B50" s="306" t="s">
        <v>467</v>
      </c>
      <c r="C50" s="307" t="s">
        <v>399</v>
      </c>
      <c r="D50" s="306" t="s">
        <v>467</v>
      </c>
      <c r="E50" s="119">
        <f>'FBMS-HND LEVEL ONE'!E53</f>
        <v>10</v>
      </c>
      <c r="F50" s="111">
        <f>'FBMS-HND LEVEL ONE'!F53</f>
        <v>15</v>
      </c>
      <c r="G50" s="111">
        <f>'FBMS-HND LEVEL ONE'!J53</f>
        <v>60</v>
      </c>
      <c r="H50" s="111">
        <f>'FBMS-HND LEVEL ONE'!K53</f>
        <v>85</v>
      </c>
      <c r="I50" s="120" t="str">
        <f>'FBMS-HND LEVEL ONE'!L53</f>
        <v>A</v>
      </c>
      <c r="J50" s="119">
        <f>'FBMS-HND LEVEL ONE'!E122</f>
        <v>10</v>
      </c>
      <c r="K50" s="111">
        <f>'FBMS-HND LEVEL ONE'!F122</f>
        <v>22</v>
      </c>
      <c r="L50" s="111">
        <f>'FBMS-HND LEVEL ONE'!J122</f>
        <v>37</v>
      </c>
      <c r="M50" s="111">
        <f>'FBMS-HND LEVEL ONE'!K122</f>
        <v>69</v>
      </c>
      <c r="N50" s="120" t="str">
        <f>'FBMS-HND LEVEL ONE'!L122</f>
        <v>B</v>
      </c>
      <c r="O50" s="119">
        <f>'FBMS-HND LEVEL ONE'!E202</f>
        <v>10</v>
      </c>
      <c r="P50" s="111">
        <f>'FBMS-HND LEVEL ONE'!F202</f>
        <v>21</v>
      </c>
      <c r="Q50" s="111">
        <f>'FBMS-HND LEVEL ONE'!J202</f>
        <v>37</v>
      </c>
      <c r="R50" s="111">
        <f>'FBMS-HND LEVEL ONE'!K202</f>
        <v>68</v>
      </c>
      <c r="S50" s="120" t="str">
        <f>'FBMS-HND LEVEL ONE'!L202</f>
        <v>B</v>
      </c>
      <c r="T50" s="119">
        <f>'FBMS-HND LEVEL ONE'!E271</f>
        <v>10</v>
      </c>
      <c r="U50" s="111">
        <f>'FBMS-HND LEVEL ONE'!F271</f>
        <v>20</v>
      </c>
      <c r="V50" s="111">
        <f>'FBMS-HND LEVEL ONE'!J271</f>
        <v>37</v>
      </c>
      <c r="W50" s="111">
        <f>'FBMS-HND LEVEL ONE'!K271</f>
        <v>67</v>
      </c>
      <c r="X50" s="120" t="str">
        <f>'FBMS-HND LEVEL ONE'!L271</f>
        <v>B</v>
      </c>
      <c r="Y50" s="119">
        <f>'FBMS-HND LEVEL ONE'!E343</f>
        <v>10</v>
      </c>
      <c r="Z50" s="111">
        <f>'FBMS-HND LEVEL ONE'!F343</f>
        <v>17</v>
      </c>
      <c r="AA50" s="111">
        <f>'FBMS-HND LEVEL ONE'!J343</f>
        <v>32</v>
      </c>
      <c r="AB50" s="111">
        <f>'FBMS-HND LEVEL ONE'!K343</f>
        <v>59</v>
      </c>
      <c r="AC50" s="120" t="str">
        <f>'FBMS-HND LEVEL ONE'!L343</f>
        <v>C+</v>
      </c>
      <c r="AD50" s="119">
        <f>'FBMS-HND LEVEL ONE'!E414</f>
        <v>10</v>
      </c>
      <c r="AE50" s="111">
        <f>'FBMS-HND LEVEL ONE'!F414</f>
        <v>20</v>
      </c>
      <c r="AF50" s="173">
        <f>'FBMS-HND LEVEL ONE'!J414</f>
        <v>20</v>
      </c>
      <c r="AG50" s="173">
        <f>'FBMS-HND LEVEL ONE'!K414</f>
        <v>50</v>
      </c>
      <c r="AH50" s="178" t="str">
        <f>'FBMS-HND LEVEL ONE'!L414</f>
        <v>C</v>
      </c>
      <c r="AI50" s="119">
        <f>'FBMS-HND LEVEL ONE'!E492</f>
        <v>10</v>
      </c>
      <c r="AJ50" s="111">
        <f>'FBMS-HND LEVEL ONE'!F492</f>
        <v>22</v>
      </c>
      <c r="AK50" s="173">
        <f>'FBMS-HND LEVEL ONE'!J492</f>
        <v>40</v>
      </c>
      <c r="AL50" s="173">
        <f>'FBMS-HND LEVEL ONE'!K492</f>
        <v>72</v>
      </c>
      <c r="AM50" s="178" t="str">
        <f>'FBMS-HND LEVEL ONE'!L492</f>
        <v>B+</v>
      </c>
      <c r="AN50" s="119">
        <f>'FBMS-HND LEVEL ONE'!E568</f>
        <v>10</v>
      </c>
      <c r="AO50" s="111">
        <f>'FBMS-HND LEVEL ONE'!F568</f>
        <v>18</v>
      </c>
      <c r="AP50" s="111">
        <f>'FBMS-HND LEVEL ONE'!J568</f>
        <v>31</v>
      </c>
      <c r="AQ50" s="111">
        <f>'FBMS-HND LEVEL ONE'!K568</f>
        <v>59</v>
      </c>
      <c r="AR50" s="120" t="str">
        <f>'FBMS-HND LEVEL ONE'!L568</f>
        <v>C+</v>
      </c>
      <c r="AS50" s="121">
        <f>'FBMS-HND LEVEL ONE'!E638</f>
        <v>10</v>
      </c>
      <c r="AT50" s="111">
        <f>'FBMS-HND LEVEL ONE'!F638</f>
        <v>16</v>
      </c>
      <c r="AU50" s="173">
        <f>'FBMS-HND LEVEL ONE'!J638</f>
        <v>31</v>
      </c>
      <c r="AV50" s="173">
        <f>'FBMS-HND LEVEL ONE'!K638</f>
        <v>57</v>
      </c>
      <c r="AW50" s="174" t="str">
        <f>'FBMS-HND LEVEL ONE'!L638</f>
        <v>C+</v>
      </c>
      <c r="AX50" s="119">
        <f>'FBMS-HND LEVEL ONE'!E709</f>
        <v>10</v>
      </c>
      <c r="AY50" s="111">
        <f>'FBMS-HND LEVEL ONE'!F709</f>
        <v>24</v>
      </c>
      <c r="AZ50" s="111">
        <f>'FBMS-HND LEVEL ONE'!J709</f>
        <v>41</v>
      </c>
      <c r="BA50" s="111">
        <f>'FBMS-HND LEVEL ONE'!K709</f>
        <v>75</v>
      </c>
      <c r="BB50" s="120" t="str">
        <f>'FBMS-HND LEVEL ONE'!L709</f>
        <v>B+</v>
      </c>
      <c r="BC50" s="121">
        <f>'FBMS-HND LEVEL ONE'!E784</f>
        <v>8</v>
      </c>
      <c r="BD50" s="111">
        <f>'FBMS-HND LEVEL ONE'!F784</f>
        <v>20</v>
      </c>
      <c r="BE50" s="111">
        <f>'FBMS-HND LEVEL ONE'!J784</f>
        <v>33</v>
      </c>
      <c r="BF50" s="111">
        <f>'FBMS-HND LEVEL ONE'!K784</f>
        <v>61</v>
      </c>
      <c r="BG50" s="118" t="str">
        <f>'FBMS-HND LEVEL ONE'!L784</f>
        <v>B</v>
      </c>
      <c r="BH50" s="119">
        <f>'FBMS-HND LEVEL ONE'!E852</f>
        <v>9</v>
      </c>
      <c r="BI50" s="111">
        <f>'FBMS-HND LEVEL ONE'!F852</f>
        <v>20</v>
      </c>
      <c r="BJ50" s="111">
        <f>'FBMS-HND LEVEL ONE'!J852</f>
        <v>41</v>
      </c>
      <c r="BK50" s="111">
        <f>'FBMS-HND LEVEL ONE'!K852</f>
        <v>70</v>
      </c>
      <c r="BL50" s="120" t="str">
        <f>'FBMS-HND LEVEL ONE'!L852</f>
        <v>B+</v>
      </c>
      <c r="BM50" s="119">
        <f>'FBMS-HND LEVEL ONE'!E924</f>
        <v>10</v>
      </c>
      <c r="BN50" s="111">
        <f>'FBMS-HND LEVEL ONE'!F924</f>
        <v>20</v>
      </c>
      <c r="BO50" s="173">
        <f>'FBMS-HND LEVEL ONE'!J924</f>
        <v>40</v>
      </c>
      <c r="BP50" s="173">
        <f>'FBMS-HND LEVEL ONE'!K924</f>
        <v>70</v>
      </c>
      <c r="BQ50" s="178" t="str">
        <f>'FBMS-HND LEVEL ONE'!L924</f>
        <v>B+</v>
      </c>
    </row>
    <row r="51" spans="1:69" ht="15.75" customHeight="1" x14ac:dyDescent="0.3">
      <c r="A51" s="109">
        <v>43</v>
      </c>
      <c r="B51" s="306" t="s">
        <v>468</v>
      </c>
      <c r="C51" s="383" t="s">
        <v>552</v>
      </c>
      <c r="D51" s="306" t="s">
        <v>468</v>
      </c>
      <c r="E51" s="119">
        <f>'FBMS-HND LEVEL ONE'!E54</f>
        <v>8</v>
      </c>
      <c r="F51" s="111">
        <f>'FBMS-HND LEVEL ONE'!F54</f>
        <v>15</v>
      </c>
      <c r="G51" s="111">
        <f>'FBMS-HND LEVEL ONE'!J54</f>
        <v>2</v>
      </c>
      <c r="H51" s="111">
        <f>'FBMS-HND LEVEL ONE'!K54</f>
        <v>25</v>
      </c>
      <c r="I51" s="120" t="str">
        <f>'FBMS-HND LEVEL ONE'!L54</f>
        <v>F</v>
      </c>
      <c r="J51" s="119">
        <f>'FBMS-HND LEVEL ONE'!E123</f>
        <v>8</v>
      </c>
      <c r="K51" s="111">
        <f>'FBMS-HND LEVEL ONE'!F123</f>
        <v>24</v>
      </c>
      <c r="L51" s="111">
        <f>'FBMS-HND LEVEL ONE'!J123</f>
        <v>25</v>
      </c>
      <c r="M51" s="111">
        <f>'FBMS-HND LEVEL ONE'!K123</f>
        <v>57</v>
      </c>
      <c r="N51" s="120" t="str">
        <f>'FBMS-HND LEVEL ONE'!L123</f>
        <v>C+</v>
      </c>
      <c r="O51" s="119">
        <f>'FBMS-HND LEVEL ONE'!E203</f>
        <v>9</v>
      </c>
      <c r="P51" s="111">
        <f>'FBMS-HND LEVEL ONE'!F203</f>
        <v>22</v>
      </c>
      <c r="Q51" s="111">
        <f>'FBMS-HND LEVEL ONE'!J203</f>
        <v>16</v>
      </c>
      <c r="R51" s="111">
        <f>'FBMS-HND LEVEL ONE'!K203</f>
        <v>47</v>
      </c>
      <c r="S51" s="120" t="str">
        <f>'FBMS-HND LEVEL ONE'!L203</f>
        <v>D+</v>
      </c>
      <c r="T51" s="119">
        <f>'FBMS-HND LEVEL ONE'!E272</f>
        <v>9</v>
      </c>
      <c r="U51" s="111">
        <f>'FBMS-HND LEVEL ONE'!F272</f>
        <v>24</v>
      </c>
      <c r="V51" s="111">
        <f>'FBMS-HND LEVEL ONE'!J272</f>
        <v>33</v>
      </c>
      <c r="W51" s="111">
        <f>'FBMS-HND LEVEL ONE'!K272</f>
        <v>66</v>
      </c>
      <c r="X51" s="120" t="str">
        <f>'FBMS-HND LEVEL ONE'!L272</f>
        <v>B</v>
      </c>
      <c r="Y51" s="119">
        <f>'FBMS-HND LEVEL ONE'!E344</f>
        <v>10</v>
      </c>
      <c r="Z51" s="111">
        <f>'FBMS-HND LEVEL ONE'!F344</f>
        <v>11</v>
      </c>
      <c r="AA51" s="111">
        <f>'FBMS-HND LEVEL ONE'!J344</f>
        <v>20</v>
      </c>
      <c r="AB51" s="111">
        <f>'FBMS-HND LEVEL ONE'!K344</f>
        <v>41</v>
      </c>
      <c r="AC51" s="120" t="str">
        <f>'FBMS-HND LEVEL ONE'!L344</f>
        <v>D</v>
      </c>
      <c r="AD51" s="119">
        <f>'FBMS-HND LEVEL ONE'!E415</f>
        <v>10</v>
      </c>
      <c r="AE51" s="111">
        <f>'FBMS-HND LEVEL ONE'!F415</f>
        <v>24</v>
      </c>
      <c r="AF51" s="173">
        <f>'FBMS-HND LEVEL ONE'!J415</f>
        <v>37</v>
      </c>
      <c r="AG51" s="173">
        <f>'FBMS-HND LEVEL ONE'!K415</f>
        <v>71</v>
      </c>
      <c r="AH51" s="178" t="str">
        <f>'FBMS-HND LEVEL ONE'!L415</f>
        <v>B+</v>
      </c>
      <c r="AI51" s="119">
        <f>'FBMS-HND LEVEL ONE'!E493</f>
        <v>10</v>
      </c>
      <c r="AJ51" s="111">
        <f>'FBMS-HND LEVEL ONE'!F493</f>
        <v>23</v>
      </c>
      <c r="AK51" s="173">
        <f>'FBMS-HND LEVEL ONE'!J493</f>
        <v>21</v>
      </c>
      <c r="AL51" s="173">
        <f>'FBMS-HND LEVEL ONE'!K493</f>
        <v>54</v>
      </c>
      <c r="AM51" s="178" t="str">
        <f>'FBMS-HND LEVEL ONE'!L493</f>
        <v>C</v>
      </c>
      <c r="AN51" s="119">
        <f>'FBMS-HND LEVEL ONE'!E569</f>
        <v>10</v>
      </c>
      <c r="AO51" s="111">
        <f>'FBMS-HND LEVEL ONE'!F569</f>
        <v>28.5</v>
      </c>
      <c r="AP51" s="111">
        <f>'FBMS-HND LEVEL ONE'!J569</f>
        <v>22</v>
      </c>
      <c r="AQ51" s="111">
        <f>'FBMS-HND LEVEL ONE'!K569</f>
        <v>60.5</v>
      </c>
      <c r="AR51" s="120" t="str">
        <f>'FBMS-HND LEVEL ONE'!L569</f>
        <v>B</v>
      </c>
      <c r="AS51" s="121">
        <f>'FBMS-HND LEVEL ONE'!E639</f>
        <v>10</v>
      </c>
      <c r="AT51" s="111">
        <f>'FBMS-HND LEVEL ONE'!F639</f>
        <v>17</v>
      </c>
      <c r="AU51" s="173">
        <f>'FBMS-HND LEVEL ONE'!J639</f>
        <v>33</v>
      </c>
      <c r="AV51" s="173">
        <f>'FBMS-HND LEVEL ONE'!K639</f>
        <v>60</v>
      </c>
      <c r="AW51" s="174" t="str">
        <f>'FBMS-HND LEVEL ONE'!L639</f>
        <v>B</v>
      </c>
      <c r="AX51" s="119">
        <f>'FBMS-HND LEVEL ONE'!E710</f>
        <v>10</v>
      </c>
      <c r="AY51" s="111">
        <f>'FBMS-HND LEVEL ONE'!F710</f>
        <v>13</v>
      </c>
      <c r="AZ51" s="111">
        <f>'FBMS-HND LEVEL ONE'!J710</f>
        <v>28</v>
      </c>
      <c r="BA51" s="111">
        <f>'FBMS-HND LEVEL ONE'!K710</f>
        <v>51</v>
      </c>
      <c r="BB51" s="120" t="str">
        <f>'FBMS-HND LEVEL ONE'!L710</f>
        <v>C</v>
      </c>
      <c r="BC51" s="121">
        <f>'FBMS-HND LEVEL ONE'!E785</f>
        <v>8</v>
      </c>
      <c r="BD51" s="111">
        <f>'FBMS-HND LEVEL ONE'!F785</f>
        <v>10</v>
      </c>
      <c r="BE51" s="111">
        <f>'FBMS-HND LEVEL ONE'!J785</f>
        <v>42</v>
      </c>
      <c r="BF51" s="111">
        <f>'FBMS-HND LEVEL ONE'!K785</f>
        <v>60</v>
      </c>
      <c r="BG51" s="118" t="str">
        <f>'FBMS-HND LEVEL ONE'!L785</f>
        <v>B</v>
      </c>
      <c r="BH51" s="119">
        <f>'FBMS-HND LEVEL ONE'!E853</f>
        <v>10</v>
      </c>
      <c r="BI51" s="111">
        <f>'FBMS-HND LEVEL ONE'!F853</f>
        <v>21</v>
      </c>
      <c r="BJ51" s="111">
        <f>'FBMS-HND LEVEL ONE'!J853</f>
        <v>24</v>
      </c>
      <c r="BK51" s="111">
        <f>'FBMS-HND LEVEL ONE'!K853</f>
        <v>55</v>
      </c>
      <c r="BL51" s="120" t="str">
        <f>'FBMS-HND LEVEL ONE'!L853</f>
        <v>C+</v>
      </c>
      <c r="BM51" s="119">
        <f>'FBMS-HND LEVEL ONE'!E925</f>
        <v>10</v>
      </c>
      <c r="BN51" s="111">
        <f>'FBMS-HND LEVEL ONE'!F925</f>
        <v>10</v>
      </c>
      <c r="BO51" s="173">
        <f>'FBMS-HND LEVEL ONE'!J925</f>
        <v>42</v>
      </c>
      <c r="BP51" s="173">
        <f>'FBMS-HND LEVEL ONE'!K925</f>
        <v>62</v>
      </c>
      <c r="BQ51" s="178" t="str">
        <f>'FBMS-HND LEVEL ONE'!L925</f>
        <v>B</v>
      </c>
    </row>
    <row r="52" spans="1:69" ht="12.75" customHeight="1" x14ac:dyDescent="0.3">
      <c r="A52" s="116">
        <v>44</v>
      </c>
      <c r="B52" s="306" t="s">
        <v>469</v>
      </c>
      <c r="C52" s="308" t="s">
        <v>400</v>
      </c>
      <c r="D52" s="306" t="s">
        <v>469</v>
      </c>
      <c r="E52" s="119">
        <f>'FBMS-HND LEVEL ONE'!E55</f>
        <v>9</v>
      </c>
      <c r="F52" s="111">
        <f>'FBMS-HND LEVEL ONE'!F55</f>
        <v>23</v>
      </c>
      <c r="G52" s="111">
        <f>'FBMS-HND LEVEL ONE'!J55</f>
        <v>18</v>
      </c>
      <c r="H52" s="111">
        <f>'FBMS-HND LEVEL ONE'!K55</f>
        <v>50</v>
      </c>
      <c r="I52" s="120" t="str">
        <f>'FBMS-HND LEVEL ONE'!L55</f>
        <v>C</v>
      </c>
      <c r="J52" s="119">
        <f>'FBMS-HND LEVEL ONE'!E124</f>
        <v>9</v>
      </c>
      <c r="K52" s="111">
        <f>'FBMS-HND LEVEL ONE'!F124</f>
        <v>25</v>
      </c>
      <c r="L52" s="111">
        <f>'FBMS-HND LEVEL ONE'!J124</f>
        <v>18</v>
      </c>
      <c r="M52" s="111">
        <f>'FBMS-HND LEVEL ONE'!K124</f>
        <v>52</v>
      </c>
      <c r="N52" s="120" t="str">
        <f>'FBMS-HND LEVEL ONE'!L124</f>
        <v>C</v>
      </c>
      <c r="O52" s="119">
        <f>'FBMS-HND LEVEL ONE'!E204</f>
        <v>9</v>
      </c>
      <c r="P52" s="111">
        <f>'FBMS-HND LEVEL ONE'!F204</f>
        <v>27</v>
      </c>
      <c r="Q52" s="111">
        <f>'FBMS-HND LEVEL ONE'!J204</f>
        <v>14</v>
      </c>
      <c r="R52" s="111">
        <f>'FBMS-HND LEVEL ONE'!K204</f>
        <v>50</v>
      </c>
      <c r="S52" s="120" t="str">
        <f>'FBMS-HND LEVEL ONE'!L204</f>
        <v>C</v>
      </c>
      <c r="T52" s="119">
        <f>'FBMS-HND LEVEL ONE'!E273</f>
        <v>10</v>
      </c>
      <c r="U52" s="111">
        <f>'FBMS-HND LEVEL ONE'!F273</f>
        <v>15</v>
      </c>
      <c r="V52" s="111" t="str">
        <f>'FBMS-HND LEVEL ONE'!J273</f>
        <v>ABS</v>
      </c>
      <c r="W52" s="111">
        <f>'FBMS-HND LEVEL ONE'!K273</f>
        <v>0</v>
      </c>
      <c r="X52" s="120">
        <f>'FBMS-HND LEVEL ONE'!L273</f>
        <v>0</v>
      </c>
      <c r="Y52" s="119">
        <f>'FBMS-HND LEVEL ONE'!E345</f>
        <v>8</v>
      </c>
      <c r="Z52" s="111">
        <f>'FBMS-HND LEVEL ONE'!F345</f>
        <v>8</v>
      </c>
      <c r="AA52" s="111">
        <f>'FBMS-HND LEVEL ONE'!J345</f>
        <v>5</v>
      </c>
      <c r="AB52" s="111">
        <f>'FBMS-HND LEVEL ONE'!K345</f>
        <v>21</v>
      </c>
      <c r="AC52" s="120" t="str">
        <f>'FBMS-HND LEVEL ONE'!L345</f>
        <v>F</v>
      </c>
      <c r="AD52" s="119">
        <f>'FBMS-HND LEVEL ONE'!E416</f>
        <v>10</v>
      </c>
      <c r="AE52" s="111">
        <f>'FBMS-HND LEVEL ONE'!F416</f>
        <v>24</v>
      </c>
      <c r="AF52" s="173">
        <f>'FBMS-HND LEVEL ONE'!J416</f>
        <v>16</v>
      </c>
      <c r="AG52" s="173">
        <f>'FBMS-HND LEVEL ONE'!K416</f>
        <v>50</v>
      </c>
      <c r="AH52" s="178" t="str">
        <f>'FBMS-HND LEVEL ONE'!L416</f>
        <v>C</v>
      </c>
      <c r="AI52" s="119">
        <f>'FBMS-HND LEVEL ONE'!E494</f>
        <v>10</v>
      </c>
      <c r="AJ52" s="111">
        <f>'FBMS-HND LEVEL ONE'!F494</f>
        <v>23</v>
      </c>
      <c r="AK52" s="173">
        <f>'FBMS-HND LEVEL ONE'!J494</f>
        <v>21</v>
      </c>
      <c r="AL52" s="173">
        <f>'FBMS-HND LEVEL ONE'!K494</f>
        <v>54</v>
      </c>
      <c r="AM52" s="178" t="str">
        <f>'FBMS-HND LEVEL ONE'!L494</f>
        <v>C</v>
      </c>
      <c r="AN52" s="119">
        <f>'FBMS-HND LEVEL ONE'!E570</f>
        <v>9</v>
      </c>
      <c r="AO52" s="111">
        <f>'FBMS-HND LEVEL ONE'!F570</f>
        <v>26.5</v>
      </c>
      <c r="AP52" s="111">
        <f>'FBMS-HND LEVEL ONE'!J570</f>
        <v>18</v>
      </c>
      <c r="AQ52" s="111">
        <f>'FBMS-HND LEVEL ONE'!K570</f>
        <v>53.5</v>
      </c>
      <c r="AR52" s="120" t="str">
        <f>'FBMS-HND LEVEL ONE'!L570</f>
        <v>C</v>
      </c>
      <c r="AS52" s="121">
        <f>'FBMS-HND LEVEL ONE'!E640</f>
        <v>10</v>
      </c>
      <c r="AT52" s="173">
        <f>'FBMS-HND LEVEL ONE'!F640</f>
        <v>15</v>
      </c>
      <c r="AU52" s="173">
        <f>'FBMS-HND LEVEL ONE'!J640</f>
        <v>28</v>
      </c>
      <c r="AV52" s="173">
        <f>'FBMS-HND LEVEL ONE'!K640</f>
        <v>53</v>
      </c>
      <c r="AW52" s="174" t="str">
        <f>'FBMS-HND LEVEL ONE'!L640</f>
        <v>C</v>
      </c>
      <c r="AX52" s="119">
        <f>'FBMS-HND LEVEL ONE'!E711</f>
        <v>8</v>
      </c>
      <c r="AY52" s="111">
        <f>'FBMS-HND LEVEL ONE'!F711</f>
        <v>23</v>
      </c>
      <c r="AZ52" s="111">
        <f>'FBMS-HND LEVEL ONE'!J711</f>
        <v>29</v>
      </c>
      <c r="BA52" s="111">
        <f>'FBMS-HND LEVEL ONE'!K711</f>
        <v>60</v>
      </c>
      <c r="BB52" s="120" t="str">
        <f>'FBMS-HND LEVEL ONE'!L711</f>
        <v>B</v>
      </c>
      <c r="BC52" s="121">
        <f>'FBMS-HND LEVEL ONE'!E786</f>
        <v>8</v>
      </c>
      <c r="BD52" s="111">
        <f>'FBMS-HND LEVEL ONE'!F786</f>
        <v>19</v>
      </c>
      <c r="BE52" s="111">
        <f>'FBMS-HND LEVEL ONE'!J786</f>
        <v>42</v>
      </c>
      <c r="BF52" s="111">
        <f>'FBMS-HND LEVEL ONE'!K786</f>
        <v>69</v>
      </c>
      <c r="BG52" s="118" t="str">
        <f>'FBMS-HND LEVEL ONE'!L786</f>
        <v>B</v>
      </c>
      <c r="BH52" s="252">
        <f>'FBMS-HND LEVEL ONE'!E854</f>
        <v>10</v>
      </c>
      <c r="BI52" s="111">
        <f>'FBMS-HND LEVEL ONE'!F854</f>
        <v>24</v>
      </c>
      <c r="BJ52" s="111">
        <f>'FBMS-HND LEVEL ONE'!J854</f>
        <v>25</v>
      </c>
      <c r="BK52" s="111">
        <f>'FBMS-HND LEVEL ONE'!K854</f>
        <v>59</v>
      </c>
      <c r="BL52" s="120" t="str">
        <f>'FBMS-HND LEVEL ONE'!L854</f>
        <v>C+</v>
      </c>
      <c r="BM52" s="119">
        <f>'FBMS-HND LEVEL ONE'!E926</f>
        <v>9</v>
      </c>
      <c r="BN52" s="111">
        <f>'FBMS-HND LEVEL ONE'!F926</f>
        <v>20</v>
      </c>
      <c r="BO52" s="173">
        <f>'FBMS-HND LEVEL ONE'!J926</f>
        <v>41</v>
      </c>
      <c r="BP52" s="173">
        <f>'FBMS-HND LEVEL ONE'!K926</f>
        <v>70</v>
      </c>
      <c r="BQ52" s="178" t="str">
        <f>'FBMS-HND LEVEL ONE'!L926</f>
        <v>B+</v>
      </c>
    </row>
    <row r="53" spans="1:69" ht="12.75" customHeight="1" x14ac:dyDescent="0.3">
      <c r="A53" s="109">
        <v>45</v>
      </c>
      <c r="B53" s="306" t="s">
        <v>470</v>
      </c>
      <c r="C53" s="307" t="s">
        <v>401</v>
      </c>
      <c r="D53" s="306" t="s">
        <v>470</v>
      </c>
      <c r="E53" s="119">
        <f>'FBMS-HND LEVEL ONE'!E56</f>
        <v>10</v>
      </c>
      <c r="F53" s="111">
        <f>'FBMS-HND LEVEL ONE'!F56</f>
        <v>22</v>
      </c>
      <c r="G53" s="111">
        <f>'FBMS-HND LEVEL ONE'!J56</f>
        <v>48</v>
      </c>
      <c r="H53" s="111">
        <f>'FBMS-HND LEVEL ONE'!K56</f>
        <v>80</v>
      </c>
      <c r="I53" s="120" t="str">
        <f>'FBMS-HND LEVEL ONE'!L56</f>
        <v>A</v>
      </c>
      <c r="J53" s="119">
        <f>'FBMS-HND LEVEL ONE'!E125</f>
        <v>10</v>
      </c>
      <c r="K53" s="111">
        <f>'FBMS-HND LEVEL ONE'!F125</f>
        <v>26</v>
      </c>
      <c r="L53" s="111">
        <f>'FBMS-HND LEVEL ONE'!J125</f>
        <v>21</v>
      </c>
      <c r="M53" s="111">
        <f>'FBMS-HND LEVEL ONE'!K125</f>
        <v>57</v>
      </c>
      <c r="N53" s="120" t="str">
        <f>'FBMS-HND LEVEL ONE'!L125</f>
        <v>C+</v>
      </c>
      <c r="O53" s="119">
        <f>'FBMS-HND LEVEL ONE'!E205</f>
        <v>10</v>
      </c>
      <c r="P53" s="111">
        <f>'FBMS-HND LEVEL ONE'!F205</f>
        <v>28</v>
      </c>
      <c r="Q53" s="111">
        <f>'FBMS-HND LEVEL ONE'!J205</f>
        <v>13</v>
      </c>
      <c r="R53" s="111">
        <f>'FBMS-HND LEVEL ONE'!K205</f>
        <v>51</v>
      </c>
      <c r="S53" s="120" t="str">
        <f>'FBMS-HND LEVEL ONE'!L205</f>
        <v>C</v>
      </c>
      <c r="T53" s="119">
        <f>'FBMS-HND LEVEL ONE'!E274</f>
        <v>8</v>
      </c>
      <c r="U53" s="111">
        <f>'FBMS-HND LEVEL ONE'!F274</f>
        <v>23</v>
      </c>
      <c r="V53" s="111">
        <f>'FBMS-HND LEVEL ONE'!J274</f>
        <v>31</v>
      </c>
      <c r="W53" s="111">
        <f>'FBMS-HND LEVEL ONE'!K274</f>
        <v>62</v>
      </c>
      <c r="X53" s="120" t="str">
        <f>'FBMS-HND LEVEL ONE'!L274</f>
        <v>B</v>
      </c>
      <c r="Y53" s="119">
        <f>'FBMS-HND LEVEL ONE'!E346</f>
        <v>10</v>
      </c>
      <c r="Z53" s="111">
        <f>'FBMS-HND LEVEL ONE'!F346</f>
        <v>10</v>
      </c>
      <c r="AA53" s="111">
        <f>'FBMS-HND LEVEL ONE'!J346</f>
        <v>17</v>
      </c>
      <c r="AB53" s="111">
        <f>'FBMS-HND LEVEL ONE'!K346</f>
        <v>37</v>
      </c>
      <c r="AC53" s="120" t="str">
        <f>'FBMS-HND LEVEL ONE'!L346</f>
        <v>F</v>
      </c>
      <c r="AD53" s="119">
        <f>'FBMS-HND LEVEL ONE'!E417</f>
        <v>9</v>
      </c>
      <c r="AE53" s="111">
        <f>'FBMS-HND LEVEL ONE'!F417</f>
        <v>19.5</v>
      </c>
      <c r="AF53" s="173">
        <f>'FBMS-HND LEVEL ONE'!J417</f>
        <v>26</v>
      </c>
      <c r="AG53" s="173">
        <f>'FBMS-HND LEVEL ONE'!K417</f>
        <v>54.5</v>
      </c>
      <c r="AH53" s="178" t="str">
        <f>'FBMS-HND LEVEL ONE'!L417</f>
        <v>C</v>
      </c>
      <c r="AI53" s="119">
        <f>'FBMS-HND LEVEL ONE'!E495</f>
        <v>9</v>
      </c>
      <c r="AJ53" s="111">
        <f>'FBMS-HND LEVEL ONE'!F495</f>
        <v>21</v>
      </c>
      <c r="AK53" s="173">
        <f>'FBMS-HND LEVEL ONE'!J495</f>
        <v>23</v>
      </c>
      <c r="AL53" s="173">
        <f>'FBMS-HND LEVEL ONE'!K495</f>
        <v>53</v>
      </c>
      <c r="AM53" s="178" t="str">
        <f>'FBMS-HND LEVEL ONE'!L495</f>
        <v>C</v>
      </c>
      <c r="AN53" s="119">
        <f>'FBMS-HND LEVEL ONE'!E571</f>
        <v>10</v>
      </c>
      <c r="AO53" s="111">
        <f>'FBMS-HND LEVEL ONE'!F571</f>
        <v>24</v>
      </c>
      <c r="AP53" s="111">
        <f>'FBMS-HND LEVEL ONE'!J571</f>
        <v>22</v>
      </c>
      <c r="AQ53" s="111">
        <f>'FBMS-HND LEVEL ONE'!K571</f>
        <v>56</v>
      </c>
      <c r="AR53" s="120" t="str">
        <f>'FBMS-HND LEVEL ONE'!L571</f>
        <v>C+</v>
      </c>
      <c r="AS53" s="121">
        <f>'FBMS-HND LEVEL ONE'!E641</f>
        <v>10</v>
      </c>
      <c r="AT53" s="173">
        <f>'FBMS-HND LEVEL ONE'!F641</f>
        <v>17</v>
      </c>
      <c r="AU53" s="173">
        <f>'FBMS-HND LEVEL ONE'!J641</f>
        <v>36</v>
      </c>
      <c r="AV53" s="173">
        <f>'FBMS-HND LEVEL ONE'!K641</f>
        <v>63</v>
      </c>
      <c r="AW53" s="174" t="str">
        <f>'FBMS-HND LEVEL ONE'!L641</f>
        <v>B</v>
      </c>
      <c r="AX53" s="119">
        <f>'FBMS-HND LEVEL ONE'!E712</f>
        <v>10</v>
      </c>
      <c r="AY53" s="111">
        <f>'FBMS-HND LEVEL ONE'!F712</f>
        <v>18</v>
      </c>
      <c r="AZ53" s="111">
        <f>'FBMS-HND LEVEL ONE'!J712</f>
        <v>25</v>
      </c>
      <c r="BA53" s="111">
        <f>'FBMS-HND LEVEL ONE'!K712</f>
        <v>53</v>
      </c>
      <c r="BB53" s="120" t="str">
        <f>'FBMS-HND LEVEL ONE'!L712</f>
        <v>C</v>
      </c>
      <c r="BC53" s="121">
        <f>'FBMS-HND LEVEL ONE'!E787</f>
        <v>8</v>
      </c>
      <c r="BD53" s="111">
        <f>'FBMS-HND LEVEL ONE'!F787</f>
        <v>22</v>
      </c>
      <c r="BE53" s="111">
        <f>'FBMS-HND LEVEL ONE'!J787</f>
        <v>36</v>
      </c>
      <c r="BF53" s="111">
        <f>'FBMS-HND LEVEL ONE'!K787</f>
        <v>66</v>
      </c>
      <c r="BG53" s="118" t="str">
        <f>'FBMS-HND LEVEL ONE'!L787</f>
        <v>B</v>
      </c>
      <c r="BH53" s="119">
        <f>'FBMS-HND LEVEL ONE'!E855</f>
        <v>10</v>
      </c>
      <c r="BI53" s="111">
        <f>'FBMS-HND LEVEL ONE'!F855</f>
        <v>19</v>
      </c>
      <c r="BJ53" s="111">
        <f>'FBMS-HND LEVEL ONE'!J855</f>
        <v>5</v>
      </c>
      <c r="BK53" s="111">
        <f>'FBMS-HND LEVEL ONE'!K855</f>
        <v>34</v>
      </c>
      <c r="BL53" s="120" t="str">
        <f>'FBMS-HND LEVEL ONE'!L855</f>
        <v>F</v>
      </c>
      <c r="BM53" s="119">
        <f>'FBMS-HND LEVEL ONE'!E927</f>
        <v>8</v>
      </c>
      <c r="BN53" s="111">
        <f>'FBMS-HND LEVEL ONE'!F927</f>
        <v>19</v>
      </c>
      <c r="BO53" s="173">
        <f>'FBMS-HND LEVEL ONE'!J927</f>
        <v>35</v>
      </c>
      <c r="BP53" s="173">
        <f>'FBMS-HND LEVEL ONE'!K927</f>
        <v>62</v>
      </c>
      <c r="BQ53" s="178" t="str">
        <f>'FBMS-HND LEVEL ONE'!L927</f>
        <v>B</v>
      </c>
    </row>
    <row r="54" spans="1:69" ht="12.75" customHeight="1" x14ac:dyDescent="0.3">
      <c r="A54" s="116">
        <v>46</v>
      </c>
      <c r="B54" s="306" t="s">
        <v>471</v>
      </c>
      <c r="C54" s="307" t="s">
        <v>402</v>
      </c>
      <c r="D54" s="306" t="s">
        <v>471</v>
      </c>
      <c r="E54" s="119">
        <f>'FBMS-HND LEVEL ONE'!E57</f>
        <v>10</v>
      </c>
      <c r="F54" s="111">
        <f>'FBMS-HND LEVEL ONE'!F57</f>
        <v>21</v>
      </c>
      <c r="G54" s="111">
        <f>'FBMS-HND LEVEL ONE'!J57</f>
        <v>41</v>
      </c>
      <c r="H54" s="111">
        <f>'FBMS-HND LEVEL ONE'!K57</f>
        <v>72</v>
      </c>
      <c r="I54" s="120" t="str">
        <f>'FBMS-HND LEVEL ONE'!L57</f>
        <v>B+</v>
      </c>
      <c r="J54" s="119">
        <f>'FBMS-HND LEVEL ONE'!E126</f>
        <v>10</v>
      </c>
      <c r="K54" s="111">
        <f>'FBMS-HND LEVEL ONE'!F126</f>
        <v>23</v>
      </c>
      <c r="L54" s="111">
        <f>'FBMS-HND LEVEL ONE'!J126</f>
        <v>34</v>
      </c>
      <c r="M54" s="111">
        <f>'FBMS-HND LEVEL ONE'!K126</f>
        <v>67</v>
      </c>
      <c r="N54" s="120" t="str">
        <f>'FBMS-HND LEVEL ONE'!L126</f>
        <v>B</v>
      </c>
      <c r="O54" s="119">
        <f>'FBMS-HND LEVEL ONE'!E206</f>
        <v>10</v>
      </c>
      <c r="P54" s="111">
        <f>'FBMS-HND LEVEL ONE'!F206</f>
        <v>28</v>
      </c>
      <c r="Q54" s="111">
        <f>'FBMS-HND LEVEL ONE'!J206</f>
        <v>28</v>
      </c>
      <c r="R54" s="111">
        <f>'FBMS-HND LEVEL ONE'!K206</f>
        <v>66</v>
      </c>
      <c r="S54" s="120" t="str">
        <f>'FBMS-HND LEVEL ONE'!L206</f>
        <v>B</v>
      </c>
      <c r="T54" s="119" t="str">
        <f>'FBMS-HND LEVEL ONE'!E275</f>
        <v>x</v>
      </c>
      <c r="U54" s="111" t="str">
        <f>'FBMS-HND LEVEL ONE'!F275</f>
        <v>x</v>
      </c>
      <c r="V54" s="111" t="str">
        <f>'FBMS-HND LEVEL ONE'!J275</f>
        <v>ABS</v>
      </c>
      <c r="W54" s="111">
        <f>'FBMS-HND LEVEL ONE'!K275</f>
        <v>0</v>
      </c>
      <c r="X54" s="120">
        <f>'FBMS-HND LEVEL ONE'!L275</f>
        <v>0</v>
      </c>
      <c r="Y54" s="119">
        <f>'FBMS-HND LEVEL ONE'!E347</f>
        <v>10</v>
      </c>
      <c r="Z54" s="111">
        <f>'FBMS-HND LEVEL ONE'!F347</f>
        <v>16</v>
      </c>
      <c r="AA54" s="111">
        <f>'FBMS-HND LEVEL ONE'!J347</f>
        <v>30</v>
      </c>
      <c r="AB54" s="111">
        <f>'FBMS-HND LEVEL ONE'!K347</f>
        <v>56</v>
      </c>
      <c r="AC54" s="120" t="str">
        <f>'FBMS-HND LEVEL ONE'!L347</f>
        <v>C+</v>
      </c>
      <c r="AD54" s="119">
        <f>'FBMS-HND LEVEL ONE'!E418</f>
        <v>9</v>
      </c>
      <c r="AE54" s="111">
        <f>'FBMS-HND LEVEL ONE'!F418</f>
        <v>17</v>
      </c>
      <c r="AF54" s="173">
        <f>'FBMS-HND LEVEL ONE'!J418</f>
        <v>24</v>
      </c>
      <c r="AG54" s="173">
        <f>'FBMS-HND LEVEL ONE'!K418</f>
        <v>50</v>
      </c>
      <c r="AH54" s="178" t="str">
        <f>'FBMS-HND LEVEL ONE'!L418</f>
        <v>C</v>
      </c>
      <c r="AI54" s="119">
        <f>'FBMS-HND LEVEL ONE'!E496</f>
        <v>10</v>
      </c>
      <c r="AJ54" s="111">
        <f>'FBMS-HND LEVEL ONE'!F496</f>
        <v>18</v>
      </c>
      <c r="AK54" s="173">
        <f>'FBMS-HND LEVEL ONE'!J496</f>
        <v>23</v>
      </c>
      <c r="AL54" s="173">
        <f>'FBMS-HND LEVEL ONE'!K496</f>
        <v>51</v>
      </c>
      <c r="AM54" s="178" t="str">
        <f>'FBMS-HND LEVEL ONE'!L496</f>
        <v>C</v>
      </c>
      <c r="AN54" s="119">
        <f>'FBMS-HND LEVEL ONE'!E572</f>
        <v>10</v>
      </c>
      <c r="AO54" s="111">
        <f>'FBMS-HND LEVEL ONE'!F572</f>
        <v>19</v>
      </c>
      <c r="AP54" s="111">
        <f>'FBMS-HND LEVEL ONE'!J572</f>
        <v>31</v>
      </c>
      <c r="AQ54" s="111">
        <f>'FBMS-HND LEVEL ONE'!K572</f>
        <v>60</v>
      </c>
      <c r="AR54" s="120" t="str">
        <f>'FBMS-HND LEVEL ONE'!L572</f>
        <v>B</v>
      </c>
      <c r="AS54" s="121">
        <f>'FBMS-HND LEVEL ONE'!E642</f>
        <v>10</v>
      </c>
      <c r="AT54" s="173">
        <f>'FBMS-HND LEVEL ONE'!F642</f>
        <v>9</v>
      </c>
      <c r="AU54" s="173">
        <f>'FBMS-HND LEVEL ONE'!J642</f>
        <v>31</v>
      </c>
      <c r="AV54" s="173">
        <f>'FBMS-HND LEVEL ONE'!K642</f>
        <v>50</v>
      </c>
      <c r="AW54" s="174" t="str">
        <f>'FBMS-HND LEVEL ONE'!L642</f>
        <v>C</v>
      </c>
      <c r="AX54" s="119">
        <f>'FBMS-HND LEVEL ONE'!E713</f>
        <v>9</v>
      </c>
      <c r="AY54" s="111">
        <f>'FBMS-HND LEVEL ONE'!F713</f>
        <v>11</v>
      </c>
      <c r="AZ54" s="111">
        <f>'FBMS-HND LEVEL ONE'!J713</f>
        <v>5</v>
      </c>
      <c r="BA54" s="111">
        <f>'FBMS-HND LEVEL ONE'!K713</f>
        <v>25</v>
      </c>
      <c r="BB54" s="120" t="str">
        <f>'FBMS-HND LEVEL ONE'!L713</f>
        <v>F</v>
      </c>
      <c r="BC54" s="121">
        <f>'FBMS-HND LEVEL ONE'!E788</f>
        <v>8</v>
      </c>
      <c r="BD54" s="111">
        <f>'FBMS-HND LEVEL ONE'!F788</f>
        <v>14</v>
      </c>
      <c r="BE54" s="111">
        <f>'FBMS-HND LEVEL ONE'!J788</f>
        <v>44</v>
      </c>
      <c r="BF54" s="111">
        <f>'FBMS-HND LEVEL ONE'!K788</f>
        <v>66</v>
      </c>
      <c r="BG54" s="118" t="str">
        <f>'FBMS-HND LEVEL ONE'!L788</f>
        <v>B</v>
      </c>
      <c r="BH54" s="119">
        <f>'FBMS-HND LEVEL ONE'!E856</f>
        <v>10</v>
      </c>
      <c r="BI54" s="111">
        <f>'FBMS-HND LEVEL ONE'!F856</f>
        <v>24</v>
      </c>
      <c r="BJ54" s="111">
        <f>'FBMS-HND LEVEL ONE'!J856</f>
        <v>34</v>
      </c>
      <c r="BK54" s="111">
        <f>'FBMS-HND LEVEL ONE'!K856</f>
        <v>68</v>
      </c>
      <c r="BL54" s="120" t="str">
        <f>'FBMS-HND LEVEL ONE'!L856</f>
        <v>B</v>
      </c>
      <c r="BM54" s="119">
        <f>'FBMS-HND LEVEL ONE'!E928</f>
        <v>9</v>
      </c>
      <c r="BN54" s="111">
        <f>'FBMS-HND LEVEL ONE'!F928</f>
        <v>12</v>
      </c>
      <c r="BO54" s="173">
        <f>'FBMS-HND LEVEL ONE'!J928</f>
        <v>42</v>
      </c>
      <c r="BP54" s="173">
        <f>'FBMS-HND LEVEL ONE'!K928</f>
        <v>63</v>
      </c>
      <c r="BQ54" s="178" t="str">
        <f>'FBMS-HND LEVEL ONE'!L928</f>
        <v>B</v>
      </c>
    </row>
    <row r="55" spans="1:69" ht="12.75" customHeight="1" x14ac:dyDescent="0.3">
      <c r="A55" s="109">
        <v>47</v>
      </c>
      <c r="B55" s="306" t="s">
        <v>472</v>
      </c>
      <c r="C55" s="12" t="s">
        <v>403</v>
      </c>
      <c r="D55" s="306" t="s">
        <v>472</v>
      </c>
      <c r="E55" s="119">
        <f>'FBMS-HND LEVEL ONE'!E58</f>
        <v>9</v>
      </c>
      <c r="F55" s="111">
        <f>'FBMS-HND LEVEL ONE'!F58</f>
        <v>19</v>
      </c>
      <c r="G55" s="111">
        <f>'FBMS-HND LEVEL ONE'!J58</f>
        <v>30</v>
      </c>
      <c r="H55" s="111">
        <f>'FBMS-HND LEVEL ONE'!K58</f>
        <v>58</v>
      </c>
      <c r="I55" s="120" t="str">
        <f>'FBMS-HND LEVEL ONE'!L58</f>
        <v>C+</v>
      </c>
      <c r="J55" s="119">
        <f>'FBMS-HND LEVEL ONE'!E127</f>
        <v>9</v>
      </c>
      <c r="K55" s="111">
        <f>'FBMS-HND LEVEL ONE'!F127</f>
        <v>21</v>
      </c>
      <c r="L55" s="111">
        <f>'FBMS-HND LEVEL ONE'!J127</f>
        <v>30</v>
      </c>
      <c r="M55" s="111">
        <f>'FBMS-HND LEVEL ONE'!K127</f>
        <v>60</v>
      </c>
      <c r="N55" s="120" t="str">
        <f>'FBMS-HND LEVEL ONE'!L127</f>
        <v>B</v>
      </c>
      <c r="O55" s="119">
        <f>'FBMS-HND LEVEL ONE'!E207</f>
        <v>9</v>
      </c>
      <c r="P55" s="111">
        <f>'FBMS-HND LEVEL ONE'!F207</f>
        <v>22.5</v>
      </c>
      <c r="Q55" s="111">
        <f>'FBMS-HND LEVEL ONE'!J207</f>
        <v>24</v>
      </c>
      <c r="R55" s="111">
        <f>'FBMS-HND LEVEL ONE'!K207</f>
        <v>55.5</v>
      </c>
      <c r="S55" s="120" t="str">
        <f>'FBMS-HND LEVEL ONE'!L207</f>
        <v>C+</v>
      </c>
      <c r="T55" s="119">
        <f>'FBMS-HND LEVEL ONE'!E276</f>
        <v>9</v>
      </c>
      <c r="U55" s="111">
        <f>'FBMS-HND LEVEL ONE'!F276</f>
        <v>14</v>
      </c>
      <c r="V55" s="111">
        <f>'FBMS-HND LEVEL ONE'!J276</f>
        <v>31</v>
      </c>
      <c r="W55" s="111">
        <f>'FBMS-HND LEVEL ONE'!K276</f>
        <v>54</v>
      </c>
      <c r="X55" s="120" t="str">
        <f>'FBMS-HND LEVEL ONE'!L276</f>
        <v>C</v>
      </c>
      <c r="Y55" s="119">
        <f>'FBMS-HND LEVEL ONE'!E348</f>
        <v>10</v>
      </c>
      <c r="Z55" s="111">
        <f>'FBMS-HND LEVEL ONE'!F348</f>
        <v>12</v>
      </c>
      <c r="AA55" s="111">
        <f>'FBMS-HND LEVEL ONE'!J348</f>
        <v>18</v>
      </c>
      <c r="AB55" s="111">
        <f>'FBMS-HND LEVEL ONE'!K348</f>
        <v>40</v>
      </c>
      <c r="AC55" s="120" t="str">
        <f>'FBMS-HND LEVEL ONE'!L348</f>
        <v>D</v>
      </c>
      <c r="AD55" s="119">
        <f>'FBMS-HND LEVEL ONE'!E419</f>
        <v>10</v>
      </c>
      <c r="AE55" s="111">
        <f>'FBMS-HND LEVEL ONE'!F419</f>
        <v>20</v>
      </c>
      <c r="AF55" s="173">
        <f>'FBMS-HND LEVEL ONE'!J419</f>
        <v>25</v>
      </c>
      <c r="AG55" s="173">
        <f>'FBMS-HND LEVEL ONE'!K419</f>
        <v>55</v>
      </c>
      <c r="AH55" s="178" t="str">
        <f>'FBMS-HND LEVEL ONE'!L419</f>
        <v>C+</v>
      </c>
      <c r="AI55" s="119">
        <f>'FBMS-HND LEVEL ONE'!E497</f>
        <v>10</v>
      </c>
      <c r="AJ55" s="111">
        <f>'FBMS-HND LEVEL ONE'!F497</f>
        <v>20</v>
      </c>
      <c r="AK55" s="173">
        <f>'FBMS-HND LEVEL ONE'!J497</f>
        <v>21</v>
      </c>
      <c r="AL55" s="173">
        <f>'FBMS-HND LEVEL ONE'!K497</f>
        <v>51</v>
      </c>
      <c r="AM55" s="178" t="str">
        <f>'FBMS-HND LEVEL ONE'!L497</f>
        <v>C</v>
      </c>
      <c r="AN55" s="119">
        <f>'FBMS-HND LEVEL ONE'!E573</f>
        <v>9</v>
      </c>
      <c r="AO55" s="111">
        <f>'FBMS-HND LEVEL ONE'!F573</f>
        <v>16.5</v>
      </c>
      <c r="AP55" s="111">
        <f>'FBMS-HND LEVEL ONE'!J573</f>
        <v>35</v>
      </c>
      <c r="AQ55" s="111">
        <f>'FBMS-HND LEVEL ONE'!K573</f>
        <v>60.5</v>
      </c>
      <c r="AR55" s="120" t="str">
        <f>'FBMS-HND LEVEL ONE'!L573</f>
        <v>B</v>
      </c>
      <c r="AS55" s="121">
        <f>'FBMS-HND LEVEL ONE'!E643</f>
        <v>10</v>
      </c>
      <c r="AT55" s="111">
        <f>'FBMS-HND LEVEL ONE'!F643</f>
        <v>17</v>
      </c>
      <c r="AU55" s="173">
        <f>'FBMS-HND LEVEL ONE'!J643</f>
        <v>28</v>
      </c>
      <c r="AV55" s="173">
        <f>'FBMS-HND LEVEL ONE'!K643</f>
        <v>55</v>
      </c>
      <c r="AW55" s="174" t="str">
        <f>'FBMS-HND LEVEL ONE'!L643</f>
        <v>C+</v>
      </c>
      <c r="AX55" s="119">
        <f>'FBMS-HND LEVEL ONE'!E714</f>
        <v>9</v>
      </c>
      <c r="AY55" s="111">
        <f>'FBMS-HND LEVEL ONE'!F714</f>
        <v>17</v>
      </c>
      <c r="AZ55" s="111">
        <f>'FBMS-HND LEVEL ONE'!J714</f>
        <v>12</v>
      </c>
      <c r="BA55" s="111">
        <f>'FBMS-HND LEVEL ONE'!K714</f>
        <v>38</v>
      </c>
      <c r="BB55" s="120" t="str">
        <f>'FBMS-HND LEVEL ONE'!L714</f>
        <v>F</v>
      </c>
      <c r="BC55" s="121">
        <f>'FBMS-HND LEVEL ONE'!E789</f>
        <v>8</v>
      </c>
      <c r="BD55" s="111">
        <f>'FBMS-HND LEVEL ONE'!F789</f>
        <v>16</v>
      </c>
      <c r="BE55" s="111">
        <f>'FBMS-HND LEVEL ONE'!J789</f>
        <v>15</v>
      </c>
      <c r="BF55" s="111">
        <f>'FBMS-HND LEVEL ONE'!K789</f>
        <v>39</v>
      </c>
      <c r="BG55" s="118" t="str">
        <f>'FBMS-HND LEVEL ONE'!L789</f>
        <v>F</v>
      </c>
      <c r="BH55" s="252">
        <f>'FBMS-HND LEVEL ONE'!E857</f>
        <v>10</v>
      </c>
      <c r="BI55" s="111">
        <f>'FBMS-HND LEVEL ONE'!F857</f>
        <v>20</v>
      </c>
      <c r="BJ55" s="111">
        <f>'FBMS-HND LEVEL ONE'!J857</f>
        <v>31</v>
      </c>
      <c r="BK55" s="111">
        <f>'FBMS-HND LEVEL ONE'!K857</f>
        <v>61</v>
      </c>
      <c r="BL55" s="120" t="str">
        <f>'FBMS-HND LEVEL ONE'!L857</f>
        <v>B</v>
      </c>
      <c r="BM55" s="119">
        <f>'FBMS-HND LEVEL ONE'!E929</f>
        <v>10</v>
      </c>
      <c r="BN55" s="111">
        <f>'FBMS-HND LEVEL ONE'!F929</f>
        <v>18</v>
      </c>
      <c r="BO55" s="173">
        <f>'FBMS-HND LEVEL ONE'!J929</f>
        <v>45</v>
      </c>
      <c r="BP55" s="173">
        <f>'FBMS-HND LEVEL ONE'!K929</f>
        <v>73</v>
      </c>
      <c r="BQ55" s="178" t="str">
        <f>'FBMS-HND LEVEL ONE'!L929</f>
        <v>B+</v>
      </c>
    </row>
    <row r="56" spans="1:69" ht="12.75" customHeight="1" x14ac:dyDescent="0.3">
      <c r="A56" s="116">
        <v>48</v>
      </c>
      <c r="B56" s="12" t="s">
        <v>473</v>
      </c>
      <c r="C56" s="307" t="s">
        <v>404</v>
      </c>
      <c r="D56" s="12" t="s">
        <v>473</v>
      </c>
      <c r="E56" s="119">
        <f>'FBMS-HND LEVEL ONE'!E59</f>
        <v>10</v>
      </c>
      <c r="F56" s="111">
        <f>'FBMS-HND LEVEL ONE'!F59</f>
        <v>24</v>
      </c>
      <c r="G56" s="111">
        <f>'FBMS-HND LEVEL ONE'!J59</f>
        <v>58</v>
      </c>
      <c r="H56" s="111">
        <f>'FBMS-HND LEVEL ONE'!K59</f>
        <v>92</v>
      </c>
      <c r="I56" s="120" t="str">
        <f>'FBMS-HND LEVEL ONE'!L59</f>
        <v>A</v>
      </c>
      <c r="J56" s="119">
        <f>'FBMS-HND LEVEL ONE'!E128</f>
        <v>10</v>
      </c>
      <c r="K56" s="111">
        <f>'FBMS-HND LEVEL ONE'!F128</f>
        <v>28</v>
      </c>
      <c r="L56" s="111">
        <f>'FBMS-HND LEVEL ONE'!J128</f>
        <v>32</v>
      </c>
      <c r="M56" s="111">
        <f>'FBMS-HND LEVEL ONE'!K128</f>
        <v>70</v>
      </c>
      <c r="N56" s="120" t="str">
        <f>'FBMS-HND LEVEL ONE'!L128</f>
        <v>B+</v>
      </c>
      <c r="O56" s="119">
        <f>'FBMS-HND LEVEL ONE'!E208</f>
        <v>10</v>
      </c>
      <c r="P56" s="111">
        <f>'FBMS-HND LEVEL ONE'!F208</f>
        <v>26</v>
      </c>
      <c r="Q56" s="111">
        <f>'FBMS-HND LEVEL ONE'!J208</f>
        <v>36</v>
      </c>
      <c r="R56" s="111">
        <f>'FBMS-HND LEVEL ONE'!K208</f>
        <v>72</v>
      </c>
      <c r="S56" s="120" t="str">
        <f>'FBMS-HND LEVEL ONE'!L208</f>
        <v>B+</v>
      </c>
      <c r="T56" s="119">
        <f>'FBMS-HND LEVEL ONE'!E277</f>
        <v>10</v>
      </c>
      <c r="U56" s="111">
        <f>'FBMS-HND LEVEL ONE'!F277</f>
        <v>21</v>
      </c>
      <c r="V56" s="111">
        <f>'FBMS-HND LEVEL ONE'!J277</f>
        <v>37</v>
      </c>
      <c r="W56" s="111">
        <f>'FBMS-HND LEVEL ONE'!K277</f>
        <v>68</v>
      </c>
      <c r="X56" s="120" t="str">
        <f>'FBMS-HND LEVEL ONE'!L277</f>
        <v>B</v>
      </c>
      <c r="Y56" s="252">
        <f>'FBMS-HND LEVEL ONE'!E349</f>
        <v>10</v>
      </c>
      <c r="Z56" s="111">
        <f>'FBMS-HND LEVEL ONE'!F349</f>
        <v>23</v>
      </c>
      <c r="AA56" s="111">
        <f>'FBMS-HND LEVEL ONE'!J349</f>
        <v>17</v>
      </c>
      <c r="AB56" s="111">
        <f>'FBMS-HND LEVEL ONE'!K349</f>
        <v>50</v>
      </c>
      <c r="AC56" s="120" t="str">
        <f>'FBMS-HND LEVEL ONE'!L349</f>
        <v>C</v>
      </c>
      <c r="AD56" s="119">
        <f>'FBMS-HND LEVEL ONE'!E420</f>
        <v>10</v>
      </c>
      <c r="AE56" s="111">
        <f>'FBMS-HND LEVEL ONE'!F420</f>
        <v>28</v>
      </c>
      <c r="AF56" s="173">
        <f>'FBMS-HND LEVEL ONE'!J420</f>
        <v>28</v>
      </c>
      <c r="AG56" s="173">
        <f>'FBMS-HND LEVEL ONE'!K420</f>
        <v>66</v>
      </c>
      <c r="AH56" s="178" t="str">
        <f>'FBMS-HND LEVEL ONE'!L420</f>
        <v>B</v>
      </c>
      <c r="AI56" s="119">
        <f>'FBMS-HND LEVEL ONE'!E498</f>
        <v>10</v>
      </c>
      <c r="AJ56" s="111">
        <f>'FBMS-HND LEVEL ONE'!F498</f>
        <v>23</v>
      </c>
      <c r="AK56" s="173">
        <f>'FBMS-HND LEVEL ONE'!J498</f>
        <v>28</v>
      </c>
      <c r="AL56" s="173">
        <f>'FBMS-HND LEVEL ONE'!K498</f>
        <v>61</v>
      </c>
      <c r="AM56" s="178" t="str">
        <f>'FBMS-HND LEVEL ONE'!L498</f>
        <v>B</v>
      </c>
      <c r="AN56" s="119">
        <f>'FBMS-HND LEVEL ONE'!E574</f>
        <v>10</v>
      </c>
      <c r="AO56" s="111">
        <f>'FBMS-HND LEVEL ONE'!F574</f>
        <v>27</v>
      </c>
      <c r="AP56" s="111">
        <f>'FBMS-HND LEVEL ONE'!J574</f>
        <v>26</v>
      </c>
      <c r="AQ56" s="111">
        <f>'FBMS-HND LEVEL ONE'!K574</f>
        <v>63</v>
      </c>
      <c r="AR56" s="120" t="str">
        <f>'FBMS-HND LEVEL ONE'!L574</f>
        <v>B</v>
      </c>
      <c r="AS56" s="121">
        <f>'FBMS-HND LEVEL ONE'!E644</f>
        <v>10</v>
      </c>
      <c r="AT56" s="111">
        <f>'FBMS-HND LEVEL ONE'!F644</f>
        <v>20</v>
      </c>
      <c r="AU56" s="173">
        <f>'FBMS-HND LEVEL ONE'!J644</f>
        <v>51</v>
      </c>
      <c r="AV56" s="173">
        <f>'FBMS-HND LEVEL ONE'!K644</f>
        <v>81</v>
      </c>
      <c r="AW56" s="174" t="str">
        <f>'FBMS-HND LEVEL ONE'!L644</f>
        <v>A</v>
      </c>
      <c r="AX56" s="119">
        <f>'FBMS-HND LEVEL ONE'!E715</f>
        <v>10</v>
      </c>
      <c r="AY56" s="111">
        <f>'FBMS-HND LEVEL ONE'!F715</f>
        <v>27</v>
      </c>
      <c r="AZ56" s="111">
        <f>'FBMS-HND LEVEL ONE'!J715</f>
        <v>30</v>
      </c>
      <c r="BA56" s="111">
        <f>'FBMS-HND LEVEL ONE'!K715</f>
        <v>67</v>
      </c>
      <c r="BB56" s="120" t="str">
        <f>'FBMS-HND LEVEL ONE'!L715</f>
        <v>B</v>
      </c>
      <c r="BC56" s="121">
        <f>'FBMS-HND LEVEL ONE'!E790</f>
        <v>8</v>
      </c>
      <c r="BD56" s="111">
        <f>'FBMS-HND LEVEL ONE'!F790</f>
        <v>18</v>
      </c>
      <c r="BE56" s="111">
        <f>'FBMS-HND LEVEL ONE'!J790</f>
        <v>46</v>
      </c>
      <c r="BF56" s="111">
        <f>'FBMS-HND LEVEL ONE'!K790</f>
        <v>72</v>
      </c>
      <c r="BG56" s="118" t="str">
        <f>'FBMS-HND LEVEL ONE'!L790</f>
        <v>B+</v>
      </c>
      <c r="BH56" s="119">
        <f>'FBMS-HND LEVEL ONE'!E858</f>
        <v>10</v>
      </c>
      <c r="BI56" s="111">
        <f>'FBMS-HND LEVEL ONE'!F858</f>
        <v>22</v>
      </c>
      <c r="BJ56" s="111">
        <f>'FBMS-HND LEVEL ONE'!J858</f>
        <v>18</v>
      </c>
      <c r="BK56" s="111">
        <f>'FBMS-HND LEVEL ONE'!K858</f>
        <v>50</v>
      </c>
      <c r="BL56" s="120" t="str">
        <f>'FBMS-HND LEVEL ONE'!L858</f>
        <v>C</v>
      </c>
      <c r="BM56" s="119">
        <f>'FBMS-HND LEVEL ONE'!E930</f>
        <v>10</v>
      </c>
      <c r="BN56" s="111">
        <f>'FBMS-HND LEVEL ONE'!F930</f>
        <v>19</v>
      </c>
      <c r="BO56" s="173">
        <f>'FBMS-HND LEVEL ONE'!J930</f>
        <v>28</v>
      </c>
      <c r="BP56" s="173">
        <f>'FBMS-HND LEVEL ONE'!K930</f>
        <v>57</v>
      </c>
      <c r="BQ56" s="178" t="str">
        <f>'FBMS-HND LEVEL ONE'!L930</f>
        <v>C+</v>
      </c>
    </row>
    <row r="57" spans="1:69" ht="12.75" customHeight="1" x14ac:dyDescent="0.3">
      <c r="A57" s="109">
        <v>49</v>
      </c>
      <c r="B57" s="12" t="s">
        <v>474</v>
      </c>
      <c r="C57" s="307" t="s">
        <v>405</v>
      </c>
      <c r="D57" s="12" t="s">
        <v>474</v>
      </c>
      <c r="E57" s="119">
        <f>'FBMS-HND LEVEL ONE'!E60</f>
        <v>9</v>
      </c>
      <c r="F57" s="111">
        <f>'FBMS-HND LEVEL ONE'!F60</f>
        <v>21</v>
      </c>
      <c r="G57" s="111">
        <f>'FBMS-HND LEVEL ONE'!J60</f>
        <v>38</v>
      </c>
      <c r="H57" s="111">
        <f>'FBMS-HND LEVEL ONE'!K60</f>
        <v>68</v>
      </c>
      <c r="I57" s="120" t="str">
        <f>'FBMS-HND LEVEL ONE'!L60</f>
        <v>B</v>
      </c>
      <c r="J57" s="119">
        <f>'FBMS-HND LEVEL ONE'!E129</f>
        <v>8</v>
      </c>
      <c r="K57" s="111">
        <f>'FBMS-HND LEVEL ONE'!F129</f>
        <v>26</v>
      </c>
      <c r="L57" s="111">
        <f>'FBMS-HND LEVEL ONE'!J129</f>
        <v>8</v>
      </c>
      <c r="M57" s="111">
        <f>'FBMS-HND LEVEL ONE'!K129</f>
        <v>42</v>
      </c>
      <c r="N57" s="120" t="str">
        <f>'FBMS-HND LEVEL ONE'!L129</f>
        <v>D</v>
      </c>
      <c r="O57" s="119">
        <f>'FBMS-HND LEVEL ONE'!E209</f>
        <v>10</v>
      </c>
      <c r="P57" s="111">
        <f>'FBMS-HND LEVEL ONE'!F209</f>
        <v>23</v>
      </c>
      <c r="Q57" s="111">
        <f>'FBMS-HND LEVEL ONE'!J209</f>
        <v>12</v>
      </c>
      <c r="R57" s="111">
        <f>'FBMS-HND LEVEL ONE'!K209</f>
        <v>45</v>
      </c>
      <c r="S57" s="120" t="str">
        <f>'FBMS-HND LEVEL ONE'!L209</f>
        <v>D+</v>
      </c>
      <c r="T57" s="119">
        <f>'FBMS-HND LEVEL ONE'!E278</f>
        <v>10</v>
      </c>
      <c r="U57" s="111">
        <f>'FBMS-HND LEVEL ONE'!F278</f>
        <v>21</v>
      </c>
      <c r="V57" s="111">
        <f>'FBMS-HND LEVEL ONE'!J278</f>
        <v>19</v>
      </c>
      <c r="W57" s="111">
        <f>'FBMS-HND LEVEL ONE'!K278</f>
        <v>50</v>
      </c>
      <c r="X57" s="120" t="str">
        <f>'FBMS-HND LEVEL ONE'!L278</f>
        <v>C</v>
      </c>
      <c r="Y57" s="119">
        <f>'FBMS-HND LEVEL ONE'!E350</f>
        <v>10</v>
      </c>
      <c r="Z57" s="111">
        <f>'FBMS-HND LEVEL ONE'!F350</f>
        <v>14</v>
      </c>
      <c r="AA57" s="111">
        <f>'FBMS-HND LEVEL ONE'!J350</f>
        <v>12</v>
      </c>
      <c r="AB57" s="111">
        <f>'FBMS-HND LEVEL ONE'!K350</f>
        <v>36</v>
      </c>
      <c r="AC57" s="120" t="str">
        <f>'FBMS-HND LEVEL ONE'!L350</f>
        <v>F</v>
      </c>
      <c r="AD57" s="119">
        <f>'FBMS-HND LEVEL ONE'!E421</f>
        <v>9</v>
      </c>
      <c r="AE57" s="111">
        <f>'FBMS-HND LEVEL ONE'!F421</f>
        <v>20</v>
      </c>
      <c r="AF57" s="173">
        <f>'FBMS-HND LEVEL ONE'!J421</f>
        <v>8</v>
      </c>
      <c r="AG57" s="173">
        <f>'FBMS-HND LEVEL ONE'!K421</f>
        <v>37</v>
      </c>
      <c r="AH57" s="178" t="str">
        <f>'FBMS-HND LEVEL ONE'!L421</f>
        <v>F</v>
      </c>
      <c r="AI57" s="119">
        <f>'FBMS-HND LEVEL ONE'!E499</f>
        <v>10</v>
      </c>
      <c r="AJ57" s="111">
        <f>'FBMS-HND LEVEL ONE'!F499</f>
        <v>16</v>
      </c>
      <c r="AK57" s="173">
        <f>'FBMS-HND LEVEL ONE'!J499</f>
        <v>26</v>
      </c>
      <c r="AL57" s="173">
        <f>'FBMS-HND LEVEL ONE'!K499</f>
        <v>52</v>
      </c>
      <c r="AM57" s="178" t="str">
        <f>'FBMS-HND LEVEL ONE'!L499</f>
        <v>C</v>
      </c>
      <c r="AN57" s="119">
        <f>'FBMS-HND LEVEL ONE'!E575</f>
        <v>10</v>
      </c>
      <c r="AO57" s="111">
        <f>'FBMS-HND LEVEL ONE'!F575</f>
        <v>23</v>
      </c>
      <c r="AP57" s="111">
        <f>'FBMS-HND LEVEL ONE'!J575</f>
        <v>14</v>
      </c>
      <c r="AQ57" s="111">
        <f>'FBMS-HND LEVEL ONE'!K575</f>
        <v>47</v>
      </c>
      <c r="AR57" s="120" t="str">
        <f>'FBMS-HND LEVEL ONE'!L575</f>
        <v>D+</v>
      </c>
      <c r="AS57" s="121">
        <f>'FBMS-HND LEVEL ONE'!E645</f>
        <v>9</v>
      </c>
      <c r="AT57" s="111">
        <f>'FBMS-HND LEVEL ONE'!F645</f>
        <v>11</v>
      </c>
      <c r="AU57" s="173">
        <f>'FBMS-HND LEVEL ONE'!J645</f>
        <v>31</v>
      </c>
      <c r="AV57" s="173">
        <f>'FBMS-HND LEVEL ONE'!K645</f>
        <v>51</v>
      </c>
      <c r="AW57" s="174" t="str">
        <f>'FBMS-HND LEVEL ONE'!L645</f>
        <v>C</v>
      </c>
      <c r="AX57" s="119">
        <f>'FBMS-HND LEVEL ONE'!E716</f>
        <v>0</v>
      </c>
      <c r="AY57" s="111">
        <f>'FBMS-HND LEVEL ONE'!F716</f>
        <v>0</v>
      </c>
      <c r="AZ57" s="111">
        <f>'FBMS-HND LEVEL ONE'!J716</f>
        <v>4</v>
      </c>
      <c r="BA57" s="111">
        <f>'FBMS-HND LEVEL ONE'!K716</f>
        <v>4</v>
      </c>
      <c r="BB57" s="120" t="str">
        <f>'FBMS-HND LEVEL ONE'!L716</f>
        <v>F</v>
      </c>
      <c r="BC57" s="121">
        <f>'FBMS-HND LEVEL ONE'!E791</f>
        <v>8</v>
      </c>
      <c r="BD57" s="111">
        <f>'FBMS-HND LEVEL ONE'!F791</f>
        <v>0</v>
      </c>
      <c r="BE57" s="111">
        <f>'FBMS-HND LEVEL ONE'!J791</f>
        <v>8</v>
      </c>
      <c r="BF57" s="111">
        <f>'FBMS-HND LEVEL ONE'!K791</f>
        <v>16</v>
      </c>
      <c r="BG57" s="118" t="str">
        <f>'FBMS-HND LEVEL ONE'!L791</f>
        <v>F</v>
      </c>
      <c r="BH57" s="119">
        <f>'FBMS-HND LEVEL ONE'!E859</f>
        <v>10</v>
      </c>
      <c r="BI57" s="111">
        <f>'FBMS-HND LEVEL ONE'!F859</f>
        <v>24</v>
      </c>
      <c r="BJ57" s="111">
        <f>'FBMS-HND LEVEL ONE'!J859</f>
        <v>1</v>
      </c>
      <c r="BK57" s="111">
        <f>'FBMS-HND LEVEL ONE'!K859</f>
        <v>35</v>
      </c>
      <c r="BL57" s="120" t="str">
        <f>'FBMS-HND LEVEL ONE'!L859</f>
        <v>F</v>
      </c>
      <c r="BM57" s="119">
        <f>'FBMS-HND LEVEL ONE'!E931</f>
        <v>8</v>
      </c>
      <c r="BN57" s="111">
        <f>'FBMS-HND LEVEL ONE'!F931</f>
        <v>7</v>
      </c>
      <c r="BO57" s="173">
        <f>'FBMS-HND LEVEL ONE'!J931</f>
        <v>37</v>
      </c>
      <c r="BP57" s="173">
        <f>'FBMS-HND LEVEL ONE'!K931</f>
        <v>52</v>
      </c>
      <c r="BQ57" s="178" t="str">
        <f>'FBMS-HND LEVEL ONE'!L931</f>
        <v>C</v>
      </c>
    </row>
    <row r="58" spans="1:69" ht="12.75" customHeight="1" x14ac:dyDescent="0.3">
      <c r="A58" s="116">
        <v>50</v>
      </c>
      <c r="B58" s="12" t="s">
        <v>475</v>
      </c>
      <c r="C58" s="307" t="s">
        <v>406</v>
      </c>
      <c r="D58" s="12" t="s">
        <v>475</v>
      </c>
      <c r="E58" s="119">
        <f>'FBMS-HND LEVEL ONE'!E61</f>
        <v>10</v>
      </c>
      <c r="F58" s="111">
        <f>'FBMS-HND LEVEL ONE'!F61</f>
        <v>23</v>
      </c>
      <c r="G58" s="111">
        <f>'FBMS-HND LEVEL ONE'!J61</f>
        <v>40</v>
      </c>
      <c r="H58" s="111">
        <f>'FBMS-HND LEVEL ONE'!K61</f>
        <v>73</v>
      </c>
      <c r="I58" s="120" t="str">
        <f>'FBMS-HND LEVEL ONE'!L61</f>
        <v>B+</v>
      </c>
      <c r="J58" s="119">
        <f>'FBMS-HND LEVEL ONE'!E130</f>
        <v>10</v>
      </c>
      <c r="K58" s="111">
        <f>'FBMS-HND LEVEL ONE'!F130</f>
        <v>26</v>
      </c>
      <c r="L58" s="111">
        <f>'FBMS-HND LEVEL ONE'!J130</f>
        <v>36</v>
      </c>
      <c r="M58" s="111">
        <f>'FBMS-HND LEVEL ONE'!K130</f>
        <v>72</v>
      </c>
      <c r="N58" s="120" t="str">
        <f>'FBMS-HND LEVEL ONE'!L130</f>
        <v>B+</v>
      </c>
      <c r="O58" s="119">
        <f>'FBMS-HND LEVEL ONE'!E210</f>
        <v>10</v>
      </c>
      <c r="P58" s="111">
        <f>'FBMS-HND LEVEL ONE'!F210</f>
        <v>23</v>
      </c>
      <c r="Q58" s="111">
        <f>'FBMS-HND LEVEL ONE'!J210</f>
        <v>27</v>
      </c>
      <c r="R58" s="111">
        <f>'FBMS-HND LEVEL ONE'!K210</f>
        <v>60</v>
      </c>
      <c r="S58" s="120" t="str">
        <f>'FBMS-HND LEVEL ONE'!L210</f>
        <v>B</v>
      </c>
      <c r="T58" s="119">
        <f>'FBMS-HND LEVEL ONE'!E279</f>
        <v>10</v>
      </c>
      <c r="U58" s="111">
        <f>'FBMS-HND LEVEL ONE'!F279</f>
        <v>18</v>
      </c>
      <c r="V58" s="111">
        <f>'FBMS-HND LEVEL ONE'!J279</f>
        <v>38</v>
      </c>
      <c r="W58" s="111">
        <f>'FBMS-HND LEVEL ONE'!K279</f>
        <v>66</v>
      </c>
      <c r="X58" s="120" t="str">
        <f>'FBMS-HND LEVEL ONE'!L279</f>
        <v>B</v>
      </c>
      <c r="Y58" s="119">
        <f>'FBMS-HND LEVEL ONE'!E351</f>
        <v>7.5</v>
      </c>
      <c r="Z58" s="111">
        <f>'FBMS-HND LEVEL ONE'!F351</f>
        <v>12</v>
      </c>
      <c r="AA58" s="111">
        <f>'FBMS-HND LEVEL ONE'!J351</f>
        <v>31</v>
      </c>
      <c r="AB58" s="111">
        <f>'FBMS-HND LEVEL ONE'!K351</f>
        <v>50.5</v>
      </c>
      <c r="AC58" s="120" t="str">
        <f>'FBMS-HND LEVEL ONE'!L351</f>
        <v>C</v>
      </c>
      <c r="AD58" s="119">
        <f>'FBMS-HND LEVEL ONE'!E422</f>
        <v>10</v>
      </c>
      <c r="AE58" s="111">
        <f>'FBMS-HND LEVEL ONE'!F422</f>
        <v>24</v>
      </c>
      <c r="AF58" s="173">
        <f>'FBMS-HND LEVEL ONE'!J422</f>
        <v>38</v>
      </c>
      <c r="AG58" s="173">
        <f>'FBMS-HND LEVEL ONE'!K422</f>
        <v>72</v>
      </c>
      <c r="AH58" s="178" t="str">
        <f>'FBMS-HND LEVEL ONE'!L422</f>
        <v>B+</v>
      </c>
      <c r="AI58" s="119">
        <f>'FBMS-HND LEVEL ONE'!E500</f>
        <v>10</v>
      </c>
      <c r="AJ58" s="111">
        <f>'FBMS-HND LEVEL ONE'!F500</f>
        <v>19</v>
      </c>
      <c r="AK58" s="173">
        <f>'FBMS-HND LEVEL ONE'!J500</f>
        <v>30</v>
      </c>
      <c r="AL58" s="173">
        <f>'FBMS-HND LEVEL ONE'!K500</f>
        <v>59</v>
      </c>
      <c r="AM58" s="178" t="str">
        <f>'FBMS-HND LEVEL ONE'!L500</f>
        <v>C+</v>
      </c>
      <c r="AN58" s="119">
        <f>'FBMS-HND LEVEL ONE'!E576</f>
        <v>10</v>
      </c>
      <c r="AO58" s="111">
        <f>'FBMS-HND LEVEL ONE'!F576</f>
        <v>21.5</v>
      </c>
      <c r="AP58" s="111">
        <f>'FBMS-HND LEVEL ONE'!J576</f>
        <v>36</v>
      </c>
      <c r="AQ58" s="111">
        <f>'FBMS-HND LEVEL ONE'!K576</f>
        <v>67.5</v>
      </c>
      <c r="AR58" s="120" t="str">
        <f>'FBMS-HND LEVEL ONE'!L576</f>
        <v>B</v>
      </c>
      <c r="AS58" s="121">
        <f>'FBMS-HND LEVEL ONE'!E646</f>
        <v>10</v>
      </c>
      <c r="AT58" s="111">
        <f>'FBMS-HND LEVEL ONE'!F646</f>
        <v>19</v>
      </c>
      <c r="AU58" s="173">
        <f>'FBMS-HND LEVEL ONE'!J646</f>
        <v>32</v>
      </c>
      <c r="AV58" s="173">
        <f>'FBMS-HND LEVEL ONE'!K646</f>
        <v>61</v>
      </c>
      <c r="AW58" s="174" t="str">
        <f>'FBMS-HND LEVEL ONE'!L646</f>
        <v>B</v>
      </c>
      <c r="AX58" s="119">
        <f>'FBMS-HND LEVEL ONE'!E717</f>
        <v>10</v>
      </c>
      <c r="AY58" s="111">
        <f>'FBMS-HND LEVEL ONE'!F717</f>
        <v>20</v>
      </c>
      <c r="AZ58" s="111">
        <f>'FBMS-HND LEVEL ONE'!J717</f>
        <v>28</v>
      </c>
      <c r="BA58" s="111">
        <f>'FBMS-HND LEVEL ONE'!K717</f>
        <v>58</v>
      </c>
      <c r="BB58" s="120" t="str">
        <f>'FBMS-HND LEVEL ONE'!L717</f>
        <v>C+</v>
      </c>
      <c r="BC58" s="121">
        <f>'FBMS-HND LEVEL ONE'!E792</f>
        <v>8</v>
      </c>
      <c r="BD58" s="111">
        <f>'FBMS-HND LEVEL ONE'!F792</f>
        <v>21</v>
      </c>
      <c r="BE58" s="111">
        <f>'FBMS-HND LEVEL ONE'!J792</f>
        <v>40</v>
      </c>
      <c r="BF58" s="111">
        <f>'FBMS-HND LEVEL ONE'!K792</f>
        <v>69</v>
      </c>
      <c r="BG58" s="118" t="str">
        <f>'FBMS-HND LEVEL ONE'!L792</f>
        <v>B</v>
      </c>
      <c r="BH58" s="119">
        <f>'FBMS-HND LEVEL ONE'!E860</f>
        <v>10</v>
      </c>
      <c r="BI58" s="111">
        <f>'FBMS-HND LEVEL ONE'!F860</f>
        <v>19</v>
      </c>
      <c r="BJ58" s="111">
        <f>'FBMS-HND LEVEL ONE'!J860</f>
        <v>28</v>
      </c>
      <c r="BK58" s="111">
        <f>'FBMS-HND LEVEL ONE'!K860</f>
        <v>57</v>
      </c>
      <c r="BL58" s="120" t="str">
        <f>'FBMS-HND LEVEL ONE'!L860</f>
        <v>C+</v>
      </c>
      <c r="BM58" s="119">
        <f>'FBMS-HND LEVEL ONE'!E932</f>
        <v>10</v>
      </c>
      <c r="BN58" s="111">
        <f>'FBMS-HND LEVEL ONE'!F932</f>
        <v>17</v>
      </c>
      <c r="BO58" s="173">
        <f>'FBMS-HND LEVEL ONE'!J932</f>
        <v>43</v>
      </c>
      <c r="BP58" s="173">
        <f>'FBMS-HND LEVEL ONE'!K932</f>
        <v>70</v>
      </c>
      <c r="BQ58" s="178" t="str">
        <f>'FBMS-HND LEVEL ONE'!L932</f>
        <v>B+</v>
      </c>
    </row>
    <row r="59" spans="1:69" ht="12.75" customHeight="1" x14ac:dyDescent="0.3">
      <c r="A59" s="109">
        <v>51</v>
      </c>
      <c r="B59" s="12" t="s">
        <v>476</v>
      </c>
      <c r="C59" s="307" t="s">
        <v>407</v>
      </c>
      <c r="D59" s="12" t="s">
        <v>476</v>
      </c>
      <c r="E59" s="119">
        <f>'FBMS-HND LEVEL ONE'!E62</f>
        <v>10</v>
      </c>
      <c r="F59" s="111">
        <f>'FBMS-HND LEVEL ONE'!F62</f>
        <v>20</v>
      </c>
      <c r="G59" s="111">
        <f>'FBMS-HND LEVEL ONE'!J62</f>
        <v>12</v>
      </c>
      <c r="H59" s="111">
        <f>'FBMS-HND LEVEL ONE'!K62</f>
        <v>42</v>
      </c>
      <c r="I59" s="120" t="str">
        <f>'FBMS-HND LEVEL ONE'!L62</f>
        <v>D</v>
      </c>
      <c r="J59" s="119">
        <f>'FBMS-HND LEVEL ONE'!E131</f>
        <v>10</v>
      </c>
      <c r="K59" s="111">
        <f>'FBMS-HND LEVEL ONE'!F131</f>
        <v>23</v>
      </c>
      <c r="L59" s="111">
        <f>'FBMS-HND LEVEL ONE'!J131</f>
        <v>23</v>
      </c>
      <c r="M59" s="111">
        <f>'FBMS-HND LEVEL ONE'!K131</f>
        <v>56</v>
      </c>
      <c r="N59" s="120" t="str">
        <f>'FBMS-HND LEVEL ONE'!L131</f>
        <v>C+</v>
      </c>
      <c r="O59" s="119">
        <f>'FBMS-HND LEVEL ONE'!E211</f>
        <v>10</v>
      </c>
      <c r="P59" s="111">
        <f>'FBMS-HND LEVEL ONE'!F211</f>
        <v>13</v>
      </c>
      <c r="Q59" s="111">
        <f>'FBMS-HND LEVEL ONE'!J211</f>
        <v>16</v>
      </c>
      <c r="R59" s="111">
        <f>'FBMS-HND LEVEL ONE'!K211</f>
        <v>39</v>
      </c>
      <c r="S59" s="120" t="str">
        <f>'FBMS-HND LEVEL ONE'!L211</f>
        <v>F</v>
      </c>
      <c r="T59" s="119">
        <f>'FBMS-HND LEVEL ONE'!E280</f>
        <v>10</v>
      </c>
      <c r="U59" s="111">
        <f>'FBMS-HND LEVEL ONE'!F280</f>
        <v>13</v>
      </c>
      <c r="V59" s="111">
        <f>'FBMS-HND LEVEL ONE'!J280</f>
        <v>31</v>
      </c>
      <c r="W59" s="111">
        <f>'FBMS-HND LEVEL ONE'!K280</f>
        <v>54</v>
      </c>
      <c r="X59" s="120" t="str">
        <f>'FBMS-HND LEVEL ONE'!L280</f>
        <v>C</v>
      </c>
      <c r="Y59" s="119">
        <f>'FBMS-HND LEVEL ONE'!E352</f>
        <v>10</v>
      </c>
      <c r="Z59" s="111">
        <f>'FBMS-HND LEVEL ONE'!F352</f>
        <v>16</v>
      </c>
      <c r="AA59" s="111">
        <f>'FBMS-HND LEVEL ONE'!J352</f>
        <v>14</v>
      </c>
      <c r="AB59" s="111">
        <f>'FBMS-HND LEVEL ONE'!K352</f>
        <v>40</v>
      </c>
      <c r="AC59" s="120" t="str">
        <f>'FBMS-HND LEVEL ONE'!L352</f>
        <v>D</v>
      </c>
      <c r="AD59" s="119">
        <f>'FBMS-HND LEVEL ONE'!E423</f>
        <v>10</v>
      </c>
      <c r="AE59" s="111">
        <f>'FBMS-HND LEVEL ONE'!F423</f>
        <v>13</v>
      </c>
      <c r="AF59" s="173">
        <f>'FBMS-HND LEVEL ONE'!J423</f>
        <v>16</v>
      </c>
      <c r="AG59" s="173">
        <f>'FBMS-HND LEVEL ONE'!K423</f>
        <v>39</v>
      </c>
      <c r="AH59" s="178" t="str">
        <f>'FBMS-HND LEVEL ONE'!L423</f>
        <v>F</v>
      </c>
      <c r="AI59" s="119">
        <f>'FBMS-HND LEVEL ONE'!E501</f>
        <v>10</v>
      </c>
      <c r="AJ59" s="111">
        <f>'FBMS-HND LEVEL ONE'!F501</f>
        <v>21</v>
      </c>
      <c r="AK59" s="173">
        <f>'FBMS-HND LEVEL ONE'!J501</f>
        <v>30</v>
      </c>
      <c r="AL59" s="173">
        <f>'FBMS-HND LEVEL ONE'!K501</f>
        <v>61</v>
      </c>
      <c r="AM59" s="178" t="str">
        <f>'FBMS-HND LEVEL ONE'!L501</f>
        <v>B</v>
      </c>
      <c r="AN59" s="119">
        <f>'FBMS-HND LEVEL ONE'!E577</f>
        <v>10</v>
      </c>
      <c r="AO59" s="111">
        <f>'FBMS-HND LEVEL ONE'!F577</f>
        <v>17</v>
      </c>
      <c r="AP59" s="111">
        <f>'FBMS-HND LEVEL ONE'!J577</f>
        <v>15</v>
      </c>
      <c r="AQ59" s="111">
        <f>'FBMS-HND LEVEL ONE'!K577</f>
        <v>42</v>
      </c>
      <c r="AR59" s="120" t="str">
        <f>'FBMS-HND LEVEL ONE'!L577</f>
        <v>D</v>
      </c>
      <c r="AS59" s="121">
        <f>'FBMS-HND LEVEL ONE'!E647</f>
        <v>10</v>
      </c>
      <c r="AT59" s="111">
        <f>'FBMS-HND LEVEL ONE'!F647</f>
        <v>17</v>
      </c>
      <c r="AU59" s="173">
        <f>'FBMS-HND LEVEL ONE'!J647</f>
        <v>29</v>
      </c>
      <c r="AV59" s="173">
        <f>'FBMS-HND LEVEL ONE'!K647</f>
        <v>56</v>
      </c>
      <c r="AW59" s="174" t="str">
        <f>'FBMS-HND LEVEL ONE'!L647</f>
        <v>C+</v>
      </c>
      <c r="AX59" s="119">
        <f>'FBMS-HND LEVEL ONE'!E718</f>
        <v>10</v>
      </c>
      <c r="AY59" s="111">
        <f>'FBMS-HND LEVEL ONE'!F718</f>
        <v>14</v>
      </c>
      <c r="AZ59" s="111">
        <f>'FBMS-HND LEVEL ONE'!J718</f>
        <v>45</v>
      </c>
      <c r="BA59" s="111">
        <f>'FBMS-HND LEVEL ONE'!K718</f>
        <v>69</v>
      </c>
      <c r="BB59" s="120" t="str">
        <f>'FBMS-HND LEVEL ONE'!L718</f>
        <v>B</v>
      </c>
      <c r="BC59" s="121">
        <f>'FBMS-HND LEVEL ONE'!E793</f>
        <v>8</v>
      </c>
      <c r="BD59" s="111">
        <f>'FBMS-HND LEVEL ONE'!F793</f>
        <v>21</v>
      </c>
      <c r="BE59" s="111">
        <f>'FBMS-HND LEVEL ONE'!J793</f>
        <v>18</v>
      </c>
      <c r="BF59" s="111">
        <f>'FBMS-HND LEVEL ONE'!K793</f>
        <v>47</v>
      </c>
      <c r="BG59" s="118" t="str">
        <f>'FBMS-HND LEVEL ONE'!L793</f>
        <v>D+</v>
      </c>
      <c r="BH59" s="119">
        <f>'FBMS-HND LEVEL ONE'!E861</f>
        <v>10</v>
      </c>
      <c r="BI59" s="111">
        <f>'FBMS-HND LEVEL ONE'!F861</f>
        <v>20</v>
      </c>
      <c r="BJ59" s="111">
        <f>'FBMS-HND LEVEL ONE'!J861</f>
        <v>20</v>
      </c>
      <c r="BK59" s="111">
        <f>'FBMS-HND LEVEL ONE'!K861</f>
        <v>50</v>
      </c>
      <c r="BL59" s="120" t="str">
        <f>'FBMS-HND LEVEL ONE'!L861</f>
        <v>C</v>
      </c>
      <c r="BM59" s="119">
        <f>'FBMS-HND LEVEL ONE'!E933</f>
        <v>10</v>
      </c>
      <c r="BN59" s="111">
        <f>'FBMS-HND LEVEL ONE'!F933</f>
        <v>20</v>
      </c>
      <c r="BO59" s="173">
        <f>'FBMS-HND LEVEL ONE'!J933</f>
        <v>35</v>
      </c>
      <c r="BP59" s="173">
        <f>'FBMS-HND LEVEL ONE'!K933</f>
        <v>65</v>
      </c>
      <c r="BQ59" s="178" t="str">
        <f>'FBMS-HND LEVEL ONE'!L933</f>
        <v>B</v>
      </c>
    </row>
    <row r="60" spans="1:69" ht="12.75" customHeight="1" x14ac:dyDescent="0.3">
      <c r="A60" s="116">
        <v>52</v>
      </c>
      <c r="B60" s="12" t="s">
        <v>477</v>
      </c>
      <c r="C60" s="307" t="s">
        <v>408</v>
      </c>
      <c r="D60" s="12" t="s">
        <v>477</v>
      </c>
      <c r="E60" s="119">
        <f>'FBMS-HND LEVEL ONE'!E63</f>
        <v>9</v>
      </c>
      <c r="F60" s="111">
        <f>'FBMS-HND LEVEL ONE'!F63</f>
        <v>21</v>
      </c>
      <c r="G60" s="111">
        <f>'FBMS-HND LEVEL ONE'!J63</f>
        <v>45</v>
      </c>
      <c r="H60" s="111">
        <f>'FBMS-HND LEVEL ONE'!K63</f>
        <v>75</v>
      </c>
      <c r="I60" s="120" t="str">
        <f>'FBMS-HND LEVEL ONE'!L63</f>
        <v>B+</v>
      </c>
      <c r="J60" s="119">
        <f>'FBMS-HND LEVEL ONE'!E132</f>
        <v>9</v>
      </c>
      <c r="K60" s="111">
        <f>'FBMS-HND LEVEL ONE'!F132</f>
        <v>22</v>
      </c>
      <c r="L60" s="111">
        <f>'FBMS-HND LEVEL ONE'!J132</f>
        <v>21</v>
      </c>
      <c r="M60" s="111">
        <f>'FBMS-HND LEVEL ONE'!K132</f>
        <v>52</v>
      </c>
      <c r="N60" s="120" t="str">
        <f>'FBMS-HND LEVEL ONE'!L132</f>
        <v>C</v>
      </c>
      <c r="O60" s="119">
        <f>'FBMS-HND LEVEL ONE'!E212</f>
        <v>10</v>
      </c>
      <c r="P60" s="111">
        <f>'FBMS-HND LEVEL ONE'!F212</f>
        <v>29</v>
      </c>
      <c r="Q60" s="111">
        <f>'FBMS-HND LEVEL ONE'!J212</f>
        <v>21</v>
      </c>
      <c r="R60" s="111">
        <f>'FBMS-HND LEVEL ONE'!K212</f>
        <v>60</v>
      </c>
      <c r="S60" s="120" t="str">
        <f>'FBMS-HND LEVEL ONE'!L212</f>
        <v>B</v>
      </c>
      <c r="T60" s="119">
        <f>'FBMS-HND LEVEL ONE'!E281</f>
        <v>10</v>
      </c>
      <c r="U60" s="111">
        <f>'FBMS-HND LEVEL ONE'!F281</f>
        <v>19</v>
      </c>
      <c r="V60" s="111">
        <f>'FBMS-HND LEVEL ONE'!J281</f>
        <v>22</v>
      </c>
      <c r="W60" s="111">
        <f>'FBMS-HND LEVEL ONE'!K281</f>
        <v>51</v>
      </c>
      <c r="X60" s="120" t="str">
        <f>'FBMS-HND LEVEL ONE'!L281</f>
        <v>C</v>
      </c>
      <c r="Y60" s="119">
        <f>'FBMS-HND LEVEL ONE'!E353</f>
        <v>10</v>
      </c>
      <c r="Z60" s="111">
        <f>'FBMS-HND LEVEL ONE'!F353</f>
        <v>12</v>
      </c>
      <c r="AA60" s="111">
        <f>'FBMS-HND LEVEL ONE'!J353</f>
        <v>21</v>
      </c>
      <c r="AB60" s="111">
        <f>'FBMS-HND LEVEL ONE'!K353</f>
        <v>43</v>
      </c>
      <c r="AC60" s="120" t="str">
        <f>'FBMS-HND LEVEL ONE'!L353</f>
        <v>D</v>
      </c>
      <c r="AD60" s="119">
        <f>'FBMS-HND LEVEL ONE'!E424</f>
        <v>10</v>
      </c>
      <c r="AE60" s="111">
        <f>'FBMS-HND LEVEL ONE'!F424</f>
        <v>14</v>
      </c>
      <c r="AF60" s="173">
        <f>'FBMS-HND LEVEL ONE'!J424</f>
        <v>13</v>
      </c>
      <c r="AG60" s="173">
        <f>'FBMS-HND LEVEL ONE'!K424</f>
        <v>37</v>
      </c>
      <c r="AH60" s="178" t="str">
        <f>'FBMS-HND LEVEL ONE'!L424</f>
        <v>F</v>
      </c>
      <c r="AI60" s="119">
        <f>'FBMS-HND LEVEL ONE'!E502</f>
        <v>9</v>
      </c>
      <c r="AJ60" s="111">
        <f>'FBMS-HND LEVEL ONE'!F502</f>
        <v>20</v>
      </c>
      <c r="AK60" s="173">
        <f>'FBMS-HND LEVEL ONE'!J502</f>
        <v>21</v>
      </c>
      <c r="AL60" s="173">
        <f>'FBMS-HND LEVEL ONE'!K502</f>
        <v>50</v>
      </c>
      <c r="AM60" s="178" t="str">
        <f>'FBMS-HND LEVEL ONE'!L502</f>
        <v>C</v>
      </c>
      <c r="AN60" s="119">
        <f>'FBMS-HND LEVEL ONE'!E578</f>
        <v>9</v>
      </c>
      <c r="AO60" s="111">
        <f>'FBMS-HND LEVEL ONE'!F578</f>
        <v>15</v>
      </c>
      <c r="AP60" s="111">
        <f>'FBMS-HND LEVEL ONE'!J578</f>
        <v>3</v>
      </c>
      <c r="AQ60" s="111">
        <f>'FBMS-HND LEVEL ONE'!K578</f>
        <v>27</v>
      </c>
      <c r="AR60" s="120" t="str">
        <f>'FBMS-HND LEVEL ONE'!L578</f>
        <v>F</v>
      </c>
      <c r="AS60" s="121">
        <f>'FBMS-HND LEVEL ONE'!E648</f>
        <v>10</v>
      </c>
      <c r="AT60" s="111">
        <f>'FBMS-HND LEVEL ONE'!F648</f>
        <v>10</v>
      </c>
      <c r="AU60" s="173">
        <f>'FBMS-HND LEVEL ONE'!J648</f>
        <v>42</v>
      </c>
      <c r="AV60" s="173">
        <f>'FBMS-HND LEVEL ONE'!K648</f>
        <v>62</v>
      </c>
      <c r="AW60" s="174" t="str">
        <f>'FBMS-HND LEVEL ONE'!L648</f>
        <v>B</v>
      </c>
      <c r="AX60" s="119">
        <f>'FBMS-HND LEVEL ONE'!E719</f>
        <v>0</v>
      </c>
      <c r="AY60" s="111">
        <f>'FBMS-HND LEVEL ONE'!F719</f>
        <v>15</v>
      </c>
      <c r="AZ60" s="111">
        <f>'FBMS-HND LEVEL ONE'!J719</f>
        <v>16</v>
      </c>
      <c r="BA60" s="111">
        <f>'FBMS-HND LEVEL ONE'!K719</f>
        <v>31</v>
      </c>
      <c r="BB60" s="120" t="str">
        <f>'FBMS-HND LEVEL ONE'!L719</f>
        <v>F</v>
      </c>
      <c r="BC60" s="121">
        <f>'FBMS-HND LEVEL ONE'!E794</f>
        <v>8</v>
      </c>
      <c r="BD60" s="111">
        <f>'FBMS-HND LEVEL ONE'!F794</f>
        <v>0</v>
      </c>
      <c r="BE60" s="111">
        <f>'FBMS-HND LEVEL ONE'!J794</f>
        <v>47</v>
      </c>
      <c r="BF60" s="111">
        <f>'FBMS-HND LEVEL ONE'!K794</f>
        <v>55</v>
      </c>
      <c r="BG60" s="118" t="str">
        <f>'FBMS-HND LEVEL ONE'!L794</f>
        <v>C+</v>
      </c>
      <c r="BH60" s="119">
        <f>'FBMS-HND LEVEL ONE'!E862</f>
        <v>10</v>
      </c>
      <c r="BI60" s="111">
        <f>'FBMS-HND LEVEL ONE'!F862</f>
        <v>25</v>
      </c>
      <c r="BJ60" s="111">
        <f>'FBMS-HND LEVEL ONE'!J862</f>
        <v>9</v>
      </c>
      <c r="BK60" s="111">
        <f>'FBMS-HND LEVEL ONE'!K862</f>
        <v>44</v>
      </c>
      <c r="BL60" s="120" t="str">
        <f>'FBMS-HND LEVEL ONE'!L862</f>
        <v>D</v>
      </c>
      <c r="BM60" s="119">
        <f>'FBMS-HND LEVEL ONE'!E934</f>
        <v>9</v>
      </c>
      <c r="BN60" s="111">
        <f>'FBMS-HND LEVEL ONE'!F934</f>
        <v>22</v>
      </c>
      <c r="BO60" s="173">
        <f>'FBMS-HND LEVEL ONE'!J934</f>
        <v>37</v>
      </c>
      <c r="BP60" s="173">
        <f>'FBMS-HND LEVEL ONE'!K934</f>
        <v>68</v>
      </c>
      <c r="BQ60" s="178" t="str">
        <f>'FBMS-HND LEVEL ONE'!L934</f>
        <v>B</v>
      </c>
    </row>
    <row r="61" spans="1:69" ht="12.75" customHeight="1" x14ac:dyDescent="0.3">
      <c r="A61" s="109">
        <v>53</v>
      </c>
      <c r="B61" s="12" t="s">
        <v>478</v>
      </c>
      <c r="C61" s="307" t="s">
        <v>409</v>
      </c>
      <c r="D61" s="12" t="s">
        <v>478</v>
      </c>
      <c r="E61" s="119">
        <f>'FBMS-HND LEVEL ONE'!E64</f>
        <v>9</v>
      </c>
      <c r="F61" s="111">
        <f>'FBMS-HND LEVEL ONE'!F64</f>
        <v>15</v>
      </c>
      <c r="G61" s="111">
        <f>'FBMS-HND LEVEL ONE'!J64</f>
        <v>42</v>
      </c>
      <c r="H61" s="111">
        <f>'FBMS-HND LEVEL ONE'!K64</f>
        <v>66</v>
      </c>
      <c r="I61" s="120" t="str">
        <f>'FBMS-HND LEVEL ONE'!L64</f>
        <v>B</v>
      </c>
      <c r="J61" s="119">
        <f>'FBMS-HND LEVEL ONE'!E133</f>
        <v>9</v>
      </c>
      <c r="K61" s="111">
        <f>'FBMS-HND LEVEL ONE'!F133</f>
        <v>27</v>
      </c>
      <c r="L61" s="111">
        <f>'FBMS-HND LEVEL ONE'!J133</f>
        <v>10</v>
      </c>
      <c r="M61" s="111">
        <f>'FBMS-HND LEVEL ONE'!K133</f>
        <v>46</v>
      </c>
      <c r="N61" s="120" t="str">
        <f>'FBMS-HND LEVEL ONE'!L133</f>
        <v>D+</v>
      </c>
      <c r="O61" s="119">
        <f>'FBMS-HND LEVEL ONE'!E213</f>
        <v>10</v>
      </c>
      <c r="P61" s="111">
        <f>'FBMS-HND LEVEL ONE'!F213</f>
        <v>13.5</v>
      </c>
      <c r="Q61" s="111">
        <f>'FBMS-HND LEVEL ONE'!J213</f>
        <v>12</v>
      </c>
      <c r="R61" s="111">
        <f>'FBMS-HND LEVEL ONE'!K213</f>
        <v>35.5</v>
      </c>
      <c r="S61" s="120" t="str">
        <f>'FBMS-HND LEVEL ONE'!L213</f>
        <v>F</v>
      </c>
      <c r="T61" s="119">
        <f>'FBMS-HND LEVEL ONE'!E282</f>
        <v>10</v>
      </c>
      <c r="U61" s="111">
        <f>'FBMS-HND LEVEL ONE'!F282</f>
        <v>20</v>
      </c>
      <c r="V61" s="111">
        <f>'FBMS-HND LEVEL ONE'!J282</f>
        <v>33</v>
      </c>
      <c r="W61" s="111">
        <f>'FBMS-HND LEVEL ONE'!K282</f>
        <v>63</v>
      </c>
      <c r="X61" s="120" t="str">
        <f>'FBMS-HND LEVEL ONE'!L282</f>
        <v>B</v>
      </c>
      <c r="Y61" s="252">
        <f>'FBMS-HND LEVEL ONE'!E354</f>
        <v>10</v>
      </c>
      <c r="Z61" s="111">
        <f>'FBMS-HND LEVEL ONE'!F354</f>
        <v>13</v>
      </c>
      <c r="AA61" s="111">
        <f>'FBMS-HND LEVEL ONE'!J354</f>
        <v>13</v>
      </c>
      <c r="AB61" s="111">
        <f>'FBMS-HND LEVEL ONE'!K354</f>
        <v>36</v>
      </c>
      <c r="AC61" s="120" t="str">
        <f>'FBMS-HND LEVEL ONE'!L354</f>
        <v>F</v>
      </c>
      <c r="AD61" s="119">
        <f>'FBMS-HND LEVEL ONE'!E425</f>
        <v>10</v>
      </c>
      <c r="AE61" s="111">
        <f>'FBMS-HND LEVEL ONE'!F425</f>
        <v>23.5</v>
      </c>
      <c r="AF61" s="173">
        <f>'FBMS-HND LEVEL ONE'!J425</f>
        <v>32</v>
      </c>
      <c r="AG61" s="173">
        <f>'FBMS-HND LEVEL ONE'!K425</f>
        <v>65.5</v>
      </c>
      <c r="AH61" s="178" t="str">
        <f>'FBMS-HND LEVEL ONE'!L425</f>
        <v>B</v>
      </c>
      <c r="AI61" s="119">
        <f>'FBMS-HND LEVEL ONE'!E503</f>
        <v>10</v>
      </c>
      <c r="AJ61" s="111">
        <f>'FBMS-HND LEVEL ONE'!F503</f>
        <v>22</v>
      </c>
      <c r="AK61" s="173">
        <f>'FBMS-HND LEVEL ONE'!J503</f>
        <v>24</v>
      </c>
      <c r="AL61" s="173">
        <f>'FBMS-HND LEVEL ONE'!K503</f>
        <v>56</v>
      </c>
      <c r="AM61" s="178" t="str">
        <f>'FBMS-HND LEVEL ONE'!L503</f>
        <v>C+</v>
      </c>
      <c r="AN61" s="119">
        <f>'FBMS-HND LEVEL ONE'!E579</f>
        <v>10</v>
      </c>
      <c r="AO61" s="111">
        <f>'FBMS-HND LEVEL ONE'!F579</f>
        <v>23</v>
      </c>
      <c r="AP61" s="111">
        <f>'FBMS-HND LEVEL ONE'!J579</f>
        <v>0</v>
      </c>
      <c r="AQ61" s="111">
        <f>'FBMS-HND LEVEL ONE'!K579</f>
        <v>33</v>
      </c>
      <c r="AR61" s="120" t="str">
        <f>'FBMS-HND LEVEL ONE'!L579</f>
        <v>F</v>
      </c>
      <c r="AS61" s="121">
        <f>'FBMS-HND LEVEL ONE'!E649</f>
        <v>10</v>
      </c>
      <c r="AT61" s="173">
        <f>'FBMS-HND LEVEL ONE'!F649</f>
        <v>18</v>
      </c>
      <c r="AU61" s="173">
        <f>'FBMS-HND LEVEL ONE'!J649</f>
        <v>38</v>
      </c>
      <c r="AV61" s="173">
        <f>'FBMS-HND LEVEL ONE'!K649</f>
        <v>66</v>
      </c>
      <c r="AW61" s="174" t="str">
        <f>'FBMS-HND LEVEL ONE'!L649</f>
        <v>B</v>
      </c>
      <c r="AX61" s="119">
        <f>'FBMS-HND LEVEL ONE'!E720</f>
        <v>10</v>
      </c>
      <c r="AY61" s="111">
        <f>'FBMS-HND LEVEL ONE'!F720</f>
        <v>21</v>
      </c>
      <c r="AZ61" s="111">
        <f>'FBMS-HND LEVEL ONE'!J720</f>
        <v>30</v>
      </c>
      <c r="BA61" s="111">
        <f>'FBMS-HND LEVEL ONE'!K720</f>
        <v>61</v>
      </c>
      <c r="BB61" s="120" t="str">
        <f>'FBMS-HND LEVEL ONE'!L720</f>
        <v>B</v>
      </c>
      <c r="BC61" s="121">
        <f>'FBMS-HND LEVEL ONE'!E795</f>
        <v>8</v>
      </c>
      <c r="BD61" s="111">
        <f>'FBMS-HND LEVEL ONE'!F795</f>
        <v>24</v>
      </c>
      <c r="BE61" s="111">
        <f>'FBMS-HND LEVEL ONE'!J795</f>
        <v>12</v>
      </c>
      <c r="BF61" s="111">
        <f>'FBMS-HND LEVEL ONE'!K795</f>
        <v>44</v>
      </c>
      <c r="BG61" s="118" t="str">
        <f>'FBMS-HND LEVEL ONE'!L795</f>
        <v>D</v>
      </c>
      <c r="BH61" s="119">
        <f>'FBMS-HND LEVEL ONE'!E863</f>
        <v>9</v>
      </c>
      <c r="BI61" s="111">
        <f>'FBMS-HND LEVEL ONE'!F863</f>
        <v>18</v>
      </c>
      <c r="BJ61" s="111">
        <f>'FBMS-HND LEVEL ONE'!J863</f>
        <v>1</v>
      </c>
      <c r="BK61" s="111">
        <f>'FBMS-HND LEVEL ONE'!K863</f>
        <v>28</v>
      </c>
      <c r="BL61" s="120" t="str">
        <f>'FBMS-HND LEVEL ONE'!L863</f>
        <v>F</v>
      </c>
      <c r="BM61" s="119">
        <f>'FBMS-HND LEVEL ONE'!E935</f>
        <v>10</v>
      </c>
      <c r="BN61" s="111">
        <f>'FBMS-HND LEVEL ONE'!F935</f>
        <v>16</v>
      </c>
      <c r="BO61" s="173">
        <f>'FBMS-HND LEVEL ONE'!J935</f>
        <v>31</v>
      </c>
      <c r="BP61" s="173">
        <f>'FBMS-HND LEVEL ONE'!K935</f>
        <v>57</v>
      </c>
      <c r="BQ61" s="178" t="str">
        <f>'FBMS-HND LEVEL ONE'!L935</f>
        <v>C+</v>
      </c>
    </row>
    <row r="62" spans="1:69" ht="12.75" customHeight="1" x14ac:dyDescent="0.3">
      <c r="A62" s="116">
        <v>54</v>
      </c>
      <c r="B62" s="12" t="s">
        <v>479</v>
      </c>
      <c r="C62" s="12" t="s">
        <v>410</v>
      </c>
      <c r="D62" s="12" t="s">
        <v>479</v>
      </c>
      <c r="E62" s="119">
        <f>'FBMS-HND LEVEL ONE'!E65</f>
        <v>9</v>
      </c>
      <c r="F62" s="111">
        <f>'FBMS-HND LEVEL ONE'!F65</f>
        <v>22</v>
      </c>
      <c r="G62" s="111">
        <f>'FBMS-HND LEVEL ONE'!J65</f>
        <v>42</v>
      </c>
      <c r="H62" s="111">
        <f>'FBMS-HND LEVEL ONE'!K65</f>
        <v>73</v>
      </c>
      <c r="I62" s="120" t="str">
        <f>'FBMS-HND LEVEL ONE'!L65</f>
        <v>B+</v>
      </c>
      <c r="J62" s="119">
        <f>'FBMS-HND LEVEL ONE'!E134</f>
        <v>9</v>
      </c>
      <c r="K62" s="111">
        <f>'FBMS-HND LEVEL ONE'!F134</f>
        <v>22.5</v>
      </c>
      <c r="L62" s="111">
        <f>'FBMS-HND LEVEL ONE'!J134</f>
        <v>34</v>
      </c>
      <c r="M62" s="111">
        <f>'FBMS-HND LEVEL ONE'!K134</f>
        <v>65.5</v>
      </c>
      <c r="N62" s="120" t="str">
        <f>'FBMS-HND LEVEL ONE'!L134</f>
        <v>B</v>
      </c>
      <c r="O62" s="119">
        <f>'FBMS-HND LEVEL ONE'!E214</f>
        <v>9</v>
      </c>
      <c r="P62" s="111">
        <f>'FBMS-HND LEVEL ONE'!F214</f>
        <v>22</v>
      </c>
      <c r="Q62" s="111">
        <f>'FBMS-HND LEVEL ONE'!J214</f>
        <v>32</v>
      </c>
      <c r="R62" s="111">
        <f>'FBMS-HND LEVEL ONE'!K214</f>
        <v>63</v>
      </c>
      <c r="S62" s="120" t="str">
        <f>'FBMS-HND LEVEL ONE'!L214</f>
        <v>B</v>
      </c>
      <c r="T62" s="119">
        <f>'FBMS-HND LEVEL ONE'!E283</f>
        <v>9</v>
      </c>
      <c r="U62" s="111">
        <f>'FBMS-HND LEVEL ONE'!F283</f>
        <v>24</v>
      </c>
      <c r="V62" s="111">
        <f>'FBMS-HND LEVEL ONE'!J283</f>
        <v>17</v>
      </c>
      <c r="W62" s="111">
        <f>'FBMS-HND LEVEL ONE'!K283</f>
        <v>50</v>
      </c>
      <c r="X62" s="120" t="str">
        <f>'FBMS-HND LEVEL ONE'!L283</f>
        <v>C</v>
      </c>
      <c r="Y62" s="252">
        <f>'FBMS-HND LEVEL ONE'!E355</f>
        <v>8</v>
      </c>
      <c r="Z62" s="111">
        <f>'FBMS-HND LEVEL ONE'!F355</f>
        <v>17</v>
      </c>
      <c r="AA62" s="111">
        <f>'FBMS-HND LEVEL ONE'!J355</f>
        <v>37</v>
      </c>
      <c r="AB62" s="111">
        <f>'FBMS-HND LEVEL ONE'!K355</f>
        <v>62</v>
      </c>
      <c r="AC62" s="120" t="str">
        <f>'FBMS-HND LEVEL ONE'!L355</f>
        <v>B</v>
      </c>
      <c r="AD62" s="119">
        <f>'FBMS-HND LEVEL ONE'!E426</f>
        <v>10</v>
      </c>
      <c r="AE62" s="111">
        <f>'FBMS-HND LEVEL ONE'!F426</f>
        <v>21</v>
      </c>
      <c r="AF62" s="173">
        <f>'FBMS-HND LEVEL ONE'!J426</f>
        <v>30</v>
      </c>
      <c r="AG62" s="173">
        <f>'FBMS-HND LEVEL ONE'!K426</f>
        <v>61</v>
      </c>
      <c r="AH62" s="178" t="str">
        <f>'FBMS-HND LEVEL ONE'!L426</f>
        <v>B</v>
      </c>
      <c r="AI62" s="119">
        <f>'FBMS-HND LEVEL ONE'!E504</f>
        <v>9</v>
      </c>
      <c r="AJ62" s="111">
        <f>'FBMS-HND LEVEL ONE'!F504</f>
        <v>21</v>
      </c>
      <c r="AK62" s="173">
        <f>'FBMS-HND LEVEL ONE'!J504</f>
        <v>38</v>
      </c>
      <c r="AL62" s="173">
        <f>'FBMS-HND LEVEL ONE'!K504</f>
        <v>68</v>
      </c>
      <c r="AM62" s="178" t="str">
        <f>'FBMS-HND LEVEL ONE'!L504</f>
        <v>B</v>
      </c>
      <c r="AN62" s="119">
        <f>'FBMS-HND LEVEL ONE'!E580</f>
        <v>9</v>
      </c>
      <c r="AO62" s="111">
        <f>'FBMS-HND LEVEL ONE'!F580</f>
        <v>26</v>
      </c>
      <c r="AP62" s="111">
        <f>'FBMS-HND LEVEL ONE'!J580</f>
        <v>30</v>
      </c>
      <c r="AQ62" s="111">
        <f>'FBMS-HND LEVEL ONE'!K580</f>
        <v>65</v>
      </c>
      <c r="AR62" s="120" t="str">
        <f>'FBMS-HND LEVEL ONE'!L580</f>
        <v>B</v>
      </c>
      <c r="AS62" s="121">
        <f>'FBMS-HND LEVEL ONE'!E650</f>
        <v>10</v>
      </c>
      <c r="AT62" s="173">
        <f>'FBMS-HND LEVEL ONE'!F650</f>
        <v>16</v>
      </c>
      <c r="AU62" s="173">
        <f>'FBMS-HND LEVEL ONE'!J650</f>
        <v>39</v>
      </c>
      <c r="AV62" s="173">
        <f>'FBMS-HND LEVEL ONE'!K650</f>
        <v>65</v>
      </c>
      <c r="AW62" s="174" t="str">
        <f>'FBMS-HND LEVEL ONE'!L650</f>
        <v>B</v>
      </c>
      <c r="AX62" s="119">
        <f>'FBMS-HND LEVEL ONE'!E721</f>
        <v>9</v>
      </c>
      <c r="AY62" s="111">
        <f>'FBMS-HND LEVEL ONE'!F721</f>
        <v>20</v>
      </c>
      <c r="AZ62" s="111">
        <f>'FBMS-HND LEVEL ONE'!J721</f>
        <v>33</v>
      </c>
      <c r="BA62" s="111">
        <f>'FBMS-HND LEVEL ONE'!K721</f>
        <v>62</v>
      </c>
      <c r="BB62" s="120" t="str">
        <f>'FBMS-HND LEVEL ONE'!L721</f>
        <v>B</v>
      </c>
      <c r="BC62" s="121">
        <f>'FBMS-HND LEVEL ONE'!E796</f>
        <v>8</v>
      </c>
      <c r="BD62" s="111">
        <f>'FBMS-HND LEVEL ONE'!F796</f>
        <v>22</v>
      </c>
      <c r="BE62" s="111">
        <f>'FBMS-HND LEVEL ONE'!J796</f>
        <v>43</v>
      </c>
      <c r="BF62" s="111">
        <f>'FBMS-HND LEVEL ONE'!K796</f>
        <v>73</v>
      </c>
      <c r="BG62" s="118" t="str">
        <f>'FBMS-HND LEVEL ONE'!L796</f>
        <v>B+</v>
      </c>
      <c r="BH62" s="119">
        <f>'FBMS-HND LEVEL ONE'!E864</f>
        <v>10</v>
      </c>
      <c r="BI62" s="111">
        <f>'FBMS-HND LEVEL ONE'!F864</f>
        <v>21</v>
      </c>
      <c r="BJ62" s="111">
        <f>'FBMS-HND LEVEL ONE'!J864</f>
        <v>30</v>
      </c>
      <c r="BK62" s="111">
        <f>'FBMS-HND LEVEL ONE'!K864</f>
        <v>61</v>
      </c>
      <c r="BL62" s="120" t="str">
        <f>'FBMS-HND LEVEL ONE'!L864</f>
        <v>B</v>
      </c>
      <c r="BM62" s="119">
        <f>'FBMS-HND LEVEL ONE'!E936</f>
        <v>9</v>
      </c>
      <c r="BN62" s="111">
        <f>'FBMS-HND LEVEL ONE'!F936</f>
        <v>19</v>
      </c>
      <c r="BO62" s="173">
        <f>'FBMS-HND LEVEL ONE'!J936</f>
        <v>39</v>
      </c>
      <c r="BP62" s="173">
        <f>'FBMS-HND LEVEL ONE'!K936</f>
        <v>67</v>
      </c>
      <c r="BQ62" s="178" t="str">
        <f>'FBMS-HND LEVEL ONE'!L936</f>
        <v>B</v>
      </c>
    </row>
    <row r="63" spans="1:69" ht="12.75" customHeight="1" x14ac:dyDescent="0.3">
      <c r="A63" s="109">
        <v>55</v>
      </c>
      <c r="B63" s="368" t="s">
        <v>158</v>
      </c>
      <c r="C63" s="355" t="s">
        <v>107</v>
      </c>
      <c r="D63" s="368" t="s">
        <v>158</v>
      </c>
      <c r="E63" s="121"/>
      <c r="F63" s="111"/>
      <c r="G63" s="111"/>
      <c r="H63" s="111"/>
      <c r="I63" s="118"/>
      <c r="J63" s="426">
        <f>'FBMS-HND LEVEL ONE'!E135</f>
        <v>0</v>
      </c>
      <c r="K63" s="426">
        <f>'FBMS-HND LEVEL ONE'!F135</f>
        <v>9</v>
      </c>
      <c r="L63" s="426" t="str">
        <f>'FBMS-HND LEVEL ONE'!J135</f>
        <v>ABS</v>
      </c>
      <c r="M63" s="426">
        <f>'FBMS-HND LEVEL ONE'!K135</f>
        <v>0</v>
      </c>
      <c r="N63" s="426">
        <f>'FBMS-HND LEVEL ONE'!L135</f>
        <v>0</v>
      </c>
      <c r="O63" s="121"/>
      <c r="P63" s="111"/>
      <c r="Q63" s="111"/>
      <c r="R63" s="111"/>
      <c r="S63" s="120"/>
      <c r="T63" s="119"/>
      <c r="U63" s="111"/>
      <c r="V63" s="111"/>
      <c r="W63" s="111"/>
      <c r="X63" s="120"/>
      <c r="Y63" s="252"/>
      <c r="Z63" s="111"/>
      <c r="AA63" s="111"/>
      <c r="AB63" s="111"/>
      <c r="AC63" s="120"/>
      <c r="AD63" s="119"/>
      <c r="AE63" s="111"/>
      <c r="AF63" s="111"/>
      <c r="AG63" s="111"/>
      <c r="AH63" s="120"/>
      <c r="AI63" s="119"/>
      <c r="AJ63" s="111"/>
      <c r="AK63" s="111"/>
      <c r="AL63" s="111"/>
      <c r="AM63" s="120"/>
      <c r="AN63" s="119"/>
      <c r="AO63" s="111"/>
      <c r="AP63" s="111"/>
      <c r="AQ63" s="111"/>
      <c r="AR63" s="120"/>
      <c r="AS63" s="121"/>
      <c r="AT63" s="173"/>
      <c r="AU63" s="173"/>
      <c r="AV63" s="173"/>
      <c r="AW63" s="174"/>
      <c r="AX63" s="119"/>
      <c r="AY63" s="111"/>
      <c r="AZ63" s="111"/>
      <c r="BA63" s="111"/>
      <c r="BB63" s="120"/>
      <c r="BC63" s="121"/>
      <c r="BD63" s="111"/>
      <c r="BE63" s="111"/>
      <c r="BF63" s="111"/>
      <c r="BG63" s="118"/>
      <c r="BH63" s="119"/>
      <c r="BI63" s="111"/>
      <c r="BJ63" s="111"/>
      <c r="BK63" s="111"/>
      <c r="BL63" s="120"/>
      <c r="BM63" s="119"/>
      <c r="BN63" s="111"/>
      <c r="BO63" s="173"/>
      <c r="BP63" s="173"/>
      <c r="BQ63" s="178"/>
    </row>
    <row r="64" spans="1:69" ht="12.75" customHeight="1" x14ac:dyDescent="0.3">
      <c r="A64" s="116">
        <v>56</v>
      </c>
      <c r="B64" s="404"/>
      <c r="C64" s="355" t="s">
        <v>501</v>
      </c>
      <c r="D64" s="404"/>
      <c r="E64" s="121"/>
      <c r="F64" s="111"/>
      <c r="G64" s="111"/>
      <c r="H64" s="111"/>
      <c r="I64" s="118"/>
      <c r="J64" s="426">
        <f>'FBMS-HND LEVEL ONE'!E136</f>
        <v>0</v>
      </c>
      <c r="K64" s="426">
        <f>'FBMS-HND LEVEL ONE'!F136</f>
        <v>24.5</v>
      </c>
      <c r="L64" s="426" t="str">
        <f>'FBMS-HND LEVEL ONE'!J136</f>
        <v>ABS</v>
      </c>
      <c r="M64" s="426">
        <f>'FBMS-HND LEVEL ONE'!K136</f>
        <v>0</v>
      </c>
      <c r="N64" s="426">
        <f>'FBMS-HND LEVEL ONE'!L136</f>
        <v>0</v>
      </c>
      <c r="O64" s="121"/>
      <c r="P64" s="111"/>
      <c r="Q64" s="111"/>
      <c r="R64" s="111"/>
      <c r="S64" s="120"/>
      <c r="T64" s="119"/>
      <c r="U64" s="111"/>
      <c r="V64" s="111"/>
      <c r="W64" s="111"/>
      <c r="X64" s="120"/>
      <c r="Y64" s="252"/>
      <c r="Z64" s="111"/>
      <c r="AA64" s="111"/>
      <c r="AB64" s="111"/>
      <c r="AC64" s="120"/>
      <c r="AD64" s="119"/>
      <c r="AE64" s="111"/>
      <c r="AF64" s="111"/>
      <c r="AG64" s="111"/>
      <c r="AH64" s="120"/>
      <c r="AI64" s="119"/>
      <c r="AJ64" s="111"/>
      <c r="AK64" s="111"/>
      <c r="AL64" s="111"/>
      <c r="AM64" s="120"/>
      <c r="AN64" s="119"/>
      <c r="AO64" s="111"/>
      <c r="AP64" s="111"/>
      <c r="AQ64" s="111"/>
      <c r="AR64" s="120"/>
      <c r="AS64" s="121"/>
      <c r="AT64" s="173"/>
      <c r="AU64" s="173"/>
      <c r="AV64" s="173"/>
      <c r="AW64" s="174"/>
      <c r="AX64" s="119"/>
      <c r="AY64" s="111"/>
      <c r="AZ64" s="111"/>
      <c r="BA64" s="111"/>
      <c r="BB64" s="120"/>
      <c r="BC64" s="121"/>
      <c r="BD64" s="111"/>
      <c r="BE64" s="111"/>
      <c r="BF64" s="111"/>
      <c r="BG64" s="118"/>
      <c r="BH64" s="119"/>
      <c r="BI64" s="111"/>
      <c r="BJ64" s="111"/>
      <c r="BK64" s="111"/>
      <c r="BL64" s="120"/>
      <c r="BM64" s="119"/>
      <c r="BN64" s="111"/>
      <c r="BO64" s="173"/>
      <c r="BP64" s="173"/>
      <c r="BQ64" s="178"/>
    </row>
    <row r="65" spans="1:69" ht="12.75" customHeight="1" x14ac:dyDescent="0.3">
      <c r="A65" s="109">
        <v>57</v>
      </c>
      <c r="B65" s="368" t="s">
        <v>176</v>
      </c>
      <c r="C65" s="355" t="s">
        <v>502</v>
      </c>
      <c r="D65" s="368" t="s">
        <v>176</v>
      </c>
      <c r="E65" s="121"/>
      <c r="F65" s="111"/>
      <c r="G65" s="111"/>
      <c r="H65" s="111"/>
      <c r="I65" s="118"/>
      <c r="J65" s="426">
        <f>'FBMS-HND LEVEL ONE'!E137</f>
        <v>0</v>
      </c>
      <c r="K65" s="426">
        <f>'FBMS-HND LEVEL ONE'!F137</f>
        <v>26</v>
      </c>
      <c r="L65" s="426">
        <f>'FBMS-HND LEVEL ONE'!J137</f>
        <v>15</v>
      </c>
      <c r="M65" s="426">
        <f>'FBMS-HND LEVEL ONE'!K137</f>
        <v>41</v>
      </c>
      <c r="N65" s="426" t="str">
        <f>'FBMS-HND LEVEL ONE'!L137</f>
        <v>D</v>
      </c>
      <c r="O65" s="121"/>
      <c r="P65" s="111"/>
      <c r="Q65" s="111"/>
      <c r="R65" s="111"/>
      <c r="S65" s="120"/>
      <c r="T65" s="119"/>
      <c r="U65" s="111"/>
      <c r="V65" s="111"/>
      <c r="W65" s="111"/>
      <c r="X65" s="120"/>
      <c r="Y65" s="252"/>
      <c r="Z65" s="111"/>
      <c r="AA65" s="111"/>
      <c r="AB65" s="111"/>
      <c r="AC65" s="120"/>
      <c r="AD65" s="119"/>
      <c r="AE65" s="111"/>
      <c r="AF65" s="111"/>
      <c r="AG65" s="111"/>
      <c r="AH65" s="120"/>
      <c r="AI65" s="119"/>
      <c r="AJ65" s="111"/>
      <c r="AK65" s="111"/>
      <c r="AL65" s="111"/>
      <c r="AM65" s="120"/>
      <c r="AN65" s="119"/>
      <c r="AO65" s="111"/>
      <c r="AP65" s="111"/>
      <c r="AQ65" s="111"/>
      <c r="AR65" s="120"/>
      <c r="AS65" s="121"/>
      <c r="AT65" s="173"/>
      <c r="AU65" s="173"/>
      <c r="AV65" s="173"/>
      <c r="AW65" s="174"/>
      <c r="AX65" s="119"/>
      <c r="AY65" s="111"/>
      <c r="AZ65" s="111"/>
      <c r="BA65" s="111"/>
      <c r="BB65" s="120"/>
      <c r="BC65" s="121"/>
      <c r="BD65" s="111"/>
      <c r="BE65" s="111"/>
      <c r="BF65" s="111"/>
      <c r="BG65" s="118"/>
      <c r="BH65" s="119"/>
      <c r="BI65" s="111"/>
      <c r="BJ65" s="111"/>
      <c r="BK65" s="111"/>
      <c r="BL65" s="120"/>
      <c r="BM65" s="119"/>
      <c r="BN65" s="111"/>
      <c r="BO65" s="173"/>
      <c r="BP65" s="173"/>
      <c r="BQ65" s="178"/>
    </row>
    <row r="66" spans="1:69" ht="12.75" customHeight="1" x14ac:dyDescent="0.3">
      <c r="A66" s="116">
        <v>58</v>
      </c>
      <c r="B66" s="368" t="s">
        <v>168</v>
      </c>
      <c r="C66" s="355" t="s">
        <v>503</v>
      </c>
      <c r="D66" s="368" t="s">
        <v>168</v>
      </c>
      <c r="E66" s="121"/>
      <c r="F66" s="111"/>
      <c r="G66" s="111"/>
      <c r="H66" s="111"/>
      <c r="I66" s="118"/>
      <c r="J66" s="426">
        <f>'FBMS-HND LEVEL ONE'!E138</f>
        <v>0</v>
      </c>
      <c r="K66" s="426">
        <f>'FBMS-HND LEVEL ONE'!F138</f>
        <v>25.5</v>
      </c>
      <c r="L66" s="426">
        <f>'FBMS-HND LEVEL ONE'!J138</f>
        <v>34</v>
      </c>
      <c r="M66" s="426">
        <f>'FBMS-HND LEVEL ONE'!K138</f>
        <v>59.5</v>
      </c>
      <c r="N66" s="426" t="str">
        <f>'FBMS-HND LEVEL ONE'!L138</f>
        <v>C+</v>
      </c>
      <c r="O66" s="121"/>
      <c r="P66" s="111"/>
      <c r="Q66" s="111"/>
      <c r="R66" s="111"/>
      <c r="S66" s="120"/>
      <c r="T66" s="119"/>
      <c r="U66" s="111"/>
      <c r="V66" s="111"/>
      <c r="W66" s="111"/>
      <c r="X66" s="120"/>
      <c r="Y66" s="252"/>
      <c r="Z66" s="111"/>
      <c r="AA66" s="111"/>
      <c r="AB66" s="111"/>
      <c r="AC66" s="120"/>
      <c r="AD66" s="119"/>
      <c r="AE66" s="111"/>
      <c r="AF66" s="111"/>
      <c r="AG66" s="111"/>
      <c r="AH66" s="120"/>
      <c r="AI66" s="119"/>
      <c r="AJ66" s="111"/>
      <c r="AK66" s="111"/>
      <c r="AL66" s="111"/>
      <c r="AM66" s="120"/>
      <c r="AN66" s="119"/>
      <c r="AO66" s="111"/>
      <c r="AP66" s="111"/>
      <c r="AQ66" s="111"/>
      <c r="AR66" s="120"/>
      <c r="AS66" s="121"/>
      <c r="AT66" s="173"/>
      <c r="AU66" s="173"/>
      <c r="AV66" s="173"/>
      <c r="AW66" s="174"/>
      <c r="AX66" s="119"/>
      <c r="AY66" s="111"/>
      <c r="AZ66" s="111"/>
      <c r="BA66" s="111"/>
      <c r="BB66" s="120"/>
      <c r="BC66" s="121"/>
      <c r="BD66" s="111"/>
      <c r="BE66" s="111"/>
      <c r="BF66" s="111"/>
      <c r="BG66" s="118"/>
      <c r="BH66" s="119"/>
      <c r="BI66" s="111"/>
      <c r="BJ66" s="111"/>
      <c r="BK66" s="111"/>
      <c r="BL66" s="120"/>
      <c r="BM66" s="119"/>
      <c r="BN66" s="111"/>
      <c r="BO66" s="173"/>
      <c r="BP66" s="173"/>
      <c r="BQ66" s="178"/>
    </row>
    <row r="67" spans="1:69" ht="12.75" customHeight="1" x14ac:dyDescent="0.3">
      <c r="A67" s="109">
        <v>59</v>
      </c>
      <c r="B67" s="404"/>
      <c r="C67" s="355" t="s">
        <v>504</v>
      </c>
      <c r="D67" s="404"/>
      <c r="E67" s="121"/>
      <c r="F67" s="111"/>
      <c r="G67" s="111"/>
      <c r="H67" s="111"/>
      <c r="I67" s="118"/>
      <c r="J67" s="416"/>
      <c r="K67" s="416"/>
      <c r="L67" s="416"/>
      <c r="M67" s="416"/>
      <c r="N67" s="416"/>
      <c r="O67" s="121"/>
      <c r="P67" s="111"/>
      <c r="Q67" s="111"/>
      <c r="R67" s="111"/>
      <c r="S67" s="120"/>
      <c r="T67" s="352">
        <f>'FBMS-HND LEVEL ONE'!E284</f>
        <v>0</v>
      </c>
      <c r="U67" s="352">
        <f>'FBMS-HND LEVEL ONE'!F284</f>
        <v>22</v>
      </c>
      <c r="V67" s="352" t="str">
        <f>'FBMS-HND LEVEL ONE'!J284</f>
        <v>ABS</v>
      </c>
      <c r="W67" s="352">
        <f>'FBMS-HND LEVEL ONE'!K284</f>
        <v>0</v>
      </c>
      <c r="X67" s="352">
        <f>'FBMS-HND LEVEL ONE'!L284</f>
        <v>0</v>
      </c>
      <c r="Y67" s="252"/>
      <c r="Z67" s="111"/>
      <c r="AA67" s="111"/>
      <c r="AB67" s="111"/>
      <c r="AC67" s="120"/>
      <c r="AD67" s="119"/>
      <c r="AE67" s="111"/>
      <c r="AF67" s="111"/>
      <c r="AG67" s="111"/>
      <c r="AH67" s="120"/>
      <c r="AI67" s="119"/>
      <c r="AJ67" s="111"/>
      <c r="AK67" s="111"/>
      <c r="AL67" s="111"/>
      <c r="AM67" s="120"/>
      <c r="AN67" s="119"/>
      <c r="AO67" s="111"/>
      <c r="AP67" s="111"/>
      <c r="AQ67" s="111"/>
      <c r="AR67" s="120"/>
      <c r="AS67" s="121"/>
      <c r="AT67" s="173"/>
      <c r="AU67" s="173"/>
      <c r="AV67" s="173"/>
      <c r="AW67" s="174"/>
      <c r="AX67" s="119"/>
      <c r="AY67" s="111"/>
      <c r="AZ67" s="111"/>
      <c r="BA67" s="111"/>
      <c r="BB67" s="120"/>
      <c r="BC67" s="121"/>
      <c r="BD67" s="111"/>
      <c r="BE67" s="111"/>
      <c r="BF67" s="111"/>
      <c r="BG67" s="118"/>
      <c r="BH67" s="119"/>
      <c r="BI67" s="111"/>
      <c r="BJ67" s="111"/>
      <c r="BK67" s="111"/>
      <c r="BL67" s="120"/>
      <c r="BM67" s="119"/>
      <c r="BN67" s="111"/>
      <c r="BO67" s="173"/>
      <c r="BP67" s="173"/>
      <c r="BQ67" s="178"/>
    </row>
    <row r="68" spans="1:69" ht="12.75" customHeight="1" x14ac:dyDescent="0.3">
      <c r="A68" s="116">
        <v>60</v>
      </c>
      <c r="B68" s="405" t="s">
        <v>204</v>
      </c>
      <c r="C68" s="355" t="s">
        <v>506</v>
      </c>
      <c r="D68" s="405" t="s">
        <v>204</v>
      </c>
      <c r="E68" s="121"/>
      <c r="F68" s="111"/>
      <c r="G68" s="111"/>
      <c r="H68" s="111"/>
      <c r="I68" s="118"/>
      <c r="J68" s="426">
        <f>'FBMS-HND LEVEL ONE'!E139</f>
        <v>0</v>
      </c>
      <c r="K68" s="426">
        <f>'FBMS-HND LEVEL ONE'!F139</f>
        <v>28</v>
      </c>
      <c r="L68" s="426" t="str">
        <f>'FBMS-HND LEVEL ONE'!J139</f>
        <v>ABS</v>
      </c>
      <c r="M68" s="426">
        <f>'FBMS-HND LEVEL ONE'!K139</f>
        <v>0</v>
      </c>
      <c r="N68" s="426">
        <f>'FBMS-HND LEVEL ONE'!L139</f>
        <v>0</v>
      </c>
      <c r="O68" s="121"/>
      <c r="P68" s="111"/>
      <c r="Q68" s="111"/>
      <c r="R68" s="111"/>
      <c r="S68" s="120"/>
      <c r="T68" s="119"/>
      <c r="U68" s="111"/>
      <c r="V68" s="111"/>
      <c r="W68" s="111"/>
      <c r="X68" s="120"/>
      <c r="Y68" s="252"/>
      <c r="Z68" s="111"/>
      <c r="AA68" s="111"/>
      <c r="AB68" s="111"/>
      <c r="AC68" s="120"/>
      <c r="AD68" s="119"/>
      <c r="AE68" s="111"/>
      <c r="AF68" s="111"/>
      <c r="AG68" s="111"/>
      <c r="AH68" s="120"/>
      <c r="AI68" s="119"/>
      <c r="AJ68" s="111"/>
      <c r="AK68" s="111"/>
      <c r="AL68" s="111"/>
      <c r="AM68" s="120"/>
      <c r="AN68" s="119"/>
      <c r="AO68" s="111"/>
      <c r="AP68" s="111"/>
      <c r="AQ68" s="111"/>
      <c r="AR68" s="120"/>
      <c r="AS68" s="121"/>
      <c r="AT68" s="173"/>
      <c r="AU68" s="173"/>
      <c r="AV68" s="173"/>
      <c r="AW68" s="174"/>
      <c r="AX68" s="119"/>
      <c r="AY68" s="111"/>
      <c r="AZ68" s="111"/>
      <c r="BA68" s="111"/>
      <c r="BB68" s="120"/>
      <c r="BC68" s="121"/>
      <c r="BD68" s="111"/>
      <c r="BE68" s="111"/>
      <c r="BF68" s="111"/>
      <c r="BG68" s="118"/>
      <c r="BH68" s="119"/>
      <c r="BI68" s="111"/>
      <c r="BJ68" s="111"/>
      <c r="BK68" s="111"/>
      <c r="BL68" s="120"/>
      <c r="BM68" s="119"/>
      <c r="BN68" s="111"/>
      <c r="BO68" s="173"/>
      <c r="BP68" s="173"/>
      <c r="BQ68" s="178"/>
    </row>
    <row r="69" spans="1:69" ht="13.5" customHeight="1" x14ac:dyDescent="0.3">
      <c r="A69" s="109">
        <v>61</v>
      </c>
      <c r="B69" s="404" t="s">
        <v>152</v>
      </c>
      <c r="C69" s="355" t="s">
        <v>507</v>
      </c>
      <c r="D69" s="404" t="s">
        <v>152</v>
      </c>
      <c r="E69" s="121"/>
      <c r="F69" s="111"/>
      <c r="G69" s="111"/>
      <c r="H69" s="111"/>
      <c r="I69" s="118"/>
      <c r="J69" s="426">
        <f>'FBMS-HND LEVEL ONE'!E140</f>
        <v>0</v>
      </c>
      <c r="K69" s="426">
        <f>'FBMS-HND LEVEL ONE'!F140</f>
        <v>25</v>
      </c>
      <c r="L69" s="426">
        <f>'FBMS-HND LEVEL ONE'!J140</f>
        <v>30</v>
      </c>
      <c r="M69" s="426">
        <f>'FBMS-HND LEVEL ONE'!K140</f>
        <v>55</v>
      </c>
      <c r="N69" s="426" t="str">
        <f>'FBMS-HND LEVEL ONE'!L140</f>
        <v>C+</v>
      </c>
      <c r="O69" s="121"/>
      <c r="P69" s="111"/>
      <c r="Q69" s="111"/>
      <c r="R69" s="111"/>
      <c r="S69" s="120"/>
      <c r="T69" s="119"/>
      <c r="U69" s="111"/>
      <c r="V69" s="111"/>
      <c r="W69" s="111"/>
      <c r="X69" s="120"/>
      <c r="Y69" s="252"/>
      <c r="Z69" s="111"/>
      <c r="AA69" s="111"/>
      <c r="AB69" s="111"/>
      <c r="AC69" s="120"/>
      <c r="AD69" s="119"/>
      <c r="AE69" s="111"/>
      <c r="AF69" s="111"/>
      <c r="AG69" s="111"/>
      <c r="AH69" s="120"/>
      <c r="AI69" s="119"/>
      <c r="AJ69" s="111"/>
      <c r="AK69" s="111"/>
      <c r="AL69" s="111"/>
      <c r="AM69" s="120"/>
      <c r="AN69" s="119"/>
      <c r="AO69" s="111"/>
      <c r="AP69" s="111"/>
      <c r="AQ69" s="111"/>
      <c r="AR69" s="120"/>
      <c r="AS69" s="121"/>
      <c r="AT69" s="173"/>
      <c r="AU69" s="173"/>
      <c r="AV69" s="173"/>
      <c r="AW69" s="174"/>
      <c r="AX69" s="119"/>
      <c r="AY69" s="111"/>
      <c r="AZ69" s="111"/>
      <c r="BA69" s="111"/>
      <c r="BB69" s="120"/>
      <c r="BC69" s="121"/>
      <c r="BD69" s="111"/>
      <c r="BE69" s="111"/>
      <c r="BF69" s="111"/>
      <c r="BG69" s="118"/>
      <c r="BH69" s="119"/>
      <c r="BI69" s="111"/>
      <c r="BJ69" s="111"/>
      <c r="BK69" s="111"/>
      <c r="BL69" s="120"/>
      <c r="BM69" s="119"/>
      <c r="BN69" s="111"/>
      <c r="BO69" s="173"/>
      <c r="BP69" s="173"/>
      <c r="BQ69" s="178"/>
    </row>
    <row r="70" spans="1:69" ht="12.75" customHeight="1" x14ac:dyDescent="0.3">
      <c r="A70" s="116">
        <v>62</v>
      </c>
      <c r="B70" s="368" t="s">
        <v>171</v>
      </c>
      <c r="C70" s="355" t="s">
        <v>125</v>
      </c>
      <c r="D70" s="368" t="s">
        <v>171</v>
      </c>
      <c r="E70" s="121"/>
      <c r="F70" s="111"/>
      <c r="G70" s="111"/>
      <c r="H70" s="111"/>
      <c r="I70" s="118"/>
      <c r="J70" s="426">
        <f>'FBMS-HND LEVEL ONE'!E141</f>
        <v>0</v>
      </c>
      <c r="K70" s="426">
        <f>'FBMS-HND LEVEL ONE'!F141</f>
        <v>11</v>
      </c>
      <c r="L70" s="426" t="str">
        <f>'FBMS-HND LEVEL ONE'!J141</f>
        <v>ABS</v>
      </c>
      <c r="M70" s="426">
        <f>'FBMS-HND LEVEL ONE'!K141</f>
        <v>0</v>
      </c>
      <c r="N70" s="426">
        <f>'FBMS-HND LEVEL ONE'!L141</f>
        <v>0</v>
      </c>
      <c r="O70" s="121"/>
      <c r="P70" s="111"/>
      <c r="Q70" s="111"/>
      <c r="R70" s="111"/>
      <c r="S70" s="120"/>
      <c r="T70" s="119"/>
      <c r="U70" s="111"/>
      <c r="V70" s="111"/>
      <c r="W70" s="111"/>
      <c r="X70" s="120"/>
      <c r="Y70" s="252"/>
      <c r="Z70" s="111"/>
      <c r="AA70" s="111"/>
      <c r="AB70" s="111"/>
      <c r="AC70" s="120"/>
      <c r="AD70" s="119"/>
      <c r="AE70" s="111"/>
      <c r="AF70" s="111"/>
      <c r="AG70" s="111"/>
      <c r="AH70" s="120"/>
      <c r="AI70" s="119"/>
      <c r="AJ70" s="111"/>
      <c r="AK70" s="111"/>
      <c r="AL70" s="111"/>
      <c r="AM70" s="120"/>
      <c r="AN70" s="119"/>
      <c r="AO70" s="111"/>
      <c r="AP70" s="111"/>
      <c r="AQ70" s="111"/>
      <c r="AR70" s="120"/>
      <c r="AS70" s="121"/>
      <c r="AT70" s="173"/>
      <c r="AU70" s="173"/>
      <c r="AV70" s="173"/>
      <c r="AW70" s="174"/>
      <c r="AX70" s="119"/>
      <c r="AY70" s="111"/>
      <c r="AZ70" s="111"/>
      <c r="BA70" s="111"/>
      <c r="BB70" s="120"/>
      <c r="BC70" s="121"/>
      <c r="BD70" s="111"/>
      <c r="BE70" s="111"/>
      <c r="BF70" s="111"/>
      <c r="BG70" s="118"/>
      <c r="BH70" s="119"/>
      <c r="BI70" s="111"/>
      <c r="BJ70" s="111"/>
      <c r="BK70" s="111"/>
      <c r="BL70" s="120"/>
      <c r="BM70" s="119"/>
      <c r="BN70" s="111"/>
      <c r="BO70" s="173"/>
      <c r="BP70" s="173"/>
      <c r="BQ70" s="178"/>
    </row>
    <row r="71" spans="1:69" ht="12.75" customHeight="1" x14ac:dyDescent="0.3">
      <c r="A71" s="109">
        <v>63</v>
      </c>
      <c r="B71" s="368" t="s">
        <v>202</v>
      </c>
      <c r="C71" s="355" t="s">
        <v>135</v>
      </c>
      <c r="D71" s="368" t="s">
        <v>202</v>
      </c>
      <c r="E71" s="121"/>
      <c r="F71" s="111"/>
      <c r="G71" s="111"/>
      <c r="H71" s="111"/>
      <c r="I71" s="118"/>
      <c r="J71" s="426">
        <f>'FBMS-HND LEVEL ONE'!E142</f>
        <v>0</v>
      </c>
      <c r="K71" s="426">
        <f>'FBMS-HND LEVEL ONE'!F142</f>
        <v>22</v>
      </c>
      <c r="L71" s="426" t="str">
        <f>'FBMS-HND LEVEL ONE'!J142</f>
        <v>ABS</v>
      </c>
      <c r="M71" s="426">
        <f>'FBMS-HND LEVEL ONE'!K142</f>
        <v>0</v>
      </c>
      <c r="N71" s="426">
        <f>'FBMS-HND LEVEL ONE'!L142</f>
        <v>0</v>
      </c>
      <c r="O71" s="121"/>
      <c r="P71" s="111"/>
      <c r="Q71" s="111"/>
      <c r="R71" s="111"/>
      <c r="S71" s="120"/>
      <c r="T71" s="119"/>
      <c r="U71" s="111"/>
      <c r="V71" s="111"/>
      <c r="W71" s="111"/>
      <c r="X71" s="120"/>
      <c r="Y71" s="252"/>
      <c r="Z71" s="111"/>
      <c r="AA71" s="111"/>
      <c r="AB71" s="111"/>
      <c r="AC71" s="120"/>
      <c r="AD71" s="119"/>
      <c r="AE71" s="111"/>
      <c r="AF71" s="111"/>
      <c r="AG71" s="111"/>
      <c r="AH71" s="120"/>
      <c r="AI71" s="119"/>
      <c r="AJ71" s="111"/>
      <c r="AK71" s="111"/>
      <c r="AL71" s="111"/>
      <c r="AM71" s="120"/>
      <c r="AN71" s="119"/>
      <c r="AO71" s="111"/>
      <c r="AP71" s="111"/>
      <c r="AQ71" s="111"/>
      <c r="AR71" s="120"/>
      <c r="AS71" s="121"/>
      <c r="AT71" s="173"/>
      <c r="AU71" s="173"/>
      <c r="AV71" s="173"/>
      <c r="AW71" s="174"/>
      <c r="AX71" s="119"/>
      <c r="AY71" s="111"/>
      <c r="AZ71" s="111"/>
      <c r="BA71" s="111"/>
      <c r="BB71" s="120"/>
      <c r="BC71" s="121"/>
      <c r="BD71" s="111"/>
      <c r="BE71" s="111"/>
      <c r="BF71" s="111"/>
      <c r="BG71" s="118"/>
      <c r="BH71" s="119"/>
      <c r="BI71" s="111"/>
      <c r="BJ71" s="111"/>
      <c r="BK71" s="111"/>
      <c r="BL71" s="120"/>
      <c r="BM71" s="119"/>
      <c r="BN71" s="111"/>
      <c r="BO71" s="173"/>
      <c r="BP71" s="173"/>
      <c r="BQ71" s="178"/>
    </row>
    <row r="72" spans="1:69" ht="12.75" customHeight="1" x14ac:dyDescent="0.3">
      <c r="A72" s="116">
        <v>64</v>
      </c>
      <c r="B72" s="403" t="s">
        <v>206</v>
      </c>
      <c r="C72" s="355" t="s">
        <v>508</v>
      </c>
      <c r="D72" s="403" t="s">
        <v>206</v>
      </c>
      <c r="E72" s="121"/>
      <c r="F72" s="111"/>
      <c r="G72" s="111"/>
      <c r="H72" s="111"/>
      <c r="I72" s="118"/>
      <c r="J72" s="426">
        <f>'FBMS-HND LEVEL ONE'!E143</f>
        <v>0</v>
      </c>
      <c r="K72" s="426">
        <f>'FBMS-HND LEVEL ONE'!F143</f>
        <v>25.5</v>
      </c>
      <c r="L72" s="426">
        <f>'FBMS-HND LEVEL ONE'!J143</f>
        <v>30</v>
      </c>
      <c r="M72" s="426">
        <f>'FBMS-HND LEVEL ONE'!K143</f>
        <v>55.5</v>
      </c>
      <c r="N72" s="426" t="str">
        <f>'FBMS-HND LEVEL ONE'!L143</f>
        <v>C+</v>
      </c>
      <c r="O72" s="121"/>
      <c r="P72" s="111"/>
      <c r="Q72" s="111"/>
      <c r="R72" s="111"/>
      <c r="S72" s="120"/>
      <c r="T72" s="119"/>
      <c r="U72" s="111"/>
      <c r="V72" s="111"/>
      <c r="W72" s="111"/>
      <c r="X72" s="120"/>
      <c r="Y72" s="252"/>
      <c r="Z72" s="111"/>
      <c r="AA72" s="111"/>
      <c r="AB72" s="111"/>
      <c r="AC72" s="120"/>
      <c r="AD72" s="119"/>
      <c r="AE72" s="111"/>
      <c r="AF72" s="111"/>
      <c r="AG72" s="111"/>
      <c r="AH72" s="120"/>
      <c r="AI72" s="119"/>
      <c r="AJ72" s="111"/>
      <c r="AK72" s="111"/>
      <c r="AL72" s="111"/>
      <c r="AM72" s="120"/>
      <c r="AN72" s="119"/>
      <c r="AO72" s="111"/>
      <c r="AP72" s="111"/>
      <c r="AQ72" s="111"/>
      <c r="AR72" s="120"/>
      <c r="AS72" s="121"/>
      <c r="AT72" s="173"/>
      <c r="AU72" s="173"/>
      <c r="AV72" s="173"/>
      <c r="AW72" s="174"/>
      <c r="AX72" s="119"/>
      <c r="AY72" s="111"/>
      <c r="AZ72" s="111"/>
      <c r="BA72" s="111"/>
      <c r="BB72" s="120"/>
      <c r="BC72" s="121"/>
      <c r="BD72" s="111"/>
      <c r="BE72" s="111"/>
      <c r="BF72" s="111"/>
      <c r="BG72" s="118"/>
      <c r="BH72" s="119"/>
      <c r="BI72" s="111"/>
      <c r="BJ72" s="111"/>
      <c r="BK72" s="111"/>
      <c r="BL72" s="120"/>
      <c r="BM72" s="119"/>
      <c r="BN72" s="111"/>
      <c r="BO72" s="173"/>
      <c r="BP72" s="173"/>
      <c r="BQ72" s="178"/>
    </row>
    <row r="73" spans="1:69" ht="12.75" customHeight="1" x14ac:dyDescent="0.3">
      <c r="A73" s="109">
        <v>65</v>
      </c>
      <c r="B73" s="368" t="s">
        <v>154</v>
      </c>
      <c r="C73" s="355" t="s">
        <v>509</v>
      </c>
      <c r="D73" s="368" t="s">
        <v>154</v>
      </c>
      <c r="E73" s="121"/>
      <c r="F73" s="111"/>
      <c r="G73" s="111"/>
      <c r="H73" s="111"/>
      <c r="I73" s="118"/>
      <c r="J73" s="426">
        <f>'FBMS-HND LEVEL ONE'!E144</f>
        <v>0</v>
      </c>
      <c r="K73" s="426">
        <f>'FBMS-HND LEVEL ONE'!F144</f>
        <v>29</v>
      </c>
      <c r="L73" s="426">
        <f>'FBMS-HND LEVEL ONE'!J144</f>
        <v>17</v>
      </c>
      <c r="M73" s="426">
        <f>'FBMS-HND LEVEL ONE'!K144</f>
        <v>46</v>
      </c>
      <c r="N73" s="426" t="str">
        <f>'FBMS-HND LEVEL ONE'!L144</f>
        <v>D+</v>
      </c>
      <c r="O73" s="121"/>
      <c r="P73" s="111"/>
      <c r="Q73" s="111"/>
      <c r="R73" s="111"/>
      <c r="S73" s="120"/>
      <c r="T73" s="119"/>
      <c r="U73" s="111"/>
      <c r="V73" s="111"/>
      <c r="W73" s="111"/>
      <c r="X73" s="120"/>
      <c r="Y73" s="252"/>
      <c r="Z73" s="111"/>
      <c r="AA73" s="111"/>
      <c r="AB73" s="111"/>
      <c r="AC73" s="120"/>
      <c r="AD73" s="119"/>
      <c r="AE73" s="111"/>
      <c r="AF73" s="111"/>
      <c r="AG73" s="111"/>
      <c r="AH73" s="120"/>
      <c r="AI73" s="119"/>
      <c r="AJ73" s="111"/>
      <c r="AK73" s="111"/>
      <c r="AL73" s="111"/>
      <c r="AM73" s="120"/>
      <c r="AN73" s="119"/>
      <c r="AO73" s="111"/>
      <c r="AP73" s="111"/>
      <c r="AQ73" s="111"/>
      <c r="AR73" s="120"/>
      <c r="AS73" s="121"/>
      <c r="AT73" s="173"/>
      <c r="AU73" s="173"/>
      <c r="AV73" s="173"/>
      <c r="AW73" s="174"/>
      <c r="AX73" s="119"/>
      <c r="AY73" s="111"/>
      <c r="AZ73" s="111"/>
      <c r="BA73" s="111"/>
      <c r="BB73" s="120"/>
      <c r="BC73" s="121"/>
      <c r="BD73" s="111"/>
      <c r="BE73" s="111"/>
      <c r="BF73" s="111"/>
      <c r="BG73" s="118"/>
      <c r="BH73" s="119"/>
      <c r="BI73" s="111"/>
      <c r="BJ73" s="111"/>
      <c r="BK73" s="111"/>
      <c r="BL73" s="120"/>
      <c r="BM73" s="119"/>
      <c r="BN73" s="111"/>
      <c r="BO73" s="173"/>
      <c r="BP73" s="173"/>
      <c r="BQ73" s="178"/>
    </row>
    <row r="74" spans="1:69" ht="12.75" customHeight="1" x14ac:dyDescent="0.3">
      <c r="A74" s="130">
        <v>66</v>
      </c>
      <c r="B74" s="368">
        <v>301521</v>
      </c>
      <c r="C74" s="368" t="s">
        <v>505</v>
      </c>
      <c r="D74" s="407">
        <v>301521</v>
      </c>
      <c r="E74" s="121"/>
      <c r="F74" s="111"/>
      <c r="G74" s="111"/>
      <c r="H74" s="111"/>
      <c r="I74" s="120"/>
      <c r="J74" s="119"/>
      <c r="K74" s="111"/>
      <c r="L74" s="111"/>
      <c r="M74" s="111"/>
      <c r="N74" s="120"/>
      <c r="O74" s="119"/>
      <c r="P74" s="111"/>
      <c r="Q74" s="111"/>
      <c r="R74" s="111"/>
      <c r="S74" s="120"/>
      <c r="T74" s="119"/>
      <c r="U74" s="111"/>
      <c r="V74" s="111"/>
      <c r="W74" s="111"/>
      <c r="X74" s="120"/>
      <c r="Y74" s="252"/>
      <c r="Z74" s="111"/>
      <c r="AA74" s="111"/>
      <c r="AB74" s="111"/>
      <c r="AC74" s="120"/>
      <c r="AD74" s="119"/>
      <c r="AE74" s="111"/>
      <c r="AF74" s="111"/>
      <c r="AG74" s="111"/>
      <c r="AH74" s="120"/>
      <c r="AI74" s="119"/>
      <c r="AJ74" s="111"/>
      <c r="AK74" s="111"/>
      <c r="AL74" s="111"/>
      <c r="AM74" s="118"/>
      <c r="AN74" s="426">
        <f>'FBMS-HND LEVEL ONE'!E581</f>
        <v>8</v>
      </c>
      <c r="AO74" s="426">
        <f>'FBMS-HND LEVEL ONE'!F581</f>
        <v>12</v>
      </c>
      <c r="AP74" s="426">
        <f>'FBMS-HND LEVEL ONE'!J581</f>
        <v>31</v>
      </c>
      <c r="AQ74" s="426">
        <f>'FBMS-HND LEVEL ONE'!K581</f>
        <v>51</v>
      </c>
      <c r="AR74" s="426" t="str">
        <f>'FBMS-HND LEVEL ONE'!L581</f>
        <v>C</v>
      </c>
      <c r="AS74" s="121"/>
      <c r="AT74" s="173"/>
      <c r="AU74" s="173"/>
      <c r="AV74" s="173"/>
      <c r="AW74" s="174"/>
      <c r="AX74" s="119"/>
      <c r="AY74" s="111"/>
      <c r="AZ74" s="111"/>
      <c r="BA74" s="111"/>
      <c r="BB74" s="120"/>
      <c r="BC74" s="121"/>
      <c r="BD74" s="111"/>
      <c r="BE74" s="111"/>
      <c r="BF74" s="111"/>
      <c r="BG74" s="118"/>
      <c r="BH74" s="426">
        <f>'FBMS-HND LEVEL ONE'!E866</f>
        <v>8</v>
      </c>
      <c r="BI74" s="426">
        <f>'FBMS-HND LEVEL ONE'!F866</f>
        <v>24</v>
      </c>
      <c r="BJ74" s="426">
        <f>'FBMS-HND LEVEL ONE'!J866</f>
        <v>33</v>
      </c>
      <c r="BK74" s="426">
        <f>'FBMS-HND LEVEL ONE'!K866</f>
        <v>65</v>
      </c>
      <c r="BL74" s="426" t="str">
        <f>'FBMS-HND LEVEL ONE'!L866</f>
        <v>B</v>
      </c>
      <c r="BM74" s="121"/>
      <c r="BN74" s="111"/>
      <c r="BO74" s="173"/>
      <c r="BP74" s="173"/>
      <c r="BQ74" s="178"/>
    </row>
    <row r="75" spans="1:69" ht="12.75" customHeight="1" x14ac:dyDescent="0.3">
      <c r="A75" s="130">
        <v>67</v>
      </c>
      <c r="B75" s="404"/>
      <c r="C75" s="355" t="s">
        <v>511</v>
      </c>
      <c r="D75" s="404"/>
      <c r="E75" s="121"/>
      <c r="F75" s="111"/>
      <c r="G75" s="111"/>
      <c r="H75" s="111"/>
      <c r="I75" s="120"/>
      <c r="J75" s="119"/>
      <c r="K75" s="111"/>
      <c r="L75" s="111"/>
      <c r="M75" s="111"/>
      <c r="N75" s="120"/>
      <c r="O75" s="119"/>
      <c r="P75" s="111"/>
      <c r="Q75" s="111"/>
      <c r="R75" s="111"/>
      <c r="S75" s="120"/>
      <c r="T75" s="119"/>
      <c r="U75" s="111"/>
      <c r="V75" s="111"/>
      <c r="W75" s="111"/>
      <c r="X75" s="120"/>
      <c r="Y75" s="252"/>
      <c r="Z75" s="111"/>
      <c r="AA75" s="111"/>
      <c r="AB75" s="111"/>
      <c r="AC75" s="120"/>
      <c r="AD75" s="119"/>
      <c r="AE75" s="111"/>
      <c r="AF75" s="111"/>
      <c r="AG75" s="111"/>
      <c r="AH75" s="120"/>
      <c r="AI75" s="119"/>
      <c r="AJ75" s="111"/>
      <c r="AK75" s="111"/>
      <c r="AL75" s="111"/>
      <c r="AM75" s="118"/>
      <c r="AN75" s="426">
        <f>'FBMS-HND LEVEL ONE'!E582</f>
        <v>0</v>
      </c>
      <c r="AO75" s="426">
        <f>'FBMS-HND LEVEL ONE'!F582</f>
        <v>18.5</v>
      </c>
      <c r="AP75" s="426" t="str">
        <f>'FBMS-HND LEVEL ONE'!J582</f>
        <v>ABS</v>
      </c>
      <c r="AQ75" s="426">
        <f>'FBMS-HND LEVEL ONE'!K582</f>
        <v>0</v>
      </c>
      <c r="AR75" s="426">
        <f>'FBMS-HND LEVEL ONE'!L582</f>
        <v>0</v>
      </c>
      <c r="AS75" s="121"/>
      <c r="AT75" s="173"/>
      <c r="AU75" s="173"/>
      <c r="AV75" s="173"/>
      <c r="AW75" s="174"/>
      <c r="AX75" s="119"/>
      <c r="AY75" s="111"/>
      <c r="AZ75" s="111"/>
      <c r="BA75" s="111"/>
      <c r="BB75" s="120"/>
      <c r="BC75" s="121"/>
      <c r="BD75" s="111"/>
      <c r="BE75" s="111"/>
      <c r="BF75" s="111"/>
      <c r="BG75" s="118"/>
      <c r="BH75" s="119"/>
      <c r="BI75" s="111"/>
      <c r="BJ75" s="111"/>
      <c r="BK75" s="111"/>
      <c r="BL75" s="120"/>
      <c r="BM75" s="119"/>
      <c r="BN75" s="111"/>
      <c r="BO75" s="173"/>
      <c r="BP75" s="173"/>
      <c r="BQ75" s="178"/>
    </row>
    <row r="76" spans="1:69" ht="12.75" customHeight="1" x14ac:dyDescent="0.3">
      <c r="A76" s="130">
        <v>68</v>
      </c>
      <c r="B76" s="368"/>
      <c r="C76" s="369" t="s">
        <v>511</v>
      </c>
      <c r="D76" s="368"/>
      <c r="E76" s="121"/>
      <c r="F76" s="111"/>
      <c r="G76" s="111"/>
      <c r="H76" s="111"/>
      <c r="I76" s="120"/>
      <c r="J76" s="119"/>
      <c r="K76" s="111"/>
      <c r="L76" s="111"/>
      <c r="M76" s="111"/>
      <c r="N76" s="120"/>
      <c r="O76" s="119"/>
      <c r="P76" s="111"/>
      <c r="Q76" s="111"/>
      <c r="R76" s="111"/>
      <c r="S76" s="120"/>
      <c r="T76" s="119"/>
      <c r="U76" s="111"/>
      <c r="V76" s="111"/>
      <c r="W76" s="111"/>
      <c r="X76" s="120"/>
      <c r="Y76" s="119"/>
      <c r="Z76" s="111"/>
      <c r="AA76" s="111"/>
      <c r="AB76" s="111"/>
      <c r="AC76" s="120"/>
      <c r="AD76" s="352">
        <f>'FBMS-HND LEVEL ONE'!E427</f>
        <v>0</v>
      </c>
      <c r="AE76" s="352">
        <f>'FBMS-HND LEVEL ONE'!F427</f>
        <v>26.5</v>
      </c>
      <c r="AF76" s="352" t="str">
        <f>'FBMS-HND LEVEL ONE'!J427</f>
        <v>ABS</v>
      </c>
      <c r="AG76" s="408">
        <f>'FBMS-HND LEVEL ONE'!K427</f>
        <v>0</v>
      </c>
      <c r="AH76" s="352">
        <f>'FBMS-HND LEVEL ONE'!L427</f>
        <v>0</v>
      </c>
      <c r="AI76" s="119"/>
      <c r="AJ76" s="111"/>
      <c r="AK76" s="111"/>
      <c r="AL76" s="111"/>
      <c r="AM76" s="120"/>
      <c r="AN76" s="119"/>
      <c r="AO76" s="111"/>
      <c r="AP76" s="111"/>
      <c r="AQ76" s="111"/>
      <c r="AR76" s="120"/>
      <c r="AS76" s="121"/>
      <c r="AT76" s="111"/>
      <c r="AU76" s="173"/>
      <c r="AV76" s="173"/>
      <c r="AW76" s="174"/>
      <c r="AX76" s="119"/>
      <c r="AY76" s="111"/>
      <c r="AZ76" s="111"/>
      <c r="BA76" s="111"/>
      <c r="BB76" s="120"/>
      <c r="BC76" s="121"/>
      <c r="BD76" s="111"/>
      <c r="BE76" s="111"/>
      <c r="BF76" s="111"/>
      <c r="BG76" s="118"/>
      <c r="BH76" s="119"/>
      <c r="BI76" s="111"/>
      <c r="BJ76" s="111"/>
      <c r="BK76" s="111"/>
      <c r="BL76" s="120"/>
      <c r="BM76" s="119"/>
      <c r="BN76" s="111"/>
      <c r="BO76" s="173"/>
      <c r="BP76" s="173"/>
      <c r="BQ76" s="178"/>
    </row>
    <row r="77" spans="1:69" ht="12.75" customHeight="1" x14ac:dyDescent="0.3">
      <c r="A77" s="323">
        <v>69</v>
      </c>
      <c r="B77" s="368"/>
      <c r="C77" s="406" t="s">
        <v>504</v>
      </c>
      <c r="D77" s="368"/>
      <c r="E77" s="129"/>
      <c r="F77" s="125"/>
      <c r="G77" s="125"/>
      <c r="H77" s="125"/>
      <c r="I77" s="128"/>
      <c r="J77" s="124"/>
      <c r="K77" s="125"/>
      <c r="L77" s="125"/>
      <c r="M77" s="125"/>
      <c r="N77" s="128"/>
      <c r="O77" s="124"/>
      <c r="P77" s="125"/>
      <c r="Q77" s="125"/>
      <c r="R77" s="125"/>
      <c r="S77" s="128"/>
      <c r="T77" s="124"/>
      <c r="U77" s="125"/>
      <c r="V77" s="125"/>
      <c r="W77" s="125"/>
      <c r="X77" s="128"/>
      <c r="Y77" s="124"/>
      <c r="Z77" s="125"/>
      <c r="AA77" s="125"/>
      <c r="AB77" s="125"/>
      <c r="AC77" s="128"/>
      <c r="AD77" s="124"/>
      <c r="AE77" s="125"/>
      <c r="AF77" s="125"/>
      <c r="AG77" s="125"/>
      <c r="AH77" s="128"/>
      <c r="AI77" s="124"/>
      <c r="AJ77" s="125"/>
      <c r="AK77" s="125"/>
      <c r="AL77" s="125"/>
      <c r="AM77" s="128"/>
      <c r="AN77" s="124"/>
      <c r="AO77" s="125"/>
      <c r="AP77" s="125"/>
      <c r="AQ77" s="125"/>
      <c r="AR77" s="128"/>
      <c r="AS77" s="129"/>
      <c r="AT77" s="125"/>
      <c r="AU77" s="175"/>
      <c r="AV77" s="175"/>
      <c r="AW77" s="176"/>
      <c r="AX77" s="124"/>
      <c r="AY77" s="125"/>
      <c r="AZ77" s="125"/>
      <c r="BA77" s="125"/>
      <c r="BB77" s="128"/>
      <c r="BC77" s="129"/>
      <c r="BD77" s="125"/>
      <c r="BE77" s="125"/>
      <c r="BF77" s="125"/>
      <c r="BG77" s="127"/>
      <c r="BH77" s="426">
        <f>'FBMS-HND LEVEL ONE'!E865</f>
        <v>7.5</v>
      </c>
      <c r="BI77" s="426">
        <f>'FBMS-HND LEVEL ONE'!F865</f>
        <v>20</v>
      </c>
      <c r="BJ77" s="426" t="str">
        <f>'FBMS-HND LEVEL ONE'!J865</f>
        <v>ABS</v>
      </c>
      <c r="BK77" s="426">
        <f>'FBMS-HND LEVEL ONE'!K865</f>
        <v>0</v>
      </c>
      <c r="BL77" s="426">
        <f>'FBMS-HND LEVEL ONE'!L865</f>
        <v>0</v>
      </c>
      <c r="BM77" s="129"/>
      <c r="BN77" s="125"/>
      <c r="BO77" s="175"/>
      <c r="BP77" s="175"/>
      <c r="BQ77" s="325"/>
    </row>
    <row r="78" spans="1:69" ht="12.75" customHeight="1" x14ac:dyDescent="0.3">
      <c r="A78" s="130">
        <v>70</v>
      </c>
      <c r="B78" s="368" t="s">
        <v>180</v>
      </c>
      <c r="C78" s="369" t="s">
        <v>527</v>
      </c>
      <c r="D78" s="368" t="s">
        <v>180</v>
      </c>
      <c r="E78" s="129"/>
      <c r="F78" s="125"/>
      <c r="G78" s="125"/>
      <c r="H78" s="125"/>
      <c r="I78" s="128"/>
      <c r="J78" s="124"/>
      <c r="K78" s="125"/>
      <c r="L78" s="125"/>
      <c r="M78" s="125"/>
      <c r="N78" s="128"/>
      <c r="O78" s="124"/>
      <c r="P78" s="125"/>
      <c r="Q78" s="125"/>
      <c r="R78" s="125"/>
      <c r="S78" s="128"/>
      <c r="T78" s="124"/>
      <c r="U78" s="125"/>
      <c r="V78" s="125"/>
      <c r="W78" s="125"/>
      <c r="X78" s="128"/>
      <c r="Y78" s="124"/>
      <c r="Z78" s="125"/>
      <c r="AA78" s="125"/>
      <c r="AB78" s="125"/>
      <c r="AC78" s="128"/>
      <c r="AD78" s="124"/>
      <c r="AE78" s="125"/>
      <c r="AF78" s="125"/>
      <c r="AG78" s="125"/>
      <c r="AH78" s="128"/>
      <c r="AI78" s="124"/>
      <c r="AJ78" s="125"/>
      <c r="AK78" s="125"/>
      <c r="AL78" s="125"/>
      <c r="AM78" s="128"/>
      <c r="AN78" s="124"/>
      <c r="AO78" s="125"/>
      <c r="AP78" s="125"/>
      <c r="AQ78" s="125"/>
      <c r="AR78" s="128"/>
      <c r="AS78" s="129"/>
      <c r="AT78" s="125"/>
      <c r="AU78" s="175"/>
      <c r="AV78" s="175"/>
      <c r="AW78" s="176"/>
      <c r="AX78" s="426">
        <f>'FBMS-HND LEVEL ONE'!E722</f>
        <v>10</v>
      </c>
      <c r="AY78" s="426">
        <f>'FBMS-HND LEVEL ONE'!F722</f>
        <v>22</v>
      </c>
      <c r="AZ78" s="426">
        <f>'FBMS-HND LEVEL ONE'!J722</f>
        <v>29</v>
      </c>
      <c r="BA78" s="426">
        <f>'FBMS-HND LEVEL ONE'!K722</f>
        <v>61</v>
      </c>
      <c r="BB78" s="426" t="str">
        <f>'FBMS-HND LEVEL ONE'!L722</f>
        <v>B</v>
      </c>
      <c r="BC78" s="129"/>
      <c r="BD78" s="125"/>
      <c r="BE78" s="125"/>
      <c r="BF78" s="125"/>
      <c r="BG78" s="127"/>
      <c r="BH78" s="124"/>
      <c r="BI78" s="125"/>
      <c r="BJ78" s="125"/>
      <c r="BK78" s="125"/>
      <c r="BL78" s="128"/>
      <c r="BM78" s="124"/>
      <c r="BN78" s="125"/>
      <c r="BO78" s="175"/>
      <c r="BP78" s="175"/>
      <c r="BQ78" s="325"/>
    </row>
    <row r="79" spans="1:69" ht="12.75" customHeight="1" x14ac:dyDescent="0.3">
      <c r="A79" s="323">
        <v>71</v>
      </c>
      <c r="B79" s="368" t="s">
        <v>155</v>
      </c>
      <c r="C79" s="369" t="s">
        <v>103</v>
      </c>
      <c r="D79" s="368" t="s">
        <v>155</v>
      </c>
      <c r="E79" s="129"/>
      <c r="F79" s="125"/>
      <c r="G79" s="125"/>
      <c r="H79" s="125"/>
      <c r="I79" s="128"/>
      <c r="J79" s="124"/>
      <c r="K79" s="125"/>
      <c r="L79" s="125"/>
      <c r="M79" s="125"/>
      <c r="N79" s="128"/>
      <c r="O79" s="124"/>
      <c r="P79" s="125"/>
      <c r="Q79" s="125"/>
      <c r="R79" s="125"/>
      <c r="S79" s="128"/>
      <c r="T79" s="124"/>
      <c r="U79" s="125"/>
      <c r="V79" s="125"/>
      <c r="W79" s="125"/>
      <c r="X79" s="128"/>
      <c r="Y79" s="124"/>
      <c r="Z79" s="125"/>
      <c r="AA79" s="125"/>
      <c r="AB79" s="125"/>
      <c r="AC79" s="128"/>
      <c r="AD79" s="124"/>
      <c r="AE79" s="125"/>
      <c r="AF79" s="125"/>
      <c r="AG79" s="125"/>
      <c r="AH79" s="128"/>
      <c r="AI79" s="124"/>
      <c r="AJ79" s="125"/>
      <c r="AK79" s="125"/>
      <c r="AL79" s="125"/>
      <c r="AM79" s="128"/>
      <c r="AN79" s="124"/>
      <c r="AO79" s="125"/>
      <c r="AP79" s="125"/>
      <c r="AQ79" s="125"/>
      <c r="AR79" s="128"/>
      <c r="AS79" s="129"/>
      <c r="AT79" s="125"/>
      <c r="AU79" s="175"/>
      <c r="AV79" s="175"/>
      <c r="AW79" s="176"/>
      <c r="AX79" s="426">
        <f>'FBMS-HND LEVEL ONE'!E723</f>
        <v>10</v>
      </c>
      <c r="AY79" s="426">
        <f>'FBMS-HND LEVEL ONE'!F723</f>
        <v>27</v>
      </c>
      <c r="AZ79" s="426">
        <f>'FBMS-HND LEVEL ONE'!J723</f>
        <v>48</v>
      </c>
      <c r="BA79" s="426">
        <f>'FBMS-HND LEVEL ONE'!K723</f>
        <v>85</v>
      </c>
      <c r="BB79" s="426" t="str">
        <f>'FBMS-HND LEVEL ONE'!L723</f>
        <v>A</v>
      </c>
      <c r="BC79" s="129"/>
      <c r="BD79" s="125"/>
      <c r="BE79" s="125"/>
      <c r="BF79" s="125"/>
      <c r="BG79" s="127"/>
      <c r="BH79" s="124"/>
      <c r="BI79" s="125"/>
      <c r="BJ79" s="125"/>
      <c r="BK79" s="125"/>
      <c r="BL79" s="128"/>
      <c r="BM79" s="124"/>
      <c r="BN79" s="125"/>
      <c r="BO79" s="175"/>
      <c r="BP79" s="175"/>
      <c r="BQ79" s="325"/>
    </row>
    <row r="80" spans="1:69" ht="12.75" customHeight="1" x14ac:dyDescent="0.3">
      <c r="A80" s="323"/>
      <c r="B80" s="368"/>
      <c r="C80" s="369"/>
      <c r="D80" s="369"/>
      <c r="E80" s="129"/>
      <c r="F80" s="125"/>
      <c r="G80" s="125"/>
      <c r="H80" s="125"/>
      <c r="I80" s="128"/>
      <c r="J80" s="124"/>
      <c r="K80" s="125"/>
      <c r="L80" s="125"/>
      <c r="M80" s="125"/>
      <c r="N80" s="128"/>
      <c r="O80" s="124"/>
      <c r="P80" s="125"/>
      <c r="Q80" s="125"/>
      <c r="R80" s="125"/>
      <c r="S80" s="128"/>
      <c r="T80" s="124"/>
      <c r="U80" s="125"/>
      <c r="V80" s="125"/>
      <c r="W80" s="125"/>
      <c r="X80" s="128"/>
      <c r="Y80" s="124"/>
      <c r="Z80" s="125"/>
      <c r="AA80" s="125"/>
      <c r="AB80" s="125"/>
      <c r="AC80" s="128"/>
      <c r="AD80" s="124"/>
      <c r="AE80" s="125"/>
      <c r="AF80" s="125"/>
      <c r="AG80" s="125"/>
      <c r="AH80" s="128"/>
      <c r="AI80" s="124"/>
      <c r="AJ80" s="125"/>
      <c r="AK80" s="125"/>
      <c r="AL80" s="125"/>
      <c r="AM80" s="128"/>
      <c r="AN80" s="124"/>
      <c r="AO80" s="125"/>
      <c r="AP80" s="125"/>
      <c r="AQ80" s="125"/>
      <c r="AR80" s="128"/>
      <c r="AS80" s="129"/>
      <c r="AT80" s="125"/>
      <c r="AU80" s="175"/>
      <c r="AV80" s="175"/>
      <c r="AW80" s="176"/>
      <c r="AX80" s="124"/>
      <c r="AY80" s="125"/>
      <c r="AZ80" s="125"/>
      <c r="BA80" s="125"/>
      <c r="BB80" s="128"/>
      <c r="BC80" s="129"/>
      <c r="BD80" s="125"/>
      <c r="BE80" s="125"/>
      <c r="BF80" s="125"/>
      <c r="BG80" s="127"/>
      <c r="BH80" s="124"/>
      <c r="BI80" s="125"/>
      <c r="BJ80" s="125"/>
      <c r="BK80" s="125"/>
      <c r="BL80" s="128"/>
      <c r="BM80" s="124"/>
      <c r="BN80" s="125"/>
      <c r="BO80" s="175"/>
      <c r="BP80" s="175"/>
      <c r="BQ80" s="325"/>
    </row>
    <row r="81" spans="1:69" ht="12.75" customHeight="1" x14ac:dyDescent="0.3">
      <c r="A81" s="323"/>
      <c r="B81" s="62"/>
      <c r="C81" s="324"/>
      <c r="D81" s="370"/>
      <c r="E81" s="124"/>
      <c r="F81" s="125"/>
      <c r="G81" s="125"/>
      <c r="H81" s="125"/>
      <c r="I81" s="128"/>
      <c r="J81" s="124"/>
      <c r="K81" s="125"/>
      <c r="L81" s="125"/>
      <c r="M81" s="125"/>
      <c r="N81" s="128"/>
      <c r="O81" s="124"/>
      <c r="P81" s="125"/>
      <c r="Q81" s="125"/>
      <c r="R81" s="125"/>
      <c r="S81" s="128"/>
      <c r="T81" s="124"/>
      <c r="U81" s="125"/>
      <c r="V81" s="125"/>
      <c r="W81" s="125"/>
      <c r="X81" s="128"/>
      <c r="Y81" s="124"/>
      <c r="Z81" s="125"/>
      <c r="AA81" s="125"/>
      <c r="AB81" s="125"/>
      <c r="AC81" s="128"/>
      <c r="AD81" s="124"/>
      <c r="AE81" s="125"/>
      <c r="AF81" s="125"/>
      <c r="AG81" s="125"/>
      <c r="AH81" s="128"/>
      <c r="AI81" s="124"/>
      <c r="AJ81" s="125"/>
      <c r="AK81" s="125"/>
      <c r="AL81" s="125"/>
      <c r="AM81" s="128"/>
      <c r="AN81" s="124"/>
      <c r="AO81" s="125"/>
      <c r="AP81" s="125"/>
      <c r="AQ81" s="125"/>
      <c r="AR81" s="128"/>
      <c r="AS81" s="129"/>
      <c r="AT81" s="125"/>
      <c r="AU81" s="175"/>
      <c r="AV81" s="175"/>
      <c r="AW81" s="176"/>
      <c r="AX81" s="124"/>
      <c r="AY81" s="125"/>
      <c r="AZ81" s="125"/>
      <c r="BA81" s="125"/>
      <c r="BB81" s="128"/>
      <c r="BC81" s="129"/>
      <c r="BD81" s="125"/>
      <c r="BE81" s="125"/>
      <c r="BF81" s="125"/>
      <c r="BG81" s="127"/>
      <c r="BH81" s="124"/>
      <c r="BI81" s="125"/>
      <c r="BJ81" s="125"/>
      <c r="BK81" s="125"/>
      <c r="BL81" s="128"/>
      <c r="BM81" s="124"/>
      <c r="BN81" s="125"/>
      <c r="BO81" s="175"/>
      <c r="BP81" s="175"/>
      <c r="BQ81" s="325"/>
    </row>
    <row r="82" spans="1:69" ht="27" customHeight="1" x14ac:dyDescent="0.3">
      <c r="A82" s="557" t="s">
        <v>4</v>
      </c>
      <c r="B82" s="557"/>
      <c r="C82" s="557"/>
      <c r="D82" s="365"/>
      <c r="E82" s="558" t="s">
        <v>211</v>
      </c>
      <c r="F82" s="558"/>
      <c r="G82" s="558"/>
      <c r="H82" s="558"/>
      <c r="I82" s="558"/>
      <c r="J82" s="558" t="s">
        <v>50</v>
      </c>
      <c r="K82" s="558"/>
      <c r="L82" s="558"/>
      <c r="M82" s="558"/>
      <c r="N82" s="558"/>
      <c r="O82" s="556" t="s">
        <v>1956</v>
      </c>
      <c r="P82" s="556"/>
      <c r="Q82" s="556"/>
      <c r="R82" s="556"/>
      <c r="S82" s="556"/>
      <c r="T82" s="556" t="s">
        <v>53</v>
      </c>
      <c r="U82" s="556"/>
      <c r="V82" s="556"/>
      <c r="W82" s="556"/>
      <c r="X82" s="556"/>
      <c r="Y82" s="558" t="s">
        <v>55</v>
      </c>
      <c r="Z82" s="558"/>
      <c r="AA82" s="558"/>
      <c r="AB82" s="558"/>
      <c r="AC82" s="558"/>
      <c r="AD82" s="556" t="s">
        <v>1957</v>
      </c>
      <c r="AE82" s="556"/>
      <c r="AF82" s="556"/>
      <c r="AG82" s="556"/>
      <c r="AH82" s="556"/>
      <c r="AI82" s="556" t="s">
        <v>185</v>
      </c>
      <c r="AJ82" s="556"/>
      <c r="AK82" s="556"/>
      <c r="AL82" s="556"/>
      <c r="AM82" s="556"/>
      <c r="AN82" s="556" t="s">
        <v>1958</v>
      </c>
      <c r="AO82" s="556"/>
      <c r="AP82" s="556"/>
      <c r="AQ82" s="556"/>
      <c r="AR82" s="556"/>
      <c r="AS82" s="556" t="s">
        <v>1959</v>
      </c>
      <c r="AT82" s="556"/>
      <c r="AU82" s="556"/>
      <c r="AV82" s="556"/>
      <c r="AW82" s="556"/>
      <c r="AX82" s="556" t="s">
        <v>45</v>
      </c>
      <c r="AY82" s="556"/>
      <c r="AZ82" s="556"/>
      <c r="BA82" s="556"/>
      <c r="BB82" s="556"/>
      <c r="BC82" s="556" t="s">
        <v>63</v>
      </c>
      <c r="BD82" s="556"/>
      <c r="BE82" s="556"/>
      <c r="BF82" s="556"/>
      <c r="BG82" s="556"/>
      <c r="BH82" s="556" t="s">
        <v>65</v>
      </c>
      <c r="BI82" s="556"/>
      <c r="BJ82" s="556"/>
      <c r="BK82" s="556"/>
      <c r="BL82" s="556"/>
      <c r="BM82" s="556" t="s">
        <v>1960</v>
      </c>
      <c r="BN82" s="556"/>
      <c r="BO82" s="556"/>
      <c r="BP82" s="556"/>
      <c r="BQ82" s="556"/>
    </row>
    <row r="83" spans="1:69" ht="6.75" customHeight="1" x14ac:dyDescent="0.3">
      <c r="A83" s="557"/>
      <c r="B83" s="557"/>
      <c r="C83" s="557"/>
      <c r="D83" s="365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56"/>
      <c r="P83" s="556"/>
      <c r="Q83" s="556"/>
      <c r="R83" s="556"/>
      <c r="S83" s="556"/>
      <c r="T83" s="556"/>
      <c r="U83" s="556"/>
      <c r="V83" s="556"/>
      <c r="W83" s="556"/>
      <c r="X83" s="556"/>
      <c r="Y83" s="558"/>
      <c r="Z83" s="558"/>
      <c r="AA83" s="558"/>
      <c r="AB83" s="558"/>
      <c r="AC83" s="558"/>
      <c r="AD83" s="556"/>
      <c r="AE83" s="556"/>
      <c r="AF83" s="556"/>
      <c r="AG83" s="556"/>
      <c r="AH83" s="556"/>
      <c r="AI83" s="556"/>
      <c r="AJ83" s="556"/>
      <c r="AK83" s="556"/>
      <c r="AL83" s="556"/>
      <c r="AM83" s="556"/>
      <c r="AN83" s="556"/>
      <c r="AO83" s="556"/>
      <c r="AP83" s="556"/>
      <c r="AQ83" s="556"/>
      <c r="AR83" s="556"/>
      <c r="AS83" s="556"/>
      <c r="AT83" s="556"/>
      <c r="AU83" s="556"/>
      <c r="AV83" s="556"/>
      <c r="AW83" s="556"/>
      <c r="AX83" s="556"/>
      <c r="AY83" s="556"/>
      <c r="AZ83" s="556"/>
      <c r="BA83" s="556"/>
      <c r="BB83" s="556"/>
      <c r="BC83" s="556"/>
      <c r="BD83" s="556"/>
      <c r="BE83" s="556"/>
      <c r="BF83" s="556"/>
      <c r="BG83" s="556"/>
      <c r="BH83" s="556"/>
      <c r="BI83" s="556"/>
      <c r="BJ83" s="556"/>
      <c r="BK83" s="556"/>
      <c r="BL83" s="556"/>
      <c r="BM83" s="556"/>
      <c r="BN83" s="556"/>
      <c r="BO83" s="556"/>
      <c r="BP83" s="556"/>
      <c r="BQ83" s="556"/>
    </row>
    <row r="84" spans="1:69" ht="18" x14ac:dyDescent="0.35">
      <c r="A84" s="555" t="s">
        <v>19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55"/>
      <c r="AB84" s="555"/>
      <c r="AC84" s="555"/>
      <c r="AD84" s="555"/>
      <c r="AE84" s="555"/>
      <c r="AF84" s="555"/>
      <c r="AG84" s="555"/>
      <c r="AH84" s="555"/>
    </row>
    <row r="85" spans="1:69" x14ac:dyDescent="0.3">
      <c r="A85" s="123"/>
      <c r="B85" s="100"/>
      <c r="C85" s="132" t="s">
        <v>20</v>
      </c>
      <c r="D85" s="371"/>
      <c r="E85" s="123"/>
      <c r="F85" s="100"/>
      <c r="G85" s="100"/>
      <c r="H85" s="133"/>
      <c r="I85" s="134">
        <f>COUNT(F9:F62)</f>
        <v>54</v>
      </c>
      <c r="J85" s="123"/>
      <c r="K85" s="100"/>
      <c r="L85" s="100"/>
      <c r="M85" s="133"/>
      <c r="N85" s="134">
        <f>COUNT(K9:K73)</f>
        <v>64</v>
      </c>
      <c r="O85" s="123"/>
      <c r="P85" s="100"/>
      <c r="Q85" s="100"/>
      <c r="R85" s="133"/>
      <c r="S85" s="134">
        <f>COUNT(P9:P62)</f>
        <v>54</v>
      </c>
      <c r="T85" s="123"/>
      <c r="U85" s="100"/>
      <c r="V85" s="100"/>
      <c r="W85" s="133"/>
      <c r="X85" s="134">
        <f>COUNT(U9:U67)</f>
        <v>53</v>
      </c>
      <c r="Y85" s="123"/>
      <c r="Z85" s="100"/>
      <c r="AA85" s="100"/>
      <c r="AB85" s="133"/>
      <c r="AC85" s="134">
        <f>COUNT(Z9:Z62)</f>
        <v>54</v>
      </c>
      <c r="AD85" s="123"/>
      <c r="AE85" s="100"/>
      <c r="AF85" s="100"/>
      <c r="AG85" s="133"/>
      <c r="AH85" s="134">
        <f>COUNT(AE9:AE76)</f>
        <v>55</v>
      </c>
      <c r="AI85" s="123"/>
      <c r="AJ85" s="100"/>
      <c r="AK85" s="100"/>
      <c r="AL85" s="133"/>
      <c r="AM85" s="134">
        <f>COUNT(AJ9:AJ62)</f>
        <v>54</v>
      </c>
      <c r="AN85" s="123"/>
      <c r="AO85" s="100"/>
      <c r="AP85" s="100"/>
      <c r="AQ85" s="133"/>
      <c r="AR85" s="134">
        <f>COUNT(AO9:AO75)</f>
        <v>56</v>
      </c>
      <c r="AS85" s="123"/>
      <c r="AT85" s="100"/>
      <c r="AU85" s="100"/>
      <c r="AV85" s="133"/>
      <c r="AW85" s="134">
        <f>COUNT(AT9:AT62)</f>
        <v>54</v>
      </c>
      <c r="AX85" s="123"/>
      <c r="AY85" s="100"/>
      <c r="AZ85" s="100"/>
      <c r="BA85" s="133"/>
      <c r="BB85" s="134">
        <f>COUNT(AY9:AY79)</f>
        <v>56</v>
      </c>
      <c r="BC85" s="123"/>
      <c r="BD85" s="100"/>
      <c r="BE85" s="100"/>
      <c r="BF85" s="133"/>
      <c r="BG85" s="134">
        <f>COUNT(BD9:BD62)</f>
        <v>54</v>
      </c>
      <c r="BH85" s="123"/>
      <c r="BI85" s="100"/>
      <c r="BJ85" s="100"/>
      <c r="BK85" s="133"/>
      <c r="BL85" s="134">
        <f>COUNT(BI9:BI77)</f>
        <v>56</v>
      </c>
      <c r="BM85" s="123"/>
      <c r="BN85" s="100"/>
      <c r="BO85" s="100"/>
      <c r="BP85" s="133"/>
      <c r="BQ85" s="134">
        <f>COUNT(BN9:BN62)</f>
        <v>54</v>
      </c>
    </row>
    <row r="86" spans="1:69" x14ac:dyDescent="0.3">
      <c r="A86" s="131"/>
      <c r="B86" s="56"/>
      <c r="C86" s="135" t="s">
        <v>21</v>
      </c>
      <c r="D86" s="372"/>
      <c r="E86" s="131"/>
      <c r="F86" s="56"/>
      <c r="G86" s="56"/>
      <c r="H86" s="136"/>
      <c r="I86" s="137">
        <f>COUNT(G9:G62)</f>
        <v>54</v>
      </c>
      <c r="J86" s="131"/>
      <c r="K86" s="56"/>
      <c r="L86" s="56"/>
      <c r="M86" s="136"/>
      <c r="N86" s="137">
        <f>COUNT(L9:L73)</f>
        <v>59</v>
      </c>
      <c r="O86" s="131"/>
      <c r="P86" s="56"/>
      <c r="Q86" s="56"/>
      <c r="R86" s="136"/>
      <c r="S86" s="137">
        <f>COUNT(Q9:Q62)</f>
        <v>54</v>
      </c>
      <c r="T86" s="131"/>
      <c r="U86" s="56"/>
      <c r="V86" s="56"/>
      <c r="W86" s="136"/>
      <c r="X86" s="137">
        <f>COUNT(V9:V67)</f>
        <v>51</v>
      </c>
      <c r="Y86" s="131"/>
      <c r="Z86" s="56"/>
      <c r="AA86" s="56"/>
      <c r="AB86" s="136"/>
      <c r="AC86" s="137">
        <f>COUNT(AA9:AA62)</f>
        <v>54</v>
      </c>
      <c r="AD86" s="131"/>
      <c r="AE86" s="56"/>
      <c r="AF86" s="56"/>
      <c r="AG86" s="136"/>
      <c r="AH86" s="137">
        <f>COUNT(AF9:AF76)</f>
        <v>54</v>
      </c>
      <c r="AI86" s="131"/>
      <c r="AJ86" s="56"/>
      <c r="AK86" s="56"/>
      <c r="AL86" s="136"/>
      <c r="AM86" s="137">
        <f>COUNT(AK9:AK62)</f>
        <v>54</v>
      </c>
      <c r="AN86" s="131"/>
      <c r="AO86" s="56"/>
      <c r="AP86" s="56"/>
      <c r="AQ86" s="136"/>
      <c r="AR86" s="137">
        <f>COUNT(AP9:AP75)</f>
        <v>55</v>
      </c>
      <c r="AS86" s="131"/>
      <c r="AT86" s="56"/>
      <c r="AU86" s="56"/>
      <c r="AV86" s="136"/>
      <c r="AW86" s="137">
        <f>COUNT(AU9:AU62)</f>
        <v>54</v>
      </c>
      <c r="AX86" s="131"/>
      <c r="AY86" s="56"/>
      <c r="AZ86" s="56"/>
      <c r="BA86" s="136"/>
      <c r="BB86" s="137">
        <f>COUNT(AZ9:AZ79)</f>
        <v>56</v>
      </c>
      <c r="BC86" s="131"/>
      <c r="BD86" s="56"/>
      <c r="BE86" s="56"/>
      <c r="BF86" s="136"/>
      <c r="BG86" s="137">
        <f>COUNT(BE9:BE62)</f>
        <v>54</v>
      </c>
      <c r="BH86" s="131"/>
      <c r="BI86" s="56"/>
      <c r="BJ86" s="56"/>
      <c r="BK86" s="136"/>
      <c r="BL86" s="137">
        <f>COUNT(BJ9:BJ77)</f>
        <v>55</v>
      </c>
      <c r="BM86" s="131"/>
      <c r="BN86" s="56"/>
      <c r="BO86" s="56"/>
      <c r="BP86" s="136"/>
      <c r="BQ86" s="137">
        <f>COUNT(BO9:BO62)</f>
        <v>54</v>
      </c>
    </row>
    <row r="87" spans="1:69" x14ac:dyDescent="0.3">
      <c r="A87" s="131"/>
      <c r="B87" s="56"/>
      <c r="C87" s="135" t="s">
        <v>22</v>
      </c>
      <c r="D87" s="372"/>
      <c r="E87" s="131"/>
      <c r="F87" s="56"/>
      <c r="G87" s="56"/>
      <c r="H87" s="136"/>
      <c r="I87" s="137">
        <f>I85-I86</f>
        <v>0</v>
      </c>
      <c r="J87" s="131"/>
      <c r="K87" s="56"/>
      <c r="L87" s="56"/>
      <c r="M87" s="136"/>
      <c r="N87" s="137">
        <f>N85-N86</f>
        <v>5</v>
      </c>
      <c r="O87" s="131"/>
      <c r="P87" s="56"/>
      <c r="Q87" s="56"/>
      <c r="R87" s="136"/>
      <c r="S87" s="137">
        <f>S85-S86</f>
        <v>0</v>
      </c>
      <c r="T87" s="131"/>
      <c r="U87" s="56"/>
      <c r="V87" s="56"/>
      <c r="W87" s="136"/>
      <c r="X87" s="137">
        <f>X85-X86</f>
        <v>2</v>
      </c>
      <c r="Y87" s="131"/>
      <c r="Z87" s="56"/>
      <c r="AA87" s="56"/>
      <c r="AB87" s="136"/>
      <c r="AC87" s="137">
        <f>AC85-AC86</f>
        <v>0</v>
      </c>
      <c r="AD87" s="131"/>
      <c r="AE87" s="56"/>
      <c r="AF87" s="56"/>
      <c r="AG87" s="136"/>
      <c r="AH87" s="137">
        <f>AH85-AH86</f>
        <v>1</v>
      </c>
      <c r="AI87" s="131"/>
      <c r="AJ87" s="56"/>
      <c r="AK87" s="56"/>
      <c r="AL87" s="136"/>
      <c r="AM87" s="137">
        <f>AM85-AM86</f>
        <v>0</v>
      </c>
      <c r="AN87" s="131"/>
      <c r="AO87" s="56"/>
      <c r="AP87" s="56"/>
      <c r="AQ87" s="136"/>
      <c r="AR87" s="137">
        <f>AR85-AR86</f>
        <v>1</v>
      </c>
      <c r="AS87" s="131"/>
      <c r="AT87" s="56"/>
      <c r="AU87" s="56"/>
      <c r="AV87" s="136"/>
      <c r="AW87" s="137">
        <f>AW85-AW86</f>
        <v>0</v>
      </c>
      <c r="AX87" s="131"/>
      <c r="AY87" s="56"/>
      <c r="AZ87" s="56"/>
      <c r="BA87" s="136"/>
      <c r="BB87" s="137">
        <f>BB85-BB86</f>
        <v>0</v>
      </c>
      <c r="BC87" s="131"/>
      <c r="BD87" s="56"/>
      <c r="BE87" s="56"/>
      <c r="BF87" s="136"/>
      <c r="BG87" s="137">
        <f>BG85-BG86</f>
        <v>0</v>
      </c>
      <c r="BH87" s="131"/>
      <c r="BI87" s="56"/>
      <c r="BJ87" s="56"/>
      <c r="BK87" s="136"/>
      <c r="BL87" s="137">
        <f>BL85-BL86</f>
        <v>1</v>
      </c>
      <c r="BM87" s="131"/>
      <c r="BN87" s="56"/>
      <c r="BO87" s="56"/>
      <c r="BP87" s="136"/>
      <c r="BQ87" s="137">
        <f>BQ85-BQ86</f>
        <v>0</v>
      </c>
    </row>
    <row r="88" spans="1:69" x14ac:dyDescent="0.3">
      <c r="A88" s="131"/>
      <c r="B88" s="56"/>
      <c r="C88" s="135" t="s">
        <v>23</v>
      </c>
      <c r="D88" s="372"/>
      <c r="E88" s="131"/>
      <c r="F88" s="56"/>
      <c r="G88" s="56"/>
      <c r="H88" s="136"/>
      <c r="I88" s="137">
        <f>COUNTIF(H9:H63,"&gt;49")</f>
        <v>47</v>
      </c>
      <c r="J88" s="131"/>
      <c r="K88" s="56"/>
      <c r="L88" s="56"/>
      <c r="M88" s="136"/>
      <c r="N88" s="137">
        <f>COUNTIF(M9:M73,"&gt;49")</f>
        <v>52</v>
      </c>
      <c r="O88" s="131"/>
      <c r="P88" s="56"/>
      <c r="Q88" s="56"/>
      <c r="R88" s="136"/>
      <c r="S88" s="137">
        <f>COUNTIF(R9:R63,"&gt;49")</f>
        <v>40</v>
      </c>
      <c r="T88" s="131"/>
      <c r="U88" s="56"/>
      <c r="V88" s="56"/>
      <c r="W88" s="136"/>
      <c r="X88" s="137">
        <f>COUNTIF(W9:W67,"&gt;49")</f>
        <v>46</v>
      </c>
      <c r="Y88" s="131"/>
      <c r="Z88" s="56"/>
      <c r="AA88" s="56"/>
      <c r="AB88" s="136"/>
      <c r="AC88" s="137">
        <f>COUNTIF(AB9:AB63,"&gt;49")</f>
        <v>26</v>
      </c>
      <c r="AD88" s="131"/>
      <c r="AE88" s="56"/>
      <c r="AF88" s="56"/>
      <c r="AG88" s="136"/>
      <c r="AH88" s="137">
        <f>COUNTIF(AG9:AG76,"&gt;49")</f>
        <v>44</v>
      </c>
      <c r="AI88" s="131"/>
      <c r="AJ88" s="56"/>
      <c r="AK88" s="56"/>
      <c r="AL88" s="136"/>
      <c r="AM88" s="137">
        <f>COUNTIF(AL9:AL63,"&gt;49")</f>
        <v>53</v>
      </c>
      <c r="AN88" s="131"/>
      <c r="AO88" s="56"/>
      <c r="AP88" s="56"/>
      <c r="AQ88" s="136"/>
      <c r="AR88" s="137">
        <f>COUNTIF(AQ9:AQ75,"&gt;49")</f>
        <v>43</v>
      </c>
      <c r="AS88" s="131"/>
      <c r="AT88" s="56"/>
      <c r="AU88" s="56"/>
      <c r="AV88" s="136"/>
      <c r="AW88" s="137">
        <f>COUNTIF(AV9:AV63,"&gt;49")</f>
        <v>50</v>
      </c>
      <c r="AX88" s="131"/>
      <c r="AY88" s="56"/>
      <c r="AZ88" s="56"/>
      <c r="BA88" s="136"/>
      <c r="BB88" s="137">
        <f>COUNTIF(BA9:BA79,"&gt;49")</f>
        <v>41</v>
      </c>
      <c r="BC88" s="131"/>
      <c r="BD88" s="56"/>
      <c r="BE88" s="56"/>
      <c r="BF88" s="136"/>
      <c r="BG88" s="137">
        <f>COUNTIF(BF9:BF63,"&gt;49")</f>
        <v>40</v>
      </c>
      <c r="BH88" s="131"/>
      <c r="BI88" s="56"/>
      <c r="BJ88" s="56"/>
      <c r="BK88" s="136"/>
      <c r="BL88" s="137">
        <f>COUNTIF(BK9:BK77,"&gt;49")</f>
        <v>41</v>
      </c>
      <c r="BM88" s="131"/>
      <c r="BN88" s="56"/>
      <c r="BO88" s="56"/>
      <c r="BP88" s="136"/>
      <c r="BQ88" s="137">
        <f>COUNTIF(BP9:BP63,"&gt;49")</f>
        <v>54</v>
      </c>
    </row>
    <row r="89" spans="1:69" x14ac:dyDescent="0.3">
      <c r="A89" s="131"/>
      <c r="B89" s="56"/>
      <c r="C89" s="135" t="s">
        <v>24</v>
      </c>
      <c r="D89" s="372"/>
      <c r="E89" s="131"/>
      <c r="F89" s="56"/>
      <c r="G89" s="56"/>
      <c r="H89" s="320"/>
      <c r="I89" s="321">
        <f>I88/I86</f>
        <v>0.87037037037037035</v>
      </c>
      <c r="J89" s="131"/>
      <c r="K89" s="56"/>
      <c r="L89" s="56"/>
      <c r="M89" s="320"/>
      <c r="N89" s="321">
        <f>N88/N86</f>
        <v>0.88135593220338981</v>
      </c>
      <c r="O89" s="131"/>
      <c r="P89" s="56"/>
      <c r="Q89" s="56"/>
      <c r="R89" s="320"/>
      <c r="S89" s="321">
        <f>S88/S86</f>
        <v>0.7407407407407407</v>
      </c>
      <c r="T89" s="131"/>
      <c r="U89" s="56"/>
      <c r="V89" s="56"/>
      <c r="W89" s="320"/>
      <c r="X89" s="321">
        <f>X88/X86</f>
        <v>0.90196078431372551</v>
      </c>
      <c r="Y89" s="131"/>
      <c r="Z89" s="56"/>
      <c r="AA89" s="56"/>
      <c r="AB89" s="320"/>
      <c r="AC89" s="321">
        <f>AC88/AC86</f>
        <v>0.48148148148148145</v>
      </c>
      <c r="AD89" s="131"/>
      <c r="AE89" s="56"/>
      <c r="AF89" s="56"/>
      <c r="AG89" s="320"/>
      <c r="AH89" s="321">
        <f>AH88/AH86</f>
        <v>0.81481481481481477</v>
      </c>
      <c r="AI89" s="131"/>
      <c r="AJ89" s="56"/>
      <c r="AK89" s="56"/>
      <c r="AL89" s="320"/>
      <c r="AM89" s="321">
        <f>AM88/AM86</f>
        <v>0.98148148148148151</v>
      </c>
      <c r="AN89" s="131"/>
      <c r="AO89" s="56"/>
      <c r="AP89" s="56"/>
      <c r="AQ89" s="320"/>
      <c r="AR89" s="321">
        <f>AR88/AR86</f>
        <v>0.78181818181818186</v>
      </c>
      <c r="AS89" s="131"/>
      <c r="AT89" s="56"/>
      <c r="AU89" s="56"/>
      <c r="AV89" s="320"/>
      <c r="AW89" s="321">
        <f>AW88/AW86</f>
        <v>0.92592592592592593</v>
      </c>
      <c r="AX89" s="131"/>
      <c r="AY89" s="56"/>
      <c r="AZ89" s="56"/>
      <c r="BA89" s="320"/>
      <c r="BB89" s="321">
        <f>BB88/BB86</f>
        <v>0.7321428571428571</v>
      </c>
      <c r="BC89" s="131"/>
      <c r="BD89" s="56"/>
      <c r="BE89" s="56"/>
      <c r="BF89" s="320"/>
      <c r="BG89" s="321">
        <f>BG88/BG86</f>
        <v>0.7407407407407407</v>
      </c>
      <c r="BH89" s="131"/>
      <c r="BI89" s="56"/>
      <c r="BJ89" s="56"/>
      <c r="BK89" s="320"/>
      <c r="BL89" s="321">
        <f>BL88/BL86</f>
        <v>0.74545454545454548</v>
      </c>
      <c r="BM89" s="131"/>
      <c r="BN89" s="56"/>
      <c r="BO89" s="56"/>
      <c r="BP89" s="320"/>
      <c r="BQ89" s="321">
        <f>BQ88/BQ86</f>
        <v>1</v>
      </c>
    </row>
    <row r="90" spans="1:69" x14ac:dyDescent="0.3">
      <c r="A90" s="131"/>
      <c r="B90" s="56"/>
      <c r="C90" s="135" t="s">
        <v>25</v>
      </c>
      <c r="D90" s="372"/>
      <c r="E90" s="131"/>
      <c r="F90" s="56"/>
      <c r="G90" s="56"/>
      <c r="H90" s="136"/>
      <c r="I90" s="137">
        <f>COUNTIF(H9:H62,"&lt;50")</f>
        <v>7</v>
      </c>
      <c r="J90" s="131"/>
      <c r="K90" s="56"/>
      <c r="L90" s="56"/>
      <c r="M90" s="136"/>
      <c r="N90" s="137">
        <f>COUNTIF(M9:M73,"&lt;50")</f>
        <v>12</v>
      </c>
      <c r="O90" s="131"/>
      <c r="P90" s="56"/>
      <c r="Q90" s="56"/>
      <c r="R90" s="136"/>
      <c r="S90" s="137">
        <f>COUNTIF(R9:R62,"&lt;50")</f>
        <v>14</v>
      </c>
      <c r="T90" s="131"/>
      <c r="U90" s="56"/>
      <c r="V90" s="56"/>
      <c r="W90" s="136"/>
      <c r="X90" s="137">
        <f>COUNTIF(W9:W67,"&lt;50")</f>
        <v>9</v>
      </c>
      <c r="Y90" s="131"/>
      <c r="Z90" s="56"/>
      <c r="AA90" s="56"/>
      <c r="AB90" s="136"/>
      <c r="AC90" s="137">
        <f>COUNTIF(AB9:AB62,"&lt;50")</f>
        <v>28</v>
      </c>
      <c r="AD90" s="131"/>
      <c r="AE90" s="56"/>
      <c r="AF90" s="56"/>
      <c r="AG90" s="136"/>
      <c r="AH90" s="137">
        <f>COUNTIF(AG9:AG76,"&lt;50")</f>
        <v>11</v>
      </c>
      <c r="AI90" s="131"/>
      <c r="AJ90" s="56"/>
      <c r="AK90" s="56"/>
      <c r="AL90" s="136"/>
      <c r="AM90" s="137">
        <f>COUNTIF(AL9:AL62,"&lt;50")</f>
        <v>1</v>
      </c>
      <c r="AN90" s="131"/>
      <c r="AO90" s="56"/>
      <c r="AP90" s="56"/>
      <c r="AQ90" s="136"/>
      <c r="AR90" s="137">
        <f>COUNTIF(AQ9:AQ75,"&lt;50")</f>
        <v>13</v>
      </c>
      <c r="AS90" s="131"/>
      <c r="AT90" s="56"/>
      <c r="AU90" s="56"/>
      <c r="AV90" s="136"/>
      <c r="AW90" s="137">
        <f>COUNTIF(AV9:AV62,"&lt;50")</f>
        <v>4</v>
      </c>
      <c r="AX90" s="131"/>
      <c r="AY90" s="56"/>
      <c r="AZ90" s="56"/>
      <c r="BA90" s="136"/>
      <c r="BB90" s="137">
        <f>COUNTIF(BA9:BA79,"&lt;50")</f>
        <v>15</v>
      </c>
      <c r="BC90" s="131"/>
      <c r="BD90" s="56"/>
      <c r="BE90" s="56"/>
      <c r="BF90" s="136"/>
      <c r="BG90" s="137">
        <f>COUNTIF(BF9:BF62,"&lt;50")</f>
        <v>14</v>
      </c>
      <c r="BH90" s="131"/>
      <c r="BI90" s="56"/>
      <c r="BJ90" s="56"/>
      <c r="BK90" s="136"/>
      <c r="BL90" s="137">
        <f>COUNTIF(BK9:BK77,"&lt;50")</f>
        <v>15</v>
      </c>
      <c r="BM90" s="131"/>
      <c r="BN90" s="56"/>
      <c r="BO90" s="56"/>
      <c r="BP90" s="136"/>
      <c r="BQ90" s="137">
        <f>COUNTIF(BP9:BP62,"&lt;50")</f>
        <v>0</v>
      </c>
    </row>
    <row r="91" spans="1:69" x14ac:dyDescent="0.3">
      <c r="A91" s="131"/>
      <c r="B91" s="56"/>
      <c r="C91" s="135" t="s">
        <v>26</v>
      </c>
      <c r="D91" s="372"/>
      <c r="E91" s="131"/>
      <c r="F91" s="56"/>
      <c r="G91" s="56"/>
      <c r="H91" s="320"/>
      <c r="I91" s="321">
        <f>I90/I86</f>
        <v>0.12962962962962962</v>
      </c>
      <c r="J91" s="131"/>
      <c r="K91" s="56"/>
      <c r="L91" s="56"/>
      <c r="M91" s="320"/>
      <c r="N91" s="321">
        <f>N90/N86</f>
        <v>0.20338983050847459</v>
      </c>
      <c r="O91" s="131"/>
      <c r="P91" s="56"/>
      <c r="Q91" s="56"/>
      <c r="R91" s="320"/>
      <c r="S91" s="321">
        <f>S90/S86</f>
        <v>0.25925925925925924</v>
      </c>
      <c r="T91" s="131"/>
      <c r="U91" s="56"/>
      <c r="V91" s="56"/>
      <c r="W91" s="320"/>
      <c r="X91" s="321">
        <f>X90/X86</f>
        <v>0.17647058823529413</v>
      </c>
      <c r="Y91" s="131"/>
      <c r="Z91" s="56"/>
      <c r="AA91" s="56"/>
      <c r="AB91" s="320"/>
      <c r="AC91" s="321">
        <f>AC90/AC86</f>
        <v>0.51851851851851849</v>
      </c>
      <c r="AD91" s="131"/>
      <c r="AE91" s="56"/>
      <c r="AF91" s="56"/>
      <c r="AG91" s="320"/>
      <c r="AH91" s="321">
        <f>AH90/AH86</f>
        <v>0.20370370370370369</v>
      </c>
      <c r="AI91" s="131"/>
      <c r="AJ91" s="56"/>
      <c r="AK91" s="56"/>
      <c r="AL91" s="320"/>
      <c r="AM91" s="321">
        <f>AM90/AM86</f>
        <v>1.8518518518518517E-2</v>
      </c>
      <c r="AN91" s="131"/>
      <c r="AO91" s="56"/>
      <c r="AP91" s="56"/>
      <c r="AQ91" s="320"/>
      <c r="AR91" s="321">
        <f>AR90/AR86</f>
        <v>0.23636363636363636</v>
      </c>
      <c r="AS91" s="131"/>
      <c r="AT91" s="56"/>
      <c r="AU91" s="56"/>
      <c r="AV91" s="320"/>
      <c r="AW91" s="321">
        <f>AW90/AW86</f>
        <v>7.407407407407407E-2</v>
      </c>
      <c r="AX91" s="131"/>
      <c r="AY91" s="56"/>
      <c r="AZ91" s="56"/>
      <c r="BA91" s="320"/>
      <c r="BB91" s="321">
        <f>BB90/BB86</f>
        <v>0.26785714285714285</v>
      </c>
      <c r="BC91" s="131"/>
      <c r="BD91" s="56"/>
      <c r="BE91" s="56"/>
      <c r="BF91" s="320"/>
      <c r="BG91" s="321">
        <f>BG90/BG86</f>
        <v>0.25925925925925924</v>
      </c>
      <c r="BH91" s="131"/>
      <c r="BI91" s="56"/>
      <c r="BJ91" s="56"/>
      <c r="BK91" s="320"/>
      <c r="BL91" s="321">
        <f>BL90/BL86</f>
        <v>0.27272727272727271</v>
      </c>
      <c r="BM91" s="131"/>
      <c r="BN91" s="56"/>
      <c r="BO91" s="56"/>
      <c r="BP91" s="320"/>
      <c r="BQ91" s="321">
        <f>BQ90/BQ86</f>
        <v>0</v>
      </c>
    </row>
    <row r="92" spans="1:69" x14ac:dyDescent="0.3">
      <c r="A92" s="131"/>
      <c r="B92" s="56"/>
      <c r="C92" s="135" t="s">
        <v>27</v>
      </c>
      <c r="D92" s="372"/>
      <c r="E92" s="131"/>
      <c r="F92" s="56"/>
      <c r="G92" s="56"/>
      <c r="H92" s="318"/>
      <c r="I92" s="319">
        <f>AVERAGE(H9:H62)</f>
        <v>66.833333333333329</v>
      </c>
      <c r="J92" s="138"/>
      <c r="K92" s="139"/>
      <c r="L92" s="139"/>
      <c r="M92" s="318"/>
      <c r="N92" s="319">
        <f>AVERAGE(M9:M73)</f>
        <v>55.53125</v>
      </c>
      <c r="O92" s="138"/>
      <c r="P92" s="139"/>
      <c r="Q92" s="139"/>
      <c r="R92" s="318"/>
      <c r="S92" s="319">
        <f>AVERAGE(R9:R62)</f>
        <v>55.574074074074076</v>
      </c>
      <c r="T92" s="138"/>
      <c r="U92" s="139"/>
      <c r="V92" s="139"/>
      <c r="W92" s="318"/>
      <c r="X92" s="319">
        <f>AVERAGE(W9:W67)</f>
        <v>55.236363636363635</v>
      </c>
      <c r="Y92" s="138"/>
      <c r="Z92" s="139"/>
      <c r="AA92" s="139"/>
      <c r="AB92" s="318"/>
      <c r="AC92" s="319">
        <f>AVERAGE(AB9:AB62)</f>
        <v>47.166666666666664</v>
      </c>
      <c r="AD92" s="138"/>
      <c r="AE92" s="139"/>
      <c r="AF92" s="139"/>
      <c r="AG92" s="318"/>
      <c r="AH92" s="319">
        <f>AVERAGE(AG9:AG76)</f>
        <v>59.518181818181816</v>
      </c>
      <c r="AI92" s="131"/>
      <c r="AJ92" s="56"/>
      <c r="AK92" s="56"/>
      <c r="AL92" s="318"/>
      <c r="AM92" s="319">
        <f>AVERAGE(AL9:AL62)</f>
        <v>63.148148148148145</v>
      </c>
      <c r="AN92" s="138"/>
      <c r="AO92" s="139"/>
      <c r="AP92" s="139"/>
      <c r="AQ92" s="318"/>
      <c r="AR92" s="319">
        <f>AVERAGE(AQ9:AQ75)</f>
        <v>56.901785714285715</v>
      </c>
      <c r="AS92" s="138"/>
      <c r="AT92" s="139"/>
      <c r="AU92" s="139"/>
      <c r="AV92" s="318"/>
      <c r="AW92" s="319">
        <f>AVERAGE(AV9:AV62)</f>
        <v>63.361111111111114</v>
      </c>
      <c r="AX92" s="138"/>
      <c r="AY92" s="139"/>
      <c r="AZ92" s="139"/>
      <c r="BA92" s="318"/>
      <c r="BB92" s="319">
        <f>AVERAGE(BA9:BA79)</f>
        <v>55.732142857142854</v>
      </c>
      <c r="BC92" s="138"/>
      <c r="BD92" s="139"/>
      <c r="BE92" s="139"/>
      <c r="BF92" s="318"/>
      <c r="BG92" s="319">
        <f>AVERAGE(BF9:BF62)</f>
        <v>57.518518518518519</v>
      </c>
      <c r="BH92" s="138"/>
      <c r="BI92" s="139"/>
      <c r="BJ92" s="139"/>
      <c r="BK92" s="318"/>
      <c r="BL92" s="319">
        <f>AVERAGE(BK9:BK77)</f>
        <v>59.294642857142854</v>
      </c>
      <c r="BM92" s="138"/>
      <c r="BN92" s="139"/>
      <c r="BO92" s="139"/>
      <c r="BP92" s="318"/>
      <c r="BQ92" s="319">
        <f>AVERAGE(BP9:BP62)</f>
        <v>65.268518518518519</v>
      </c>
    </row>
    <row r="93" spans="1:69" x14ac:dyDescent="0.3">
      <c r="A93" s="131"/>
      <c r="B93" s="56"/>
      <c r="C93" s="140" t="s">
        <v>17</v>
      </c>
      <c r="D93" s="373"/>
      <c r="E93" s="141"/>
      <c r="F93" s="56"/>
      <c r="G93" s="56"/>
      <c r="H93" s="56"/>
      <c r="I93" s="142"/>
      <c r="J93" s="131"/>
      <c r="K93" s="56"/>
      <c r="L93" s="56"/>
      <c r="M93" s="56"/>
      <c r="N93" s="142"/>
      <c r="O93" s="131"/>
      <c r="P93" s="56"/>
      <c r="Q93" s="56"/>
      <c r="R93" s="56"/>
      <c r="S93" s="142"/>
      <c r="T93" s="131"/>
      <c r="U93" s="56"/>
      <c r="V93" s="56"/>
      <c r="W93" s="56"/>
      <c r="X93" s="142"/>
      <c r="Y93" s="131"/>
      <c r="Z93" s="56"/>
      <c r="AA93" s="56"/>
      <c r="AB93" s="56"/>
      <c r="AC93" s="142"/>
      <c r="AD93" s="131"/>
      <c r="AE93" s="56"/>
      <c r="AF93" s="56"/>
      <c r="AG93" s="56"/>
      <c r="AH93" s="142"/>
      <c r="AI93" s="141"/>
      <c r="AJ93" s="56"/>
      <c r="AK93" s="56"/>
      <c r="AL93" s="56"/>
      <c r="AM93" s="142"/>
      <c r="AN93" s="131"/>
      <c r="AO93" s="56"/>
      <c r="AP93" s="56"/>
      <c r="AQ93" s="56"/>
      <c r="AR93" s="142"/>
      <c r="AS93" s="131"/>
      <c r="AT93" s="56"/>
      <c r="AU93" s="56"/>
      <c r="AV93" s="56"/>
      <c r="AW93" s="142"/>
      <c r="AX93" s="131"/>
      <c r="AY93" s="56"/>
      <c r="AZ93" s="56"/>
      <c r="BA93" s="56"/>
      <c r="BB93" s="142"/>
      <c r="BC93" s="131"/>
      <c r="BD93" s="56"/>
      <c r="BE93" s="56"/>
      <c r="BF93" s="56"/>
      <c r="BG93" s="142"/>
      <c r="BH93" s="131"/>
      <c r="BI93" s="56"/>
      <c r="BJ93" s="56"/>
      <c r="BK93" s="56"/>
      <c r="BL93" s="142"/>
      <c r="BM93" s="131"/>
      <c r="BN93" s="56"/>
      <c r="BO93" s="56"/>
      <c r="BP93" s="56"/>
      <c r="BQ93" s="142"/>
    </row>
    <row r="94" spans="1:69" x14ac:dyDescent="0.3">
      <c r="A94" s="131"/>
      <c r="B94" s="56"/>
      <c r="C94" s="135" t="s">
        <v>28</v>
      </c>
      <c r="D94" s="372"/>
      <c r="E94" s="131"/>
      <c r="F94" s="56"/>
      <c r="G94" s="56"/>
      <c r="H94" s="56"/>
      <c r="I94" s="143">
        <f>COUNTIF(I9:I62,"A")</f>
        <v>12</v>
      </c>
      <c r="J94" s="131"/>
      <c r="K94" s="56"/>
      <c r="L94" s="56"/>
      <c r="M94" s="56"/>
      <c r="N94" s="143">
        <f>COUNTIF(N9:N73,"A")</f>
        <v>2</v>
      </c>
      <c r="O94" s="131"/>
      <c r="P94" s="56"/>
      <c r="Q94" s="56"/>
      <c r="R94" s="56"/>
      <c r="S94" s="143">
        <f>COUNTIF(S9:S62,"A")</f>
        <v>1</v>
      </c>
      <c r="T94" s="131"/>
      <c r="U94" s="56"/>
      <c r="V94" s="56"/>
      <c r="W94" s="56"/>
      <c r="X94" s="143">
        <f>COUNTIF(X9:X67,"A")</f>
        <v>1</v>
      </c>
      <c r="Y94" s="131"/>
      <c r="Z94" s="56"/>
      <c r="AA94" s="56"/>
      <c r="AB94" s="56"/>
      <c r="AC94" s="143">
        <f>COUNTIF(AC9:AC62,"A")</f>
        <v>0</v>
      </c>
      <c r="AD94" s="131"/>
      <c r="AE94" s="56"/>
      <c r="AF94" s="56"/>
      <c r="AG94" s="56"/>
      <c r="AH94" s="143">
        <f>COUNTIF(AH9:AH76,"A")</f>
        <v>8</v>
      </c>
      <c r="AI94" s="131"/>
      <c r="AJ94" s="56"/>
      <c r="AK94" s="56"/>
      <c r="AL94" s="56"/>
      <c r="AM94" s="143">
        <f>COUNTIF(AM9:AM62,"A")</f>
        <v>6</v>
      </c>
      <c r="AN94" s="131"/>
      <c r="AO94" s="56"/>
      <c r="AP94" s="56"/>
      <c r="AQ94" s="56"/>
      <c r="AR94" s="143">
        <f>COUNTIF(AR9:AR75,"A")</f>
        <v>5</v>
      </c>
      <c r="AS94" s="131"/>
      <c r="AT94" s="56"/>
      <c r="AU94" s="56"/>
      <c r="AV94" s="56"/>
      <c r="AW94" s="143">
        <f>COUNTIF(AW9:AW62,"A")</f>
        <v>3</v>
      </c>
      <c r="AX94" s="131"/>
      <c r="AY94" s="56"/>
      <c r="AZ94" s="56"/>
      <c r="BA94" s="56"/>
      <c r="BB94" s="143">
        <f>COUNTIF(BB9:BB79,"A")</f>
        <v>4</v>
      </c>
      <c r="BC94" s="131"/>
      <c r="BD94" s="56"/>
      <c r="BE94" s="56"/>
      <c r="BF94" s="56"/>
      <c r="BG94" s="143">
        <f>COUNTIF(BG9:BG62,"A")</f>
        <v>0</v>
      </c>
      <c r="BH94" s="131"/>
      <c r="BI94" s="56"/>
      <c r="BJ94" s="56"/>
      <c r="BK94" s="56"/>
      <c r="BL94" s="143">
        <f>COUNTIF(BL9:BL77,"A")</f>
        <v>9</v>
      </c>
      <c r="BM94" s="131"/>
      <c r="BN94" s="56"/>
      <c r="BO94" s="56"/>
      <c r="BP94" s="56"/>
      <c r="BQ94" s="143">
        <f>COUNTIF(BQ9:BQ62,"A")</f>
        <v>0</v>
      </c>
    </row>
    <row r="95" spans="1:69" x14ac:dyDescent="0.3">
      <c r="A95" s="131"/>
      <c r="B95" s="56"/>
      <c r="C95" s="135" t="s">
        <v>29</v>
      </c>
      <c r="D95" s="372"/>
      <c r="E95" s="131"/>
      <c r="F95" s="56"/>
      <c r="G95" s="56"/>
      <c r="H95" s="56"/>
      <c r="I95" s="143">
        <f>COUNTIF(I9:I62,"B+")</f>
        <v>17</v>
      </c>
      <c r="J95" s="131"/>
      <c r="K95" s="56"/>
      <c r="L95" s="56"/>
      <c r="M95" s="56"/>
      <c r="N95" s="143">
        <f>COUNTIF(N9:N73,"B+")</f>
        <v>9</v>
      </c>
      <c r="O95" s="131"/>
      <c r="P95" s="56"/>
      <c r="Q95" s="56"/>
      <c r="R95" s="56"/>
      <c r="S95" s="143">
        <f>COUNTIF(S9:S62,"B+")</f>
        <v>6</v>
      </c>
      <c r="T95" s="131"/>
      <c r="U95" s="56"/>
      <c r="V95" s="56"/>
      <c r="W95" s="56"/>
      <c r="X95" s="143">
        <f>COUNTIF(X9:X67,"B+")</f>
        <v>7</v>
      </c>
      <c r="Y95" s="131"/>
      <c r="Z95" s="56"/>
      <c r="AA95" s="56"/>
      <c r="AB95" s="56"/>
      <c r="AC95" s="143">
        <f>COUNTIF(AC9:AC62,"B+")</f>
        <v>3</v>
      </c>
      <c r="AD95" s="131"/>
      <c r="AE95" s="56"/>
      <c r="AF95" s="56"/>
      <c r="AG95" s="56"/>
      <c r="AH95" s="143">
        <f>COUNTIF(AH9:AH76,"B+")</f>
        <v>7</v>
      </c>
      <c r="AI95" s="131"/>
      <c r="AJ95" s="56"/>
      <c r="AK95" s="56"/>
      <c r="AL95" s="56"/>
      <c r="AM95" s="143">
        <f>COUNTIF(AM9:AM62,"B+")</f>
        <v>7</v>
      </c>
      <c r="AN95" s="131"/>
      <c r="AO95" s="56"/>
      <c r="AP95" s="56"/>
      <c r="AQ95" s="56"/>
      <c r="AR95" s="143">
        <f>COUNTIF(AR9:AR75,"B+")</f>
        <v>7</v>
      </c>
      <c r="AS95" s="131"/>
      <c r="AT95" s="56"/>
      <c r="AU95" s="56"/>
      <c r="AV95" s="56"/>
      <c r="AW95" s="143">
        <f>COUNTIF(AW9:AW62,"B+")</f>
        <v>12</v>
      </c>
      <c r="AX95" s="131"/>
      <c r="AY95" s="56"/>
      <c r="AZ95" s="56"/>
      <c r="BA95" s="56"/>
      <c r="BB95" s="143">
        <f>COUNTIF(BB9:BB79,"B+")</f>
        <v>9</v>
      </c>
      <c r="BC95" s="131"/>
      <c r="BD95" s="56"/>
      <c r="BE95" s="56"/>
      <c r="BF95" s="56"/>
      <c r="BG95" s="143">
        <f>COUNTIF(BG9:BG62,"B+")</f>
        <v>9</v>
      </c>
      <c r="BH95" s="131"/>
      <c r="BI95" s="56"/>
      <c r="BJ95" s="56"/>
      <c r="BK95" s="56"/>
      <c r="BL95" s="143">
        <f>COUNTIF(BL9:BL77,"B+")</f>
        <v>14</v>
      </c>
      <c r="BM95" s="131"/>
      <c r="BN95" s="56"/>
      <c r="BO95" s="56"/>
      <c r="BP95" s="56"/>
      <c r="BQ95" s="143">
        <f>COUNTIF(BQ9:BQ62,"B+")</f>
        <v>20</v>
      </c>
    </row>
    <row r="96" spans="1:69" x14ac:dyDescent="0.3">
      <c r="A96" s="131"/>
      <c r="B96" s="56"/>
      <c r="C96" s="135" t="s">
        <v>30</v>
      </c>
      <c r="D96" s="372"/>
      <c r="E96" s="131"/>
      <c r="F96" s="56"/>
      <c r="G96" s="56"/>
      <c r="H96" s="56"/>
      <c r="I96" s="143">
        <f>COUNTIF(I9:I62,"B")</f>
        <v>9</v>
      </c>
      <c r="J96" s="131"/>
      <c r="K96" s="56"/>
      <c r="L96" s="56"/>
      <c r="M96" s="56"/>
      <c r="N96" s="143">
        <f>COUNTIF(N9:N73,"B")</f>
        <v>19</v>
      </c>
      <c r="O96" s="131"/>
      <c r="P96" s="56"/>
      <c r="Q96" s="56"/>
      <c r="R96" s="56"/>
      <c r="S96" s="143">
        <f>COUNTIF(S9:S62,"B")</f>
        <v>14</v>
      </c>
      <c r="T96" s="131"/>
      <c r="U96" s="56"/>
      <c r="V96" s="56"/>
      <c r="W96" s="56"/>
      <c r="X96" s="143">
        <f>COUNTIF(X9:X67,"B")</f>
        <v>19</v>
      </c>
      <c r="Y96" s="131"/>
      <c r="Z96" s="56"/>
      <c r="AA96" s="56"/>
      <c r="AB96" s="56"/>
      <c r="AC96" s="143">
        <f>COUNTIF(AC9:AC62,"B")</f>
        <v>3</v>
      </c>
      <c r="AD96" s="131"/>
      <c r="AE96" s="56"/>
      <c r="AF96" s="56"/>
      <c r="AG96" s="56"/>
      <c r="AH96" s="143">
        <f>COUNTIF(AH9:AH76,"B")</f>
        <v>13</v>
      </c>
      <c r="AI96" s="131"/>
      <c r="AJ96" s="56"/>
      <c r="AK96" s="56"/>
      <c r="AL96" s="56"/>
      <c r="AM96" s="143">
        <f>COUNTIF(AM9:AM62,"B")</f>
        <v>16</v>
      </c>
      <c r="AN96" s="131"/>
      <c r="AO96" s="56"/>
      <c r="AP96" s="56"/>
      <c r="AQ96" s="56"/>
      <c r="AR96" s="143">
        <f>COUNTIF(AR9:AR75,"B")</f>
        <v>14</v>
      </c>
      <c r="AS96" s="131"/>
      <c r="AT96" s="56"/>
      <c r="AU96" s="56"/>
      <c r="AV96" s="56"/>
      <c r="AW96" s="143">
        <f>COUNTIF(AW9:AW62,"B")</f>
        <v>23</v>
      </c>
      <c r="AX96" s="131"/>
      <c r="AY96" s="56"/>
      <c r="AZ96" s="56"/>
      <c r="BA96" s="56"/>
      <c r="BB96" s="143">
        <f>COUNTIF(BB9:BB79,"B")</f>
        <v>13</v>
      </c>
      <c r="BC96" s="131"/>
      <c r="BD96" s="56"/>
      <c r="BE96" s="56"/>
      <c r="BF96" s="56"/>
      <c r="BG96" s="143">
        <f>COUNTIF(BG9:BG62,"B")</f>
        <v>22</v>
      </c>
      <c r="BH96" s="131"/>
      <c r="BI96" s="56"/>
      <c r="BJ96" s="56"/>
      <c r="BK96" s="56"/>
      <c r="BL96" s="143">
        <f>COUNTIF(BL9:BL77,"B")</f>
        <v>7</v>
      </c>
      <c r="BM96" s="131"/>
      <c r="BN96" s="56"/>
      <c r="BO96" s="56"/>
      <c r="BP96" s="56"/>
      <c r="BQ96" s="143">
        <f>COUNTIF(BQ9:BQ62,"B")</f>
        <v>20</v>
      </c>
    </row>
    <row r="97" spans="1:69" x14ac:dyDescent="0.3">
      <c r="A97" s="131"/>
      <c r="B97" s="56"/>
      <c r="C97" s="135" t="s">
        <v>31</v>
      </c>
      <c r="D97" s="372"/>
      <c r="E97" s="131"/>
      <c r="F97" s="56"/>
      <c r="G97" s="56"/>
      <c r="H97" s="56"/>
      <c r="I97" s="143">
        <f>COUNTIF(I9:I62,"C+")</f>
        <v>4</v>
      </c>
      <c r="J97" s="131"/>
      <c r="K97" s="56"/>
      <c r="L97" s="56"/>
      <c r="M97" s="56"/>
      <c r="N97" s="143">
        <f>COUNTIF(N9:N73,"C+")</f>
        <v>11</v>
      </c>
      <c r="O97" s="131"/>
      <c r="P97" s="56"/>
      <c r="Q97" s="56"/>
      <c r="R97" s="56"/>
      <c r="S97" s="143">
        <f>COUNTIF(S9:S62,"C+")</f>
        <v>6</v>
      </c>
      <c r="T97" s="131"/>
      <c r="U97" s="56"/>
      <c r="V97" s="56"/>
      <c r="W97" s="56"/>
      <c r="X97" s="143">
        <f>COUNTIF(X9:X67,"C+")</f>
        <v>7</v>
      </c>
      <c r="Y97" s="131"/>
      <c r="Z97" s="56"/>
      <c r="AA97" s="56"/>
      <c r="AB97" s="56"/>
      <c r="AC97" s="143">
        <f>COUNTIF(AC9:AC62,"C+")</f>
        <v>7</v>
      </c>
      <c r="AD97" s="131"/>
      <c r="AE97" s="56"/>
      <c r="AF97" s="56"/>
      <c r="AG97" s="56"/>
      <c r="AH97" s="143">
        <f>COUNTIF(AH9:AH76,"C+")</f>
        <v>7</v>
      </c>
      <c r="AI97" s="131"/>
      <c r="AJ97" s="56"/>
      <c r="AK97" s="56"/>
      <c r="AL97" s="56"/>
      <c r="AM97" s="143">
        <f>COUNTIF(AM9:AM62,"C+")</f>
        <v>10</v>
      </c>
      <c r="AN97" s="131"/>
      <c r="AO97" s="56"/>
      <c r="AP97" s="56"/>
      <c r="AQ97" s="56"/>
      <c r="AR97" s="143">
        <f>COUNTIF(AR9:AR75,"C+")</f>
        <v>6</v>
      </c>
      <c r="AS97" s="131"/>
      <c r="AT97" s="56"/>
      <c r="AU97" s="56"/>
      <c r="AV97" s="56"/>
      <c r="AW97" s="143">
        <f>COUNTIF(AW9:AW62,"C+")</f>
        <v>5</v>
      </c>
      <c r="AX97" s="131"/>
      <c r="AY97" s="56"/>
      <c r="AZ97" s="56"/>
      <c r="BA97" s="56"/>
      <c r="BB97" s="143">
        <f>COUNTIF(BB9:BB79,"C+")</f>
        <v>8</v>
      </c>
      <c r="BC97" s="131"/>
      <c r="BD97" s="56"/>
      <c r="BE97" s="56"/>
      <c r="BF97" s="56"/>
      <c r="BG97" s="143">
        <f>COUNTIF(BG9:BG62,"C+")</f>
        <v>2</v>
      </c>
      <c r="BH97" s="131"/>
      <c r="BI97" s="56"/>
      <c r="BJ97" s="56"/>
      <c r="BK97" s="56"/>
      <c r="BL97" s="143">
        <f>COUNTIF(BL9:BL77,"C+")</f>
        <v>4</v>
      </c>
      <c r="BM97" s="131"/>
      <c r="BN97" s="56"/>
      <c r="BO97" s="56"/>
      <c r="BP97" s="56"/>
      <c r="BQ97" s="143">
        <f>COUNTIF(BQ9:BQ62,"C+")</f>
        <v>8</v>
      </c>
    </row>
    <row r="98" spans="1:69" x14ac:dyDescent="0.3">
      <c r="A98" s="131"/>
      <c r="B98" s="56"/>
      <c r="C98" s="135" t="s">
        <v>32</v>
      </c>
      <c r="D98" s="372"/>
      <c r="E98" s="131"/>
      <c r="F98" s="56"/>
      <c r="G98" s="56"/>
      <c r="H98" s="56"/>
      <c r="I98" s="143">
        <f>COUNTIF(I9:I62,"C")</f>
        <v>5</v>
      </c>
      <c r="J98" s="131"/>
      <c r="K98" s="56"/>
      <c r="L98" s="56"/>
      <c r="M98" s="56"/>
      <c r="N98" s="143">
        <f>COUNTIF(N9:N73,"C")</f>
        <v>11</v>
      </c>
      <c r="O98" s="131"/>
      <c r="P98" s="56"/>
      <c r="Q98" s="56"/>
      <c r="R98" s="56"/>
      <c r="S98" s="143">
        <f>COUNTIF(S9:S62,"C")</f>
        <v>13</v>
      </c>
      <c r="T98" s="131"/>
      <c r="U98" s="56"/>
      <c r="V98" s="56"/>
      <c r="W98" s="56"/>
      <c r="X98" s="143">
        <f>COUNTIF(X9:X67,"C")</f>
        <v>12</v>
      </c>
      <c r="Y98" s="131"/>
      <c r="Z98" s="56"/>
      <c r="AA98" s="56"/>
      <c r="AB98" s="56"/>
      <c r="AC98" s="143">
        <f>COUNTIF(AC9:AC62,"C")</f>
        <v>13</v>
      </c>
      <c r="AD98" s="131"/>
      <c r="AE98" s="56"/>
      <c r="AF98" s="56"/>
      <c r="AG98" s="56"/>
      <c r="AH98" s="143">
        <f>COUNTIF(AH9:AH76,"C")</f>
        <v>9</v>
      </c>
      <c r="AI98" s="131"/>
      <c r="AJ98" s="56"/>
      <c r="AK98" s="56"/>
      <c r="AL98" s="56"/>
      <c r="AM98" s="143">
        <f>COUNTIF(AM9:AM62,"C")</f>
        <v>14</v>
      </c>
      <c r="AN98" s="131"/>
      <c r="AO98" s="56"/>
      <c r="AP98" s="56"/>
      <c r="AQ98" s="56"/>
      <c r="AR98" s="143">
        <f>COUNTIF(AR9:AR75,"C")</f>
        <v>11</v>
      </c>
      <c r="AS98" s="131"/>
      <c r="AT98" s="56"/>
      <c r="AU98" s="56"/>
      <c r="AV98" s="56"/>
      <c r="AW98" s="143">
        <f>COUNTIF(AW9:AW62,"C")</f>
        <v>7</v>
      </c>
      <c r="AX98" s="131"/>
      <c r="AY98" s="56"/>
      <c r="AZ98" s="56"/>
      <c r="BA98" s="56"/>
      <c r="BB98" s="143">
        <f>COUNTIF(BB9:BB79,"C")</f>
        <v>7</v>
      </c>
      <c r="BC98" s="131"/>
      <c r="BD98" s="56"/>
      <c r="BE98" s="56"/>
      <c r="BF98" s="56"/>
      <c r="BG98" s="143">
        <f>COUNTIF(BG9:BG62,"C")</f>
        <v>7</v>
      </c>
      <c r="BH98" s="131"/>
      <c r="BI98" s="56"/>
      <c r="BJ98" s="56"/>
      <c r="BK98" s="56"/>
      <c r="BL98" s="143">
        <f>COUNTIF(BL9:BL44,"C")</f>
        <v>5</v>
      </c>
      <c r="BM98" s="131"/>
      <c r="BN98" s="56"/>
      <c r="BO98" s="56"/>
      <c r="BP98" s="56"/>
      <c r="BQ98" s="143">
        <f>COUNTIF(BQ9:BQ62,"C")</f>
        <v>6</v>
      </c>
    </row>
    <row r="99" spans="1:69" x14ac:dyDescent="0.3">
      <c r="A99" s="131"/>
      <c r="B99" s="56"/>
      <c r="C99" s="135" t="s">
        <v>33</v>
      </c>
      <c r="D99" s="372"/>
      <c r="E99" s="131"/>
      <c r="F99" s="56"/>
      <c r="G99" s="56"/>
      <c r="H99" s="56"/>
      <c r="I99" s="143">
        <f>COUNTIF(I9:I62,"D+")</f>
        <v>1</v>
      </c>
      <c r="J99" s="131"/>
      <c r="K99" s="56"/>
      <c r="L99" s="56"/>
      <c r="M99" s="56"/>
      <c r="N99" s="143">
        <f>COUNTIF(N9:N73,"D+")</f>
        <v>3</v>
      </c>
      <c r="O99" s="131"/>
      <c r="P99" s="56"/>
      <c r="Q99" s="56"/>
      <c r="R99" s="56"/>
      <c r="S99" s="143">
        <f>COUNTIF(S9:S62,"D+")</f>
        <v>3</v>
      </c>
      <c r="T99" s="131"/>
      <c r="U99" s="56"/>
      <c r="V99" s="56"/>
      <c r="W99" s="56"/>
      <c r="X99" s="143">
        <f>COUNTIF(X9:X67,"D+")</f>
        <v>2</v>
      </c>
      <c r="Y99" s="131"/>
      <c r="Z99" s="56"/>
      <c r="AA99" s="56"/>
      <c r="AB99" s="56"/>
      <c r="AC99" s="143">
        <f>COUNTIF(AC9:AC62,"D+")</f>
        <v>5</v>
      </c>
      <c r="AD99" s="131"/>
      <c r="AE99" s="56"/>
      <c r="AF99" s="56"/>
      <c r="AG99" s="56"/>
      <c r="AH99" s="143">
        <f>COUNTIF(AH9:AH76,"D+")</f>
        <v>3</v>
      </c>
      <c r="AI99" s="131"/>
      <c r="AJ99" s="56"/>
      <c r="AK99" s="56"/>
      <c r="AL99" s="56"/>
      <c r="AM99" s="143">
        <f>COUNTIF(AM9:AM62,"D+")</f>
        <v>1</v>
      </c>
      <c r="AN99" s="131"/>
      <c r="AO99" s="56"/>
      <c r="AP99" s="56"/>
      <c r="AQ99" s="56"/>
      <c r="AR99" s="143">
        <f>COUNTIF(AR9:AR75,"D+")</f>
        <v>1</v>
      </c>
      <c r="AS99" s="131"/>
      <c r="AT99" s="56"/>
      <c r="AU99" s="56"/>
      <c r="AV99" s="56"/>
      <c r="AW99" s="143">
        <f>COUNTIF(AW9:AW62,"D+")</f>
        <v>1</v>
      </c>
      <c r="AX99" s="131"/>
      <c r="AY99" s="56"/>
      <c r="AZ99" s="56"/>
      <c r="BA99" s="56"/>
      <c r="BB99" s="143">
        <f>COUNTIF(BB9:BB79,"D+")</f>
        <v>0</v>
      </c>
      <c r="BC99" s="131"/>
      <c r="BD99" s="56"/>
      <c r="BE99" s="56"/>
      <c r="BF99" s="56"/>
      <c r="BG99" s="143">
        <f>COUNTIF(BG9:BG62,"D+")</f>
        <v>3</v>
      </c>
      <c r="BH99" s="131"/>
      <c r="BI99" s="56"/>
      <c r="BJ99" s="56"/>
      <c r="BK99" s="56"/>
      <c r="BL99" s="143">
        <f>COUNTIF(BL9:BL77,"D+")</f>
        <v>2</v>
      </c>
      <c r="BM99" s="131"/>
      <c r="BN99" s="56"/>
      <c r="BO99" s="56"/>
      <c r="BP99" s="56"/>
      <c r="BQ99" s="143">
        <f>COUNTIF(BQ9:BQ62,"D+")</f>
        <v>0</v>
      </c>
    </row>
    <row r="100" spans="1:69" x14ac:dyDescent="0.3">
      <c r="A100" s="131"/>
      <c r="B100" s="56"/>
      <c r="C100" s="135" t="s">
        <v>34</v>
      </c>
      <c r="D100" s="372"/>
      <c r="E100" s="131"/>
      <c r="F100" s="56"/>
      <c r="G100" s="56"/>
      <c r="H100" s="56"/>
      <c r="I100" s="143">
        <f>COUNTIF(I9:I62,"D")</f>
        <v>2</v>
      </c>
      <c r="J100" s="131"/>
      <c r="K100" s="56"/>
      <c r="L100" s="56"/>
      <c r="M100" s="56"/>
      <c r="N100" s="143">
        <f>COUNTIF(N9:N73,"D")</f>
        <v>3</v>
      </c>
      <c r="O100" s="131"/>
      <c r="P100" s="56"/>
      <c r="Q100" s="56"/>
      <c r="R100" s="56"/>
      <c r="S100" s="143">
        <f>COUNTIF(S9:S62,"D")</f>
        <v>3</v>
      </c>
      <c r="T100" s="131"/>
      <c r="U100" s="56"/>
      <c r="V100" s="56"/>
      <c r="W100" s="56"/>
      <c r="X100" s="143">
        <f>COUNTIF(X9:X67,"D")</f>
        <v>1</v>
      </c>
      <c r="Y100" s="131"/>
      <c r="Z100" s="56"/>
      <c r="AA100" s="56"/>
      <c r="AB100" s="56"/>
      <c r="AC100" s="143">
        <f>COUNTIF(AC9:AC62,"D")</f>
        <v>8</v>
      </c>
      <c r="AD100" s="131"/>
      <c r="AE100" s="56"/>
      <c r="AF100" s="56"/>
      <c r="AG100" s="56"/>
      <c r="AH100" s="143">
        <f>COUNTIF(AH9:AH76,"D")</f>
        <v>3</v>
      </c>
      <c r="AI100" s="131"/>
      <c r="AJ100" s="56"/>
      <c r="AK100" s="56"/>
      <c r="AL100" s="56"/>
      <c r="AM100" s="143">
        <f>COUNTIF(AM9:AM62,"D")</f>
        <v>0</v>
      </c>
      <c r="AN100" s="131"/>
      <c r="AO100" s="56"/>
      <c r="AP100" s="56"/>
      <c r="AQ100" s="56"/>
      <c r="AR100" s="143">
        <f>COUNTIF(AR9:AR75,"D")</f>
        <v>4</v>
      </c>
      <c r="AS100" s="131"/>
      <c r="AT100" s="56"/>
      <c r="AU100" s="56"/>
      <c r="AV100" s="56"/>
      <c r="AW100" s="143">
        <f>COUNTIF(AW9:AW62,"D")</f>
        <v>2</v>
      </c>
      <c r="AX100" s="131"/>
      <c r="AY100" s="56"/>
      <c r="AZ100" s="56"/>
      <c r="BA100" s="56"/>
      <c r="BB100" s="143">
        <f>COUNTIF(BB9:BB79,"D")</f>
        <v>1</v>
      </c>
      <c r="BC100" s="131"/>
      <c r="BD100" s="56"/>
      <c r="BE100" s="56"/>
      <c r="BF100" s="56"/>
      <c r="BG100" s="143">
        <f>COUNTIF(BG9:BG62,"D")</f>
        <v>5</v>
      </c>
      <c r="BH100" s="131"/>
      <c r="BI100" s="56"/>
      <c r="BJ100" s="56"/>
      <c r="BK100" s="56"/>
      <c r="BL100" s="143">
        <f>COUNTIF(BL9:BL77,"D")</f>
        <v>3</v>
      </c>
      <c r="BM100" s="131"/>
      <c r="BN100" s="56"/>
      <c r="BO100" s="56"/>
      <c r="BP100" s="56"/>
      <c r="BQ100" s="143">
        <f>COUNTIF(BQ9:BQ62,"D")</f>
        <v>0</v>
      </c>
    </row>
    <row r="101" spans="1:69" x14ac:dyDescent="0.3">
      <c r="A101" s="144"/>
      <c r="B101" s="15"/>
      <c r="C101" s="145" t="s">
        <v>35</v>
      </c>
      <c r="D101" s="374"/>
      <c r="E101" s="144"/>
      <c r="F101" s="15"/>
      <c r="G101" s="15"/>
      <c r="H101" s="15"/>
      <c r="I101" s="146">
        <f>COUNTIF(I9:I62,"F")</f>
        <v>4</v>
      </c>
      <c r="J101" s="144"/>
      <c r="K101" s="15"/>
      <c r="L101" s="15"/>
      <c r="M101" s="15"/>
      <c r="N101" s="146">
        <f>COUNTIF(N9:N73,"F")</f>
        <v>1</v>
      </c>
      <c r="O101" s="144"/>
      <c r="P101" s="15"/>
      <c r="Q101" s="15"/>
      <c r="R101" s="15"/>
      <c r="S101" s="146">
        <f>COUNTIF(S9:S62,"F")</f>
        <v>8</v>
      </c>
      <c r="T101" s="144"/>
      <c r="U101" s="15"/>
      <c r="V101" s="15"/>
      <c r="W101" s="15"/>
      <c r="X101" s="146">
        <f>COUNTIF(X9:X67,"F")</f>
        <v>2</v>
      </c>
      <c r="Y101" s="144"/>
      <c r="Z101" s="15"/>
      <c r="AA101" s="15"/>
      <c r="AB101" s="15"/>
      <c r="AC101" s="146">
        <f>COUNTIF(AC9:AC62,"F")</f>
        <v>15</v>
      </c>
      <c r="AD101" s="144"/>
      <c r="AE101" s="15"/>
      <c r="AF101" s="15"/>
      <c r="AG101" s="15"/>
      <c r="AH101" s="146">
        <f>COUNTIF(AH9:AH76,"F")</f>
        <v>4</v>
      </c>
      <c r="AI101" s="144"/>
      <c r="AJ101" s="15"/>
      <c r="AK101" s="15"/>
      <c r="AL101" s="15"/>
      <c r="AM101" s="146">
        <f>COUNTIF(AM9:AM62,"F")</f>
        <v>0</v>
      </c>
      <c r="AN101" s="144"/>
      <c r="AO101" s="15"/>
      <c r="AP101" s="15"/>
      <c r="AQ101" s="15"/>
      <c r="AR101" s="146">
        <f>COUNTIF(AR9:AR75,"F")</f>
        <v>7</v>
      </c>
      <c r="AS101" s="144"/>
      <c r="AT101" s="15"/>
      <c r="AU101" s="15"/>
      <c r="AV101" s="15"/>
      <c r="AW101" s="146">
        <f>COUNTIF(AW9:AW62,"F")</f>
        <v>1</v>
      </c>
      <c r="AX101" s="144"/>
      <c r="AY101" s="15"/>
      <c r="AZ101" s="15"/>
      <c r="BA101" s="15"/>
      <c r="BB101" s="146">
        <f>COUNTIF(BB9:BB79,"F")</f>
        <v>14</v>
      </c>
      <c r="BC101" s="144"/>
      <c r="BD101" s="15"/>
      <c r="BE101" s="15"/>
      <c r="BF101" s="15"/>
      <c r="BG101" s="146">
        <f>COUNTIF(BG9:BG62,"F")</f>
        <v>6</v>
      </c>
      <c r="BH101" s="144"/>
      <c r="BI101" s="15"/>
      <c r="BJ101" s="15"/>
      <c r="BK101" s="15"/>
      <c r="BL101" s="146">
        <f>COUNTIF(BL9:BL77,"F")</f>
        <v>9</v>
      </c>
      <c r="BM101" s="144"/>
      <c r="BN101" s="15"/>
      <c r="BO101" s="15"/>
      <c r="BP101" s="15"/>
      <c r="BQ101" s="146">
        <f>COUNTIF(BQ9:BQ62,"F")</f>
        <v>0</v>
      </c>
    </row>
    <row r="113" spans="1:134" x14ac:dyDescent="0.3">
      <c r="K113" s="131"/>
    </row>
    <row r="119" spans="1:134" ht="15.6" x14ac:dyDescent="0.3">
      <c r="A119" s="251"/>
      <c r="B119" s="251"/>
      <c r="C119" s="251"/>
      <c r="D119" s="251"/>
      <c r="E119" s="251"/>
      <c r="F119" s="251"/>
      <c r="G119" s="251"/>
      <c r="H119" s="251"/>
      <c r="I119" s="251"/>
      <c r="J119" s="251"/>
      <c r="K119" s="251"/>
      <c r="L119" s="519" t="s">
        <v>0</v>
      </c>
      <c r="M119" s="519"/>
      <c r="N119" s="519"/>
      <c r="O119" s="519"/>
      <c r="P119" s="519"/>
      <c r="Q119" s="519"/>
      <c r="R119" s="519"/>
      <c r="S119" s="519"/>
      <c r="T119" s="519"/>
      <c r="U119" s="519"/>
      <c r="V119" s="519"/>
      <c r="W119" s="519"/>
      <c r="X119" s="519"/>
      <c r="Y119" s="519"/>
      <c r="Z119" s="251"/>
      <c r="AA119" s="251"/>
      <c r="AB119" s="251"/>
      <c r="AC119" s="251"/>
      <c r="AD119" s="251"/>
      <c r="AE119" s="251"/>
      <c r="AF119" s="251"/>
      <c r="AG119" s="251"/>
      <c r="AH119" s="251"/>
      <c r="AI119" s="255"/>
      <c r="AJ119" s="255"/>
      <c r="AK119" s="255"/>
      <c r="AL119" s="255"/>
      <c r="AM119" s="255"/>
      <c r="AN119" s="255"/>
      <c r="AO119" s="255"/>
      <c r="AP119" s="255"/>
      <c r="AQ119" s="255"/>
      <c r="AR119" s="255"/>
      <c r="AS119" s="255"/>
      <c r="AT119" s="255"/>
      <c r="AU119" s="255"/>
    </row>
    <row r="120" spans="1:134" ht="15.6" x14ac:dyDescent="0.3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520" t="s">
        <v>267</v>
      </c>
      <c r="M120" s="520"/>
      <c r="N120" s="520"/>
      <c r="O120" s="520"/>
      <c r="P120" s="520"/>
      <c r="Q120" s="520"/>
      <c r="R120" s="520"/>
      <c r="S120" s="520"/>
      <c r="T120" s="520"/>
      <c r="U120" s="520"/>
      <c r="V120" s="520"/>
      <c r="W120" s="520"/>
      <c r="X120" s="520"/>
      <c r="Y120" s="520"/>
      <c r="Z120" s="250"/>
      <c r="AA120" s="250"/>
      <c r="AB120" s="250"/>
      <c r="AC120" s="250"/>
      <c r="AD120" s="250"/>
      <c r="AE120" s="250"/>
      <c r="AF120" s="250"/>
      <c r="AG120" s="250"/>
      <c r="AH120" s="250"/>
      <c r="AI120" s="255"/>
      <c r="AJ120" s="255"/>
      <c r="AK120" s="255"/>
      <c r="AL120" s="255"/>
      <c r="AM120" s="255"/>
      <c r="AN120" s="255"/>
      <c r="AO120" s="255"/>
      <c r="AP120" s="255"/>
      <c r="AQ120" s="255"/>
      <c r="AR120" s="255"/>
      <c r="AS120" s="255"/>
      <c r="AT120" s="255"/>
      <c r="AU120" s="255"/>
    </row>
    <row r="121" spans="1:134" ht="15.6" x14ac:dyDescent="0.3">
      <c r="A121" s="251"/>
      <c r="B121" s="251"/>
      <c r="C121" s="251"/>
      <c r="D121" s="251"/>
      <c r="E121" s="251"/>
      <c r="F121" s="251"/>
      <c r="G121" s="251"/>
      <c r="H121" s="251"/>
      <c r="I121" s="251"/>
      <c r="J121" s="251"/>
      <c r="K121" s="251"/>
      <c r="L121" s="519" t="s">
        <v>268</v>
      </c>
      <c r="M121" s="519"/>
      <c r="N121" s="519"/>
      <c r="O121" s="519"/>
      <c r="P121" s="519"/>
      <c r="Q121" s="519"/>
      <c r="R121" s="519"/>
      <c r="S121" s="519"/>
      <c r="T121" s="519"/>
      <c r="U121" s="519"/>
      <c r="V121" s="519"/>
      <c r="W121" s="519"/>
      <c r="X121" s="519"/>
      <c r="Y121" s="519"/>
      <c r="Z121" s="251"/>
      <c r="AA121" s="251"/>
      <c r="AB121" s="251"/>
      <c r="AC121" s="251"/>
      <c r="AD121" s="251"/>
      <c r="AE121" s="251"/>
      <c r="AF121" s="251"/>
      <c r="AG121" s="251"/>
      <c r="AH121" s="251"/>
      <c r="AI121" s="255"/>
      <c r="AJ121" s="255"/>
      <c r="AK121" s="255"/>
      <c r="AL121" s="255"/>
      <c r="AM121" s="255"/>
      <c r="AN121" s="255"/>
      <c r="AO121" s="255"/>
      <c r="AP121" s="255"/>
      <c r="AQ121" s="255"/>
      <c r="AR121" s="255"/>
      <c r="AS121" s="255"/>
      <c r="AT121" s="255"/>
      <c r="AU121" s="255"/>
    </row>
    <row r="122" spans="1:134" ht="16.2" thickBot="1" x14ac:dyDescent="0.35">
      <c r="A122" s="376"/>
      <c r="B122" s="376"/>
      <c r="C122" s="376"/>
      <c r="D122" s="376"/>
      <c r="E122" s="376"/>
      <c r="F122" s="376"/>
      <c r="G122" s="376"/>
      <c r="H122" s="376"/>
      <c r="I122" s="376"/>
      <c r="J122" s="376"/>
      <c r="K122" s="376"/>
      <c r="L122" s="521" t="s">
        <v>531</v>
      </c>
      <c r="M122" s="521"/>
      <c r="N122" s="521"/>
      <c r="O122" s="521"/>
      <c r="P122" s="521"/>
      <c r="Q122" s="521"/>
      <c r="R122" s="521"/>
      <c r="S122" s="521"/>
      <c r="T122" s="521"/>
      <c r="U122" s="521"/>
      <c r="V122" s="521"/>
      <c r="W122" s="521"/>
      <c r="X122" s="521"/>
      <c r="Y122" s="521"/>
      <c r="Z122" s="376"/>
      <c r="AA122" s="376"/>
      <c r="AB122" s="376"/>
      <c r="AC122" s="376"/>
      <c r="AD122" s="376"/>
      <c r="AE122" s="376"/>
      <c r="AF122" s="376"/>
      <c r="AG122" s="376"/>
      <c r="AH122" s="376"/>
      <c r="AI122" s="255"/>
      <c r="AJ122" s="255"/>
      <c r="AK122" s="255"/>
      <c r="AL122" s="255"/>
      <c r="AM122" s="255"/>
      <c r="AN122" s="255"/>
      <c r="AO122" s="255"/>
      <c r="AP122" s="255"/>
      <c r="AQ122" s="255"/>
      <c r="AR122" s="255"/>
      <c r="AS122" s="255"/>
      <c r="AT122" s="255"/>
      <c r="AU122" s="255"/>
    </row>
    <row r="123" spans="1:134" ht="16.5" customHeight="1" thickBot="1" x14ac:dyDescent="0.35">
      <c r="A123" s="559" t="s">
        <v>8</v>
      </c>
      <c r="B123" s="568" t="s">
        <v>269</v>
      </c>
      <c r="C123" s="571" t="s">
        <v>270</v>
      </c>
      <c r="D123" s="516" t="s">
        <v>530</v>
      </c>
      <c r="E123" s="574" t="s">
        <v>271</v>
      </c>
      <c r="F123" s="575"/>
      <c r="G123" s="575"/>
      <c r="H123" s="575"/>
      <c r="I123" s="575"/>
      <c r="J123" s="575"/>
      <c r="K123" s="575"/>
      <c r="L123" s="575"/>
      <c r="M123" s="575"/>
      <c r="N123" s="575"/>
      <c r="O123" s="575"/>
      <c r="P123" s="575"/>
      <c r="Q123" s="575"/>
      <c r="R123" s="575"/>
      <c r="S123" s="575"/>
      <c r="T123" s="575"/>
      <c r="U123" s="575"/>
      <c r="V123" s="575"/>
      <c r="W123" s="575"/>
      <c r="X123" s="575"/>
      <c r="Y123" s="575"/>
      <c r="Z123" s="575"/>
      <c r="AA123" s="575"/>
      <c r="AB123" s="575"/>
      <c r="AC123" s="575"/>
      <c r="AD123" s="575"/>
      <c r="AE123" s="575"/>
      <c r="AF123" s="575"/>
      <c r="AG123" s="575"/>
      <c r="AH123" s="576"/>
      <c r="AI123" s="526" t="s">
        <v>271</v>
      </c>
      <c r="AJ123" s="527"/>
      <c r="AK123" s="527"/>
      <c r="AL123" s="527"/>
      <c r="AM123" s="527"/>
      <c r="AN123" s="527"/>
      <c r="AO123" s="527"/>
      <c r="AP123" s="527"/>
      <c r="AQ123" s="527"/>
      <c r="AR123" s="527"/>
      <c r="AS123" s="527"/>
      <c r="AT123" s="527"/>
      <c r="AU123" s="527"/>
      <c r="AV123" s="527"/>
      <c r="AW123" s="527"/>
      <c r="AX123" s="527"/>
      <c r="AY123" s="527"/>
      <c r="AZ123" s="527"/>
      <c r="BA123" s="527"/>
      <c r="BB123" s="527"/>
      <c r="BC123" s="527"/>
      <c r="BD123" s="527"/>
      <c r="BE123" s="527"/>
      <c r="BF123" s="527"/>
      <c r="BG123" s="527"/>
      <c r="BH123" s="527"/>
      <c r="BI123" s="527"/>
      <c r="BJ123" s="527"/>
      <c r="BK123" s="527"/>
      <c r="BL123" s="528"/>
      <c r="BM123" s="526" t="s">
        <v>271</v>
      </c>
      <c r="BN123" s="527"/>
      <c r="BO123" s="527"/>
      <c r="BP123" s="527"/>
      <c r="BQ123" s="527"/>
      <c r="BR123" s="527"/>
      <c r="BS123" s="527"/>
      <c r="BT123" s="527"/>
      <c r="BU123" s="527"/>
      <c r="BV123" s="527"/>
      <c r="BW123" s="527"/>
      <c r="BX123" s="527"/>
      <c r="BY123" s="527"/>
      <c r="BZ123" s="527"/>
      <c r="CA123" s="527"/>
      <c r="CB123" s="527"/>
      <c r="CC123" s="527"/>
      <c r="CD123" s="527"/>
      <c r="CE123" s="527"/>
      <c r="CF123" s="527"/>
      <c r="CG123" s="527"/>
      <c r="CH123" s="527"/>
      <c r="CI123" s="527"/>
      <c r="CJ123" s="527"/>
      <c r="CK123" s="527"/>
      <c r="CL123" s="527"/>
      <c r="CM123" s="527"/>
      <c r="CN123" s="527"/>
      <c r="CO123" s="527"/>
      <c r="CP123" s="528"/>
      <c r="CQ123" s="526" t="s">
        <v>271</v>
      </c>
      <c r="CR123" s="527"/>
      <c r="CS123" s="527"/>
      <c r="CT123" s="527"/>
      <c r="CU123" s="527"/>
      <c r="CV123" s="527"/>
      <c r="CW123" s="527"/>
      <c r="CX123" s="527"/>
      <c r="CY123" s="527"/>
      <c r="CZ123" s="626"/>
      <c r="DA123" s="526" t="s">
        <v>271</v>
      </c>
      <c r="DB123" s="527"/>
      <c r="DC123" s="527"/>
      <c r="DD123" s="527"/>
      <c r="DE123" s="527"/>
      <c r="DF123" s="527"/>
      <c r="DG123" s="527"/>
      <c r="DH123" s="527"/>
      <c r="DI123" s="527"/>
      <c r="DJ123" s="527"/>
      <c r="DK123" s="526"/>
      <c r="DL123" s="527"/>
      <c r="DM123" s="527"/>
      <c r="DN123" s="527"/>
      <c r="DO123" s="528"/>
      <c r="DP123" s="526"/>
      <c r="DQ123" s="527"/>
      <c r="DR123" s="527"/>
      <c r="DS123" s="527"/>
      <c r="DT123" s="528"/>
      <c r="DU123" s="526"/>
      <c r="DV123" s="527"/>
      <c r="DW123" s="527"/>
      <c r="DX123" s="527"/>
      <c r="DY123" s="528"/>
      <c r="DZ123" s="526"/>
      <c r="EA123" s="527"/>
      <c r="EB123" s="527"/>
      <c r="EC123" s="527"/>
      <c r="ED123" s="528"/>
    </row>
    <row r="124" spans="1:134" ht="15.75" customHeight="1" x14ac:dyDescent="0.3">
      <c r="A124" s="560"/>
      <c r="B124" s="569"/>
      <c r="C124" s="572"/>
      <c r="D124" s="517"/>
      <c r="E124" s="562" t="s">
        <v>348</v>
      </c>
      <c r="F124" s="563"/>
      <c r="G124" s="563"/>
      <c r="H124" s="563"/>
      <c r="I124" s="564"/>
      <c r="J124" s="565" t="s">
        <v>277</v>
      </c>
      <c r="K124" s="566"/>
      <c r="L124" s="566"/>
      <c r="M124" s="566"/>
      <c r="N124" s="567"/>
      <c r="O124" s="565" t="s">
        <v>278</v>
      </c>
      <c r="P124" s="566"/>
      <c r="Q124" s="566"/>
      <c r="R124" s="566"/>
      <c r="S124" s="567"/>
      <c r="T124" s="565" t="s">
        <v>279</v>
      </c>
      <c r="U124" s="566"/>
      <c r="V124" s="566"/>
      <c r="W124" s="566"/>
      <c r="X124" s="567"/>
      <c r="Y124" s="565" t="s">
        <v>280</v>
      </c>
      <c r="Z124" s="566"/>
      <c r="AA124" s="566"/>
      <c r="AB124" s="566"/>
      <c r="AC124" s="567"/>
      <c r="AD124" s="562" t="s">
        <v>281</v>
      </c>
      <c r="AE124" s="563"/>
      <c r="AF124" s="563"/>
      <c r="AG124" s="563"/>
      <c r="AH124" s="564"/>
      <c r="AI124" s="552" t="s">
        <v>282</v>
      </c>
      <c r="AJ124" s="550"/>
      <c r="AK124" s="550"/>
      <c r="AL124" s="550"/>
      <c r="AM124" s="551"/>
      <c r="AN124" s="552" t="s">
        <v>283</v>
      </c>
      <c r="AO124" s="550"/>
      <c r="AP124" s="550"/>
      <c r="AQ124" s="550"/>
      <c r="AR124" s="551"/>
      <c r="AS124" s="552" t="s">
        <v>284</v>
      </c>
      <c r="AT124" s="550"/>
      <c r="AU124" s="550"/>
      <c r="AV124" s="550"/>
      <c r="AW124" s="551"/>
      <c r="AX124" s="552" t="s">
        <v>285</v>
      </c>
      <c r="AY124" s="550"/>
      <c r="AZ124" s="550"/>
      <c r="BA124" s="550"/>
      <c r="BB124" s="551"/>
      <c r="BC124" s="577" t="s">
        <v>286</v>
      </c>
      <c r="BD124" s="578"/>
      <c r="BE124" s="578"/>
      <c r="BF124" s="578"/>
      <c r="BG124" s="579"/>
      <c r="BH124" s="577" t="s">
        <v>298</v>
      </c>
      <c r="BI124" s="578"/>
      <c r="BJ124" s="578"/>
      <c r="BK124" s="578"/>
      <c r="BL124" s="579"/>
      <c r="BM124" s="623" t="s">
        <v>287</v>
      </c>
      <c r="BN124" s="624"/>
      <c r="BO124" s="624"/>
      <c r="BP124" s="624"/>
      <c r="BQ124" s="625"/>
      <c r="BR124" s="623" t="s">
        <v>299</v>
      </c>
      <c r="BS124" s="624"/>
      <c r="BT124" s="624"/>
      <c r="BU124" s="624"/>
      <c r="BV124" s="625"/>
      <c r="BW124" s="577" t="s">
        <v>300</v>
      </c>
      <c r="BX124" s="578"/>
      <c r="BY124" s="578"/>
      <c r="BZ124" s="578"/>
      <c r="CA124" s="579"/>
      <c r="CB124" s="623" t="s">
        <v>301</v>
      </c>
      <c r="CC124" s="624"/>
      <c r="CD124" s="624"/>
      <c r="CE124" s="624"/>
      <c r="CF124" s="625"/>
      <c r="CG124" s="529" t="s">
        <v>288</v>
      </c>
      <c r="CH124" s="530"/>
      <c r="CI124" s="530"/>
      <c r="CJ124" s="530"/>
      <c r="CK124" s="530"/>
      <c r="CL124" s="529" t="s">
        <v>524</v>
      </c>
      <c r="CM124" s="530"/>
      <c r="CN124" s="530"/>
      <c r="CO124" s="530"/>
      <c r="CP124" s="531"/>
      <c r="CQ124" s="529" t="s">
        <v>525</v>
      </c>
      <c r="CR124" s="530"/>
      <c r="CS124" s="530"/>
      <c r="CT124" s="530"/>
      <c r="CU124" s="531"/>
      <c r="CV124" s="529" t="s">
        <v>301</v>
      </c>
      <c r="CW124" s="530"/>
      <c r="CX124" s="530"/>
      <c r="CY124" s="530"/>
      <c r="CZ124" s="531"/>
      <c r="DA124" s="529" t="s">
        <v>526</v>
      </c>
      <c r="DB124" s="530"/>
      <c r="DC124" s="530"/>
      <c r="DD124" s="530"/>
      <c r="DE124" s="531"/>
      <c r="DF124" s="529" t="s">
        <v>297</v>
      </c>
      <c r="DG124" s="530"/>
      <c r="DH124" s="530"/>
      <c r="DI124" s="530"/>
      <c r="DJ124" s="531"/>
      <c r="DK124" s="529" t="s">
        <v>289</v>
      </c>
      <c r="DL124" s="530"/>
      <c r="DM124" s="530"/>
      <c r="DN124" s="530"/>
      <c r="DO124" s="531"/>
      <c r="DP124" s="529" t="s">
        <v>288</v>
      </c>
      <c r="DQ124" s="530"/>
      <c r="DR124" s="530"/>
      <c r="DS124" s="530"/>
      <c r="DT124" s="531"/>
      <c r="DU124" s="529" t="s">
        <v>290</v>
      </c>
      <c r="DV124" s="530"/>
      <c r="DW124" s="530"/>
      <c r="DX124" s="530"/>
      <c r="DY124" s="531"/>
      <c r="DZ124" s="529" t="s">
        <v>291</v>
      </c>
      <c r="EA124" s="530"/>
      <c r="EB124" s="530"/>
      <c r="EC124" s="530"/>
      <c r="ED124" s="531"/>
    </row>
    <row r="125" spans="1:134" ht="15.6" x14ac:dyDescent="0.3">
      <c r="A125" s="560"/>
      <c r="B125" s="569"/>
      <c r="C125" s="572"/>
      <c r="D125" s="517"/>
      <c r="E125" s="580"/>
      <c r="F125" s="581"/>
      <c r="G125" s="581"/>
      <c r="H125" s="581"/>
      <c r="I125" s="582"/>
      <c r="J125" s="580"/>
      <c r="K125" s="581"/>
      <c r="L125" s="581"/>
      <c r="M125" s="581"/>
      <c r="N125" s="582"/>
      <c r="O125" s="580"/>
      <c r="P125" s="581"/>
      <c r="Q125" s="581"/>
      <c r="R125" s="581"/>
      <c r="S125" s="582"/>
      <c r="T125" s="580"/>
      <c r="U125" s="581"/>
      <c r="V125" s="581"/>
      <c r="W125" s="581"/>
      <c r="X125" s="582"/>
      <c r="Y125" s="580"/>
      <c r="Z125" s="581"/>
      <c r="AA125" s="581"/>
      <c r="AB125" s="581"/>
      <c r="AC125" s="582"/>
      <c r="AD125" s="580"/>
      <c r="AE125" s="581"/>
      <c r="AF125" s="581"/>
      <c r="AG125" s="581"/>
      <c r="AH125" s="582"/>
      <c r="AI125" s="532"/>
      <c r="AJ125" s="533"/>
      <c r="AK125" s="533"/>
      <c r="AL125" s="533"/>
      <c r="AM125" s="534"/>
      <c r="AN125" s="532"/>
      <c r="AO125" s="533"/>
      <c r="AP125" s="533"/>
      <c r="AQ125" s="533"/>
      <c r="AR125" s="534"/>
      <c r="AS125" s="532"/>
      <c r="AT125" s="533"/>
      <c r="AU125" s="533"/>
      <c r="AV125" s="533"/>
      <c r="AW125" s="534"/>
      <c r="AX125" s="532"/>
      <c r="AY125" s="533"/>
      <c r="AZ125" s="533"/>
      <c r="BA125" s="533"/>
      <c r="BB125" s="534"/>
      <c r="BC125" s="532"/>
      <c r="BD125" s="533"/>
      <c r="BE125" s="533"/>
      <c r="BF125" s="533"/>
      <c r="BG125" s="534"/>
      <c r="BH125" s="532"/>
      <c r="BI125" s="533"/>
      <c r="BJ125" s="533"/>
      <c r="BK125" s="533"/>
      <c r="BL125" s="534"/>
      <c r="BM125" s="532"/>
      <c r="BN125" s="533"/>
      <c r="BO125" s="533"/>
      <c r="BP125" s="533"/>
      <c r="BQ125" s="534"/>
      <c r="BR125" s="532"/>
      <c r="BS125" s="533"/>
      <c r="BT125" s="533"/>
      <c r="BU125" s="533"/>
      <c r="BV125" s="534"/>
      <c r="BW125" s="532"/>
      <c r="BX125" s="533"/>
      <c r="BY125" s="533"/>
      <c r="BZ125" s="533"/>
      <c r="CA125" s="534"/>
      <c r="CB125" s="532"/>
      <c r="CC125" s="533"/>
      <c r="CD125" s="533"/>
      <c r="CE125" s="533"/>
      <c r="CF125" s="534"/>
      <c r="CG125" s="532"/>
      <c r="CH125" s="533"/>
      <c r="CI125" s="533"/>
      <c r="CJ125" s="533"/>
      <c r="CK125" s="533"/>
      <c r="CL125" s="532"/>
      <c r="CM125" s="533"/>
      <c r="CN125" s="533"/>
      <c r="CO125" s="533"/>
      <c r="CP125" s="534"/>
      <c r="CQ125" s="532"/>
      <c r="CR125" s="533"/>
      <c r="CS125" s="533"/>
      <c r="CT125" s="533"/>
      <c r="CU125" s="534"/>
      <c r="CV125" s="532"/>
      <c r="CW125" s="533"/>
      <c r="CX125" s="533"/>
      <c r="CY125" s="533"/>
      <c r="CZ125" s="534"/>
      <c r="DA125" s="532"/>
      <c r="DB125" s="533"/>
      <c r="DC125" s="533"/>
      <c r="DD125" s="533"/>
      <c r="DE125" s="534"/>
      <c r="DF125" s="532"/>
      <c r="DG125" s="533"/>
      <c r="DH125" s="533"/>
      <c r="DI125" s="533"/>
      <c r="DJ125" s="534"/>
      <c r="DK125" s="532"/>
      <c r="DL125" s="533"/>
      <c r="DM125" s="533"/>
      <c r="DN125" s="533"/>
      <c r="DO125" s="534"/>
      <c r="DP125" s="532"/>
      <c r="DQ125" s="533"/>
      <c r="DR125" s="533"/>
      <c r="DS125" s="533"/>
      <c r="DT125" s="534"/>
      <c r="DU125" s="532"/>
      <c r="DV125" s="533"/>
      <c r="DW125" s="533"/>
      <c r="DX125" s="533"/>
      <c r="DY125" s="534"/>
      <c r="DZ125" s="532"/>
      <c r="EA125" s="533"/>
      <c r="EB125" s="533"/>
      <c r="EC125" s="533"/>
      <c r="ED125" s="534"/>
    </row>
    <row r="126" spans="1:134" ht="16.2" thickBot="1" x14ac:dyDescent="0.35">
      <c r="A126" s="561"/>
      <c r="B126" s="570"/>
      <c r="C126" s="573"/>
      <c r="D126" s="518"/>
      <c r="E126" s="147" t="s">
        <v>272</v>
      </c>
      <c r="F126" s="148" t="s">
        <v>273</v>
      </c>
      <c r="G126" s="149" t="s">
        <v>274</v>
      </c>
      <c r="H126" s="149" t="s">
        <v>275</v>
      </c>
      <c r="I126" s="150" t="s">
        <v>276</v>
      </c>
      <c r="J126" s="147" t="s">
        <v>272</v>
      </c>
      <c r="K126" s="149" t="s">
        <v>273</v>
      </c>
      <c r="L126" s="149" t="s">
        <v>274</v>
      </c>
      <c r="M126" s="149" t="s">
        <v>275</v>
      </c>
      <c r="N126" s="151" t="s">
        <v>276</v>
      </c>
      <c r="O126" s="152" t="s">
        <v>272</v>
      </c>
      <c r="P126" s="149" t="s">
        <v>273</v>
      </c>
      <c r="Q126" s="149" t="s">
        <v>274</v>
      </c>
      <c r="R126" s="149" t="s">
        <v>275</v>
      </c>
      <c r="S126" s="150" t="s">
        <v>276</v>
      </c>
      <c r="T126" s="147" t="s">
        <v>272</v>
      </c>
      <c r="U126" s="149" t="s">
        <v>273</v>
      </c>
      <c r="V126" s="149" t="s">
        <v>274</v>
      </c>
      <c r="W126" s="149" t="s">
        <v>275</v>
      </c>
      <c r="X126" s="151" t="s">
        <v>276</v>
      </c>
      <c r="Y126" s="152" t="s">
        <v>272</v>
      </c>
      <c r="Z126" s="148" t="s">
        <v>273</v>
      </c>
      <c r="AA126" s="148" t="s">
        <v>274</v>
      </c>
      <c r="AB126" s="148" t="s">
        <v>275</v>
      </c>
      <c r="AC126" s="153" t="s">
        <v>276</v>
      </c>
      <c r="AD126" s="147" t="s">
        <v>272</v>
      </c>
      <c r="AE126" s="149" t="s">
        <v>273</v>
      </c>
      <c r="AF126" s="149" t="s">
        <v>274</v>
      </c>
      <c r="AG126" s="149" t="s">
        <v>275</v>
      </c>
      <c r="AH126" s="151" t="s">
        <v>276</v>
      </c>
      <c r="AI126" s="102" t="s">
        <v>272</v>
      </c>
      <c r="AJ126" s="103" t="s">
        <v>273</v>
      </c>
      <c r="AK126" s="104" t="s">
        <v>274</v>
      </c>
      <c r="AL126" s="104" t="s">
        <v>275</v>
      </c>
      <c r="AM126" s="105" t="s">
        <v>276</v>
      </c>
      <c r="AN126" s="102" t="s">
        <v>272</v>
      </c>
      <c r="AO126" s="104" t="s">
        <v>273</v>
      </c>
      <c r="AP126" s="104" t="s">
        <v>274</v>
      </c>
      <c r="AQ126" s="104" t="s">
        <v>275</v>
      </c>
      <c r="AR126" s="106" t="s">
        <v>276</v>
      </c>
      <c r="AS126" s="107" t="s">
        <v>272</v>
      </c>
      <c r="AT126" s="104" t="s">
        <v>273</v>
      </c>
      <c r="AU126" s="104" t="s">
        <v>274</v>
      </c>
      <c r="AV126" s="104" t="s">
        <v>275</v>
      </c>
      <c r="AW126" s="105" t="s">
        <v>276</v>
      </c>
      <c r="AX126" s="102" t="s">
        <v>272</v>
      </c>
      <c r="AY126" s="104" t="s">
        <v>273</v>
      </c>
      <c r="AZ126" s="104" t="s">
        <v>274</v>
      </c>
      <c r="BA126" s="104" t="s">
        <v>275</v>
      </c>
      <c r="BB126" s="106" t="s">
        <v>276</v>
      </c>
      <c r="BC126" s="107" t="s">
        <v>272</v>
      </c>
      <c r="BD126" s="103" t="s">
        <v>273</v>
      </c>
      <c r="BE126" s="103" t="s">
        <v>274</v>
      </c>
      <c r="BF126" s="103" t="s">
        <v>275</v>
      </c>
      <c r="BG126" s="108" t="s">
        <v>276</v>
      </c>
      <c r="BH126" s="102" t="s">
        <v>272</v>
      </c>
      <c r="BI126" s="104" t="s">
        <v>273</v>
      </c>
      <c r="BJ126" s="104" t="s">
        <v>274</v>
      </c>
      <c r="BK126" s="104" t="s">
        <v>275</v>
      </c>
      <c r="BL126" s="106" t="s">
        <v>276</v>
      </c>
      <c r="BM126" s="102" t="s">
        <v>272</v>
      </c>
      <c r="BN126" s="104" t="s">
        <v>273</v>
      </c>
      <c r="BO126" s="104" t="s">
        <v>274</v>
      </c>
      <c r="BP126" s="104" t="s">
        <v>275</v>
      </c>
      <c r="BQ126" s="106" t="s">
        <v>276</v>
      </c>
      <c r="BR126" s="102" t="s">
        <v>272</v>
      </c>
      <c r="BS126" s="104" t="s">
        <v>273</v>
      </c>
      <c r="BT126" s="104" t="s">
        <v>274</v>
      </c>
      <c r="BU126" s="104" t="s">
        <v>275</v>
      </c>
      <c r="BV126" s="106" t="s">
        <v>276</v>
      </c>
      <c r="BW126" s="107" t="s">
        <v>272</v>
      </c>
      <c r="BX126" s="104" t="s">
        <v>273</v>
      </c>
      <c r="BY126" s="104" t="s">
        <v>274</v>
      </c>
      <c r="BZ126" s="104" t="s">
        <v>275</v>
      </c>
      <c r="CA126" s="105" t="s">
        <v>276</v>
      </c>
      <c r="CB126" s="102" t="s">
        <v>272</v>
      </c>
      <c r="CC126" s="104" t="s">
        <v>273</v>
      </c>
      <c r="CD126" s="104" t="s">
        <v>274</v>
      </c>
      <c r="CE126" s="104" t="s">
        <v>275</v>
      </c>
      <c r="CF126" s="106" t="s">
        <v>276</v>
      </c>
      <c r="CG126" s="107" t="s">
        <v>272</v>
      </c>
      <c r="CH126" s="103" t="s">
        <v>273</v>
      </c>
      <c r="CI126" s="103" t="s">
        <v>274</v>
      </c>
      <c r="CJ126" s="103" t="s">
        <v>275</v>
      </c>
      <c r="CK126" s="108" t="s">
        <v>276</v>
      </c>
      <c r="CL126" s="102" t="s">
        <v>272</v>
      </c>
      <c r="CM126" s="104" t="s">
        <v>273</v>
      </c>
      <c r="CN126" s="104" t="s">
        <v>274</v>
      </c>
      <c r="CO126" s="104" t="s">
        <v>275</v>
      </c>
      <c r="CP126" s="106" t="s">
        <v>276</v>
      </c>
      <c r="CQ126" s="102" t="s">
        <v>272</v>
      </c>
      <c r="CR126" s="103" t="s">
        <v>273</v>
      </c>
      <c r="CS126" s="104" t="s">
        <v>274</v>
      </c>
      <c r="CT126" s="104" t="s">
        <v>275</v>
      </c>
      <c r="CU126" s="105" t="s">
        <v>276</v>
      </c>
      <c r="CV126" s="102" t="s">
        <v>272</v>
      </c>
      <c r="CW126" s="104" t="s">
        <v>273</v>
      </c>
      <c r="CX126" s="104" t="s">
        <v>274</v>
      </c>
      <c r="CY126" s="104" t="s">
        <v>275</v>
      </c>
      <c r="CZ126" s="106" t="s">
        <v>276</v>
      </c>
      <c r="DA126" s="102" t="s">
        <v>272</v>
      </c>
      <c r="DB126" s="104" t="s">
        <v>273</v>
      </c>
      <c r="DC126" s="104" t="s">
        <v>274</v>
      </c>
      <c r="DD126" s="104" t="s">
        <v>275</v>
      </c>
      <c r="DE126" s="106" t="s">
        <v>276</v>
      </c>
      <c r="DF126" s="102" t="s">
        <v>272</v>
      </c>
      <c r="DG126" s="104" t="s">
        <v>273</v>
      </c>
      <c r="DH126" s="104" t="s">
        <v>274</v>
      </c>
      <c r="DI126" s="104" t="s">
        <v>275</v>
      </c>
      <c r="DJ126" s="106" t="s">
        <v>276</v>
      </c>
      <c r="DK126" s="102" t="s">
        <v>272</v>
      </c>
      <c r="DL126" s="104" t="s">
        <v>273</v>
      </c>
      <c r="DM126" s="104" t="s">
        <v>274</v>
      </c>
      <c r="DN126" s="104" t="s">
        <v>275</v>
      </c>
      <c r="DO126" s="106" t="s">
        <v>276</v>
      </c>
      <c r="DP126" s="102" t="s">
        <v>272</v>
      </c>
      <c r="DQ126" s="104" t="s">
        <v>273</v>
      </c>
      <c r="DR126" s="104" t="s">
        <v>274</v>
      </c>
      <c r="DS126" s="104" t="s">
        <v>275</v>
      </c>
      <c r="DT126" s="106" t="s">
        <v>276</v>
      </c>
      <c r="DU126" s="102" t="s">
        <v>272</v>
      </c>
      <c r="DV126" s="104" t="s">
        <v>273</v>
      </c>
      <c r="DW126" s="104" t="s">
        <v>274</v>
      </c>
      <c r="DX126" s="104" t="s">
        <v>275</v>
      </c>
      <c r="DY126" s="106" t="s">
        <v>276</v>
      </c>
      <c r="DZ126" s="102" t="s">
        <v>272</v>
      </c>
      <c r="EA126" s="104" t="s">
        <v>273</v>
      </c>
      <c r="EB126" s="104" t="s">
        <v>274</v>
      </c>
      <c r="EC126" s="104" t="s">
        <v>275</v>
      </c>
      <c r="ED126" s="106" t="s">
        <v>276</v>
      </c>
    </row>
    <row r="127" spans="1:134" ht="15" customHeight="1" x14ac:dyDescent="0.3">
      <c r="A127" s="154">
        <v>1</v>
      </c>
      <c r="B127" s="12" t="s">
        <v>203</v>
      </c>
      <c r="C127" s="45" t="s">
        <v>92</v>
      </c>
      <c r="D127" s="45" t="s">
        <v>203</v>
      </c>
      <c r="E127" s="156">
        <f>'FBMS-HND LEVEL TWO'!E12</f>
        <v>8</v>
      </c>
      <c r="F127" s="157">
        <f>'FBMS-HND LEVEL TWO'!F12</f>
        <v>23</v>
      </c>
      <c r="G127" s="158">
        <f>'FBMS-HND LEVEL TWO'!J12</f>
        <v>26</v>
      </c>
      <c r="H127" s="158">
        <f>'FBMS-HND LEVEL TWO'!K12</f>
        <v>57</v>
      </c>
      <c r="I127" s="247" t="str">
        <f>'FBMS-HND LEVEL TWO'!L12</f>
        <v>C+</v>
      </c>
      <c r="J127" s="159">
        <f>'FBMS-HND LEVEL TWO'!E81</f>
        <v>10</v>
      </c>
      <c r="K127" s="158">
        <f>'FBMS-HND LEVEL TWO'!F81</f>
        <v>21</v>
      </c>
      <c r="L127" s="158">
        <f>'FBMS-HND LEVEL TWO'!J81</f>
        <v>26</v>
      </c>
      <c r="M127" s="158">
        <f>'FBMS-HND LEVEL TWO'!K81</f>
        <v>57</v>
      </c>
      <c r="N127" s="160" t="str">
        <f>'FBMS-HND LEVEL TWO'!L81</f>
        <v>C+</v>
      </c>
      <c r="O127" s="248">
        <f>'FBMS-HND LEVEL TWO'!E150</f>
        <v>10</v>
      </c>
      <c r="P127" s="158">
        <f>'FBMS-HND LEVEL TWO'!F150</f>
        <v>24</v>
      </c>
      <c r="Q127" s="158">
        <f>'FBMS-HND LEVEL TWO'!J150</f>
        <v>35</v>
      </c>
      <c r="R127" s="158">
        <f>'FBMS-HND LEVEL TWO'!K150</f>
        <v>69</v>
      </c>
      <c r="S127" s="247" t="str">
        <f>'FBMS-HND LEVEL TWO'!L150</f>
        <v>B</v>
      </c>
      <c r="T127" s="159">
        <f>'FBMS-HND LEVEL TWO'!E222</f>
        <v>10</v>
      </c>
      <c r="U127" s="158">
        <f>'FBMS-HND LEVEL TWO'!F222</f>
        <v>23</v>
      </c>
      <c r="V127" s="158">
        <f>'FBMS-HND LEVEL TWO'!J222</f>
        <v>47</v>
      </c>
      <c r="W127" s="158">
        <f>'FBMS-HND LEVEL TWO'!K222</f>
        <v>80</v>
      </c>
      <c r="X127" s="160" t="str">
        <f>'FBMS-HND LEVEL TWO'!L222</f>
        <v>A</v>
      </c>
      <c r="Y127" s="248">
        <f>'FBMS-HND LEVEL TWO'!E296</f>
        <v>10</v>
      </c>
      <c r="Z127" s="157">
        <f>'FBMS-HND LEVEL TWO'!F296</f>
        <v>17</v>
      </c>
      <c r="AA127" s="157">
        <f>'FBMS-HND LEVEL TWO'!J296</f>
        <v>25</v>
      </c>
      <c r="AB127" s="157">
        <f>'FBMS-HND LEVEL TWO'!K296</f>
        <v>52</v>
      </c>
      <c r="AC127" s="157" t="str">
        <f>'FBMS-HND LEVEL TWO'!L296</f>
        <v>C</v>
      </c>
      <c r="AD127" s="159">
        <f>'FBMS-HND LEVEL TWO'!E371</f>
        <v>10</v>
      </c>
      <c r="AE127" s="158">
        <f>'FBMS-HND LEVEL TWO'!F371</f>
        <v>25</v>
      </c>
      <c r="AF127" s="158">
        <f>'FBMS-HND LEVEL TWO'!J371</f>
        <v>31</v>
      </c>
      <c r="AG127" s="158">
        <f>'FBMS-HND LEVEL TWO'!K371</f>
        <v>66</v>
      </c>
      <c r="AH127" s="160" t="str">
        <f>'FBMS-HND LEVEL TWO'!L371</f>
        <v>B</v>
      </c>
      <c r="AI127" s="257">
        <f>'FBMS-HND LEVEL TWO'!E422</f>
        <v>10</v>
      </c>
      <c r="AJ127" s="258">
        <f>'FBMS-HND LEVEL TWO'!F422</f>
        <v>26.5</v>
      </c>
      <c r="AK127" s="259">
        <f>'FBMS-HND LEVEL TWO'!J422</f>
        <v>46</v>
      </c>
      <c r="AL127" s="259">
        <f>'FBMS-HND LEVEL TWO'!K422</f>
        <v>82.5</v>
      </c>
      <c r="AM127" s="260" t="str">
        <f>'FBMS-HND LEVEL TWO'!L422</f>
        <v>A</v>
      </c>
      <c r="AN127" s="261">
        <f>'FBMS-HND LEVEL TWO'!E497</f>
        <v>10</v>
      </c>
      <c r="AO127" s="259">
        <f>'FBMS-HND LEVEL TWO'!F497</f>
        <v>23</v>
      </c>
      <c r="AP127" s="259">
        <f>'FBMS-HND LEVEL TWO'!J497</f>
        <v>49</v>
      </c>
      <c r="AQ127" s="259">
        <f>'FBMS-HND LEVEL TWO'!K497</f>
        <v>82</v>
      </c>
      <c r="AR127" s="262" t="str">
        <f>'FBMS-HND LEVEL TWO'!L497</f>
        <v>A</v>
      </c>
      <c r="AS127" s="263">
        <f>'FBMS-HND LEVEL TWO'!E575</f>
        <v>10</v>
      </c>
      <c r="AT127" s="259">
        <f>'FBMS-HND LEVEL TWO'!F575</f>
        <v>23.5</v>
      </c>
      <c r="AU127" s="259">
        <f>'FBMS-HND LEVEL TWO'!J575</f>
        <v>49</v>
      </c>
      <c r="AV127" s="259">
        <f>'FBMS-HND LEVEL TWO'!K575</f>
        <v>82.5</v>
      </c>
      <c r="AW127" s="260" t="str">
        <f>'FBMS-HND LEVEL TWO'!L575</f>
        <v>A</v>
      </c>
      <c r="AX127" s="264">
        <f>'FBMS-HND LEVEL TWO'!E648</f>
        <v>9</v>
      </c>
      <c r="AY127" s="265">
        <f>'FBMS-HND LEVEL TWO'!F648</f>
        <v>18</v>
      </c>
      <c r="AZ127" s="259">
        <f>'FBMS-HND LEVEL TWO'!J648</f>
        <v>50</v>
      </c>
      <c r="BA127" s="259">
        <f>'FBMS-HND LEVEL TWO'!K648</f>
        <v>77</v>
      </c>
      <c r="BB127" s="262" t="str">
        <f>'FBMS-HND LEVEL TWO'!L648</f>
        <v>B+</v>
      </c>
      <c r="BC127" s="263">
        <f>'FBMS-HND LEVEL TWO'!E700</f>
        <v>10</v>
      </c>
      <c r="BD127" s="258">
        <f>'FBMS-HND LEVEL TWO'!F700</f>
        <v>21</v>
      </c>
      <c r="BE127" s="258">
        <f>'FBMS-HND LEVEL TWO'!J700</f>
        <v>39</v>
      </c>
      <c r="BF127" s="258">
        <f>'FBMS-HND LEVEL TWO'!K700</f>
        <v>70</v>
      </c>
      <c r="BG127" s="258" t="str">
        <f>'FBMS-HND LEVEL TWO'!L700</f>
        <v>B+</v>
      </c>
      <c r="BH127" s="264">
        <f>'FBMS-HND LEVEL TWO'!E754</f>
        <v>9</v>
      </c>
      <c r="BI127" s="265">
        <f>'FBMS-HND LEVEL TWO'!F754</f>
        <v>27</v>
      </c>
      <c r="BJ127" s="259">
        <f>'FBMS-HND LEVEL TWO'!J754</f>
        <v>14</v>
      </c>
      <c r="BK127" s="259">
        <f>'FBMS-HND LEVEL TWO'!K754</f>
        <v>50</v>
      </c>
      <c r="BL127" s="262" t="str">
        <f>'FBMS-HND LEVEL TWO'!L754</f>
        <v>C</v>
      </c>
      <c r="BM127" s="261">
        <f>'FBMS-HND LEVEL TWO'!E798</f>
        <v>9</v>
      </c>
      <c r="BN127" s="259">
        <f>'FBMS-HND LEVEL TWO'!F798</f>
        <v>27</v>
      </c>
      <c r="BO127" s="259">
        <f>'FBMS-HND LEVEL TWO'!J798</f>
        <v>38</v>
      </c>
      <c r="BP127" s="259">
        <f>'FBMS-HND LEVEL TWO'!K798</f>
        <v>74</v>
      </c>
      <c r="BQ127" s="262" t="str">
        <f>'FBMS-HND LEVEL TWO'!L798</f>
        <v>B+</v>
      </c>
      <c r="BR127" s="261">
        <f>'FBMS-HND LEVEL TWO'!E839</f>
        <v>10</v>
      </c>
      <c r="BS127" s="259">
        <f>'FBMS-HND LEVEL TWO'!F839</f>
        <v>25</v>
      </c>
      <c r="BT127" s="259">
        <f>'FBMS-HND LEVEL TWO'!J839</f>
        <v>34</v>
      </c>
      <c r="BU127" s="259">
        <f>'FBMS-HND LEVEL TWO'!K839</f>
        <v>69</v>
      </c>
      <c r="BV127" s="262" t="str">
        <f>'FBMS-HND LEVEL TWO'!L839</f>
        <v>B</v>
      </c>
      <c r="BW127" s="263"/>
      <c r="BX127" s="259"/>
      <c r="BY127" s="259"/>
      <c r="BZ127" s="259"/>
      <c r="CA127" s="260"/>
      <c r="CB127" s="261"/>
      <c r="CC127" s="259"/>
      <c r="CD127" s="259"/>
      <c r="CE127" s="259"/>
      <c r="CF127" s="262"/>
      <c r="CG127" s="263"/>
      <c r="CH127" s="258"/>
      <c r="CI127" s="258"/>
      <c r="CJ127" s="258"/>
      <c r="CK127" s="258"/>
      <c r="CL127" s="261"/>
      <c r="CM127" s="259"/>
      <c r="CN127" s="259"/>
      <c r="CO127" s="259"/>
      <c r="CP127" s="262"/>
      <c r="CQ127" s="257"/>
      <c r="CR127" s="258"/>
      <c r="CS127" s="259"/>
      <c r="CT127" s="259"/>
      <c r="CU127" s="260"/>
      <c r="CV127" s="261"/>
      <c r="CW127" s="259"/>
      <c r="CX127" s="259"/>
      <c r="CY127" s="259"/>
      <c r="CZ127" s="262"/>
      <c r="DA127" s="261"/>
      <c r="DB127" s="259"/>
      <c r="DC127" s="259"/>
      <c r="DD127" s="259"/>
      <c r="DE127" s="262"/>
      <c r="DF127" s="261"/>
      <c r="DG127" s="259"/>
      <c r="DH127" s="259"/>
      <c r="DI127" s="259"/>
      <c r="DJ127" s="262"/>
      <c r="DK127" s="261"/>
      <c r="DL127" s="259"/>
      <c r="DM127" s="259"/>
      <c r="DN127" s="259"/>
      <c r="DO127" s="262"/>
      <c r="DP127" s="261"/>
      <c r="DQ127" s="259"/>
      <c r="DR127" s="259"/>
      <c r="DS127" s="259"/>
      <c r="DT127" s="262"/>
      <c r="DU127" s="261"/>
      <c r="DV127" s="259"/>
      <c r="DW127" s="259"/>
      <c r="DX127" s="259"/>
      <c r="DY127" s="262"/>
      <c r="DZ127" s="261"/>
      <c r="EA127" s="259"/>
      <c r="EB127" s="259"/>
      <c r="EC127" s="259"/>
      <c r="ED127" s="262"/>
    </row>
    <row r="128" spans="1:134" ht="15" customHeight="1" x14ac:dyDescent="0.3">
      <c r="A128" s="161">
        <v>2</v>
      </c>
      <c r="B128" s="12" t="s">
        <v>145</v>
      </c>
      <c r="C128" s="45" t="s">
        <v>93</v>
      </c>
      <c r="D128" s="45" t="s">
        <v>145</v>
      </c>
      <c r="E128" s="162">
        <f>'FBMS-HND LEVEL TWO'!E13</f>
        <v>8</v>
      </c>
      <c r="F128" s="157">
        <f>'FBMS-HND LEVEL TWO'!F13</f>
        <v>19</v>
      </c>
      <c r="G128" s="157">
        <f>'FBMS-HND LEVEL TWO'!J13</f>
        <v>26</v>
      </c>
      <c r="H128" s="158">
        <f>'FBMS-HND LEVEL TWO'!K13</f>
        <v>53</v>
      </c>
      <c r="I128" s="163" t="str">
        <f>'FBMS-HND LEVEL TWO'!L13</f>
        <v>C</v>
      </c>
      <c r="J128" s="164">
        <f>'FBMS-HND LEVEL TWO'!E82</f>
        <v>10</v>
      </c>
      <c r="K128" s="157">
        <f>'FBMS-HND LEVEL TWO'!F82</f>
        <v>23</v>
      </c>
      <c r="L128" s="157">
        <f>'FBMS-HND LEVEL TWO'!J82</f>
        <v>30</v>
      </c>
      <c r="M128" s="157">
        <f>'FBMS-HND LEVEL TWO'!K82</f>
        <v>63</v>
      </c>
      <c r="N128" s="165" t="str">
        <f>'FBMS-HND LEVEL TWO'!L82</f>
        <v>B</v>
      </c>
      <c r="O128" s="166">
        <f>'FBMS-HND LEVEL TWO'!E151</f>
        <v>9</v>
      </c>
      <c r="P128" s="157">
        <f>'FBMS-HND LEVEL TWO'!F151</f>
        <v>24</v>
      </c>
      <c r="Q128" s="157">
        <f>'FBMS-HND LEVEL TWO'!J151</f>
        <v>35</v>
      </c>
      <c r="R128" s="157">
        <f>'FBMS-HND LEVEL TWO'!K151</f>
        <v>68</v>
      </c>
      <c r="S128" s="163" t="str">
        <f>'FBMS-HND LEVEL TWO'!L151</f>
        <v>B</v>
      </c>
      <c r="T128" s="164">
        <f>'FBMS-HND LEVEL TWO'!E223</f>
        <v>9</v>
      </c>
      <c r="U128" s="157">
        <f>'FBMS-HND LEVEL TWO'!F223</f>
        <v>22</v>
      </c>
      <c r="V128" s="157">
        <f>'FBMS-HND LEVEL TWO'!J223</f>
        <v>19</v>
      </c>
      <c r="W128" s="157">
        <f>'FBMS-HND LEVEL TWO'!K223</f>
        <v>50</v>
      </c>
      <c r="X128" s="165" t="str">
        <f>'FBMS-HND LEVEL TWO'!L223</f>
        <v>C</v>
      </c>
      <c r="Y128" s="166">
        <f>'FBMS-HND LEVEL TWO'!E297</f>
        <v>8</v>
      </c>
      <c r="Z128" s="157">
        <f>'FBMS-HND LEVEL TWO'!F297</f>
        <v>25</v>
      </c>
      <c r="AA128" s="157">
        <f>'FBMS-HND LEVEL TWO'!J297</f>
        <v>22</v>
      </c>
      <c r="AB128" s="157">
        <f>'FBMS-HND LEVEL TWO'!K297</f>
        <v>55</v>
      </c>
      <c r="AC128" s="157" t="str">
        <f>'FBMS-HND LEVEL TWO'!L297</f>
        <v>C+</v>
      </c>
      <c r="AD128" s="164">
        <f>'FBMS-HND LEVEL TWO'!E372</f>
        <v>8</v>
      </c>
      <c r="AE128" s="157">
        <f>'FBMS-HND LEVEL TWO'!F372</f>
        <v>22</v>
      </c>
      <c r="AF128" s="157">
        <f>'FBMS-HND LEVEL TWO'!J372</f>
        <v>12</v>
      </c>
      <c r="AG128" s="157">
        <f>'FBMS-HND LEVEL TWO'!K372</f>
        <v>42</v>
      </c>
      <c r="AH128" s="165" t="str">
        <f>'FBMS-HND LEVEL TWO'!L372</f>
        <v>D</v>
      </c>
      <c r="AI128" s="266">
        <f>'FBMS-HND LEVEL TWO'!E423</f>
        <v>10</v>
      </c>
      <c r="AJ128" s="258">
        <f>'FBMS-HND LEVEL TWO'!F423</f>
        <v>23</v>
      </c>
      <c r="AK128" s="258">
        <f>'FBMS-HND LEVEL TWO'!J423</f>
        <v>36</v>
      </c>
      <c r="AL128" s="259">
        <f>'FBMS-HND LEVEL TWO'!K423</f>
        <v>69</v>
      </c>
      <c r="AM128" s="267" t="str">
        <f>'FBMS-HND LEVEL TWO'!L423</f>
        <v>B</v>
      </c>
      <c r="AN128" s="268">
        <f>'FBMS-HND LEVEL TWO'!E498</f>
        <v>9</v>
      </c>
      <c r="AO128" s="258">
        <f>'FBMS-HND LEVEL TWO'!F498</f>
        <v>19</v>
      </c>
      <c r="AP128" s="258">
        <f>'FBMS-HND LEVEL TWO'!J498</f>
        <v>30</v>
      </c>
      <c r="AQ128" s="258">
        <f>'FBMS-HND LEVEL TWO'!K498</f>
        <v>58</v>
      </c>
      <c r="AR128" s="269" t="str">
        <f>'FBMS-HND LEVEL TWO'!L498</f>
        <v>C+</v>
      </c>
      <c r="AS128" s="270">
        <f>'FBMS-HND LEVEL TWO'!E576</f>
        <v>8</v>
      </c>
      <c r="AT128" s="258">
        <f>'FBMS-HND LEVEL TWO'!F576</f>
        <v>22.5</v>
      </c>
      <c r="AU128" s="258">
        <f>'FBMS-HND LEVEL TWO'!J576</f>
        <v>51</v>
      </c>
      <c r="AV128" s="258">
        <f>'FBMS-HND LEVEL TWO'!K576</f>
        <v>81.5</v>
      </c>
      <c r="AW128" s="267" t="str">
        <f>'FBMS-HND LEVEL TWO'!L576</f>
        <v>A</v>
      </c>
      <c r="AX128" s="271">
        <f>'FBMS-HND LEVEL TWO'!E649</f>
        <v>8</v>
      </c>
      <c r="AY128" s="272">
        <f>'FBMS-HND LEVEL TWO'!F649</f>
        <v>20</v>
      </c>
      <c r="AZ128" s="258">
        <f>'FBMS-HND LEVEL TWO'!J649</f>
        <v>18</v>
      </c>
      <c r="BA128" s="258">
        <f>'FBMS-HND LEVEL TWO'!K649</f>
        <v>46</v>
      </c>
      <c r="BB128" s="269" t="str">
        <f>'FBMS-HND LEVEL TWO'!L649</f>
        <v>D+</v>
      </c>
      <c r="BC128" s="270">
        <f>'FBMS-HND LEVEL TWO'!E701</f>
        <v>8</v>
      </c>
      <c r="BD128" s="258">
        <f>'FBMS-HND LEVEL TWO'!F701</f>
        <v>15</v>
      </c>
      <c r="BE128" s="258">
        <f>'FBMS-HND LEVEL TWO'!J701</f>
        <v>11</v>
      </c>
      <c r="BF128" s="258">
        <f>'FBMS-HND LEVEL TWO'!K701</f>
        <v>34</v>
      </c>
      <c r="BG128" s="258" t="str">
        <f>'FBMS-HND LEVEL TWO'!L701</f>
        <v>F</v>
      </c>
      <c r="BH128" s="271">
        <f>'FBMS-HND LEVEL TWO'!E755</f>
        <v>9</v>
      </c>
      <c r="BI128" s="272">
        <f>'FBMS-HND LEVEL TWO'!F755</f>
        <v>25</v>
      </c>
      <c r="BJ128" s="258">
        <f>'FBMS-HND LEVEL TWO'!J755</f>
        <v>19</v>
      </c>
      <c r="BK128" s="258">
        <f>'FBMS-HND LEVEL TWO'!K755</f>
        <v>53</v>
      </c>
      <c r="BL128" s="269" t="str">
        <f>'FBMS-HND LEVEL TWO'!L755</f>
        <v>C</v>
      </c>
      <c r="BM128" s="268">
        <f>'FBMS-HND LEVEL TWO'!E799</f>
        <v>9</v>
      </c>
      <c r="BN128" s="258">
        <f>'FBMS-HND LEVEL TWO'!F799</f>
        <v>27</v>
      </c>
      <c r="BO128" s="258">
        <f>'FBMS-HND LEVEL TWO'!J799</f>
        <v>30</v>
      </c>
      <c r="BP128" s="258">
        <f>'FBMS-HND LEVEL TWO'!K799</f>
        <v>66</v>
      </c>
      <c r="BQ128" s="269" t="str">
        <f>'FBMS-HND LEVEL TWO'!L799</f>
        <v>B</v>
      </c>
      <c r="BR128" s="268">
        <f>'FBMS-HND LEVEL TWO'!E840</f>
        <v>10</v>
      </c>
      <c r="BS128" s="258">
        <f>'FBMS-HND LEVEL TWO'!F840</f>
        <v>22</v>
      </c>
      <c r="BT128" s="258">
        <f>'FBMS-HND LEVEL TWO'!J840</f>
        <v>16</v>
      </c>
      <c r="BU128" s="258">
        <f>'FBMS-HND LEVEL TWO'!K840</f>
        <v>50</v>
      </c>
      <c r="BV128" s="269" t="str">
        <f>'FBMS-HND LEVEL TWO'!L840</f>
        <v>C</v>
      </c>
      <c r="BW128" s="270"/>
      <c r="BX128" s="258"/>
      <c r="BY128" s="258"/>
      <c r="BZ128" s="258"/>
      <c r="CA128" s="267"/>
      <c r="CB128" s="268"/>
      <c r="CC128" s="258"/>
      <c r="CD128" s="258"/>
      <c r="CE128" s="258"/>
      <c r="CF128" s="269"/>
      <c r="CG128" s="270"/>
      <c r="CH128" s="258"/>
      <c r="CI128" s="258"/>
      <c r="CJ128" s="258"/>
      <c r="CK128" s="258"/>
      <c r="CL128" s="268"/>
      <c r="CM128" s="258"/>
      <c r="CN128" s="258"/>
      <c r="CO128" s="258"/>
      <c r="CP128" s="269"/>
      <c r="CQ128" s="266"/>
      <c r="CR128" s="258"/>
      <c r="CS128" s="258"/>
      <c r="CT128" s="259"/>
      <c r="CU128" s="267"/>
      <c r="CV128" s="268"/>
      <c r="CW128" s="258"/>
      <c r="CX128" s="258"/>
      <c r="CY128" s="258"/>
      <c r="CZ128" s="269"/>
      <c r="DA128" s="268"/>
      <c r="DB128" s="258"/>
      <c r="DC128" s="258"/>
      <c r="DD128" s="258"/>
      <c r="DE128" s="269"/>
      <c r="DF128" s="268"/>
      <c r="DG128" s="258"/>
      <c r="DH128" s="258"/>
      <c r="DI128" s="258"/>
      <c r="DJ128" s="269"/>
      <c r="DK128" s="268"/>
      <c r="DL128" s="258"/>
      <c r="DM128" s="258"/>
      <c r="DN128" s="258"/>
      <c r="DO128" s="269"/>
      <c r="DP128" s="268"/>
      <c r="DQ128" s="258"/>
      <c r="DR128" s="258"/>
      <c r="DS128" s="258"/>
      <c r="DT128" s="269"/>
      <c r="DU128" s="268"/>
      <c r="DV128" s="258"/>
      <c r="DW128" s="258"/>
      <c r="DX128" s="258"/>
      <c r="DY128" s="269"/>
      <c r="DZ128" s="268"/>
      <c r="EA128" s="258"/>
      <c r="EB128" s="258"/>
      <c r="EC128" s="258"/>
      <c r="ED128" s="269"/>
    </row>
    <row r="129" spans="1:134" ht="16.5" customHeight="1" x14ac:dyDescent="0.3">
      <c r="A129" s="154">
        <v>3</v>
      </c>
      <c r="B129" s="12" t="s">
        <v>149</v>
      </c>
      <c r="C129" s="45" t="s">
        <v>97</v>
      </c>
      <c r="D129" s="45" t="s">
        <v>149</v>
      </c>
      <c r="E129" s="162">
        <f>'FBMS-HND LEVEL TWO'!E14</f>
        <v>8</v>
      </c>
      <c r="F129" s="157">
        <f>'FBMS-HND LEVEL TWO'!F14</f>
        <v>23</v>
      </c>
      <c r="G129" s="157">
        <f>'FBMS-HND LEVEL TWO'!J14</f>
        <v>28</v>
      </c>
      <c r="H129" s="158">
        <f>'FBMS-HND LEVEL TWO'!K14</f>
        <v>59</v>
      </c>
      <c r="I129" s="163" t="str">
        <f>'FBMS-HND LEVEL TWO'!L14</f>
        <v>C+</v>
      </c>
      <c r="J129" s="164">
        <f>'FBMS-HND LEVEL TWO'!E83</f>
        <v>10</v>
      </c>
      <c r="K129" s="157">
        <f>'FBMS-HND LEVEL TWO'!F83</f>
        <v>19</v>
      </c>
      <c r="L129" s="157">
        <f>'FBMS-HND LEVEL TWO'!J83</f>
        <v>53</v>
      </c>
      <c r="M129" s="157">
        <f>'FBMS-HND LEVEL TWO'!K83</f>
        <v>82</v>
      </c>
      <c r="N129" s="165" t="str">
        <f>'FBMS-HND LEVEL TWO'!L83</f>
        <v>A</v>
      </c>
      <c r="O129" s="166">
        <f>'FBMS-HND LEVEL TWO'!E152</f>
        <v>9</v>
      </c>
      <c r="P129" s="157">
        <f>'FBMS-HND LEVEL TWO'!F152</f>
        <v>26</v>
      </c>
      <c r="Q129" s="157">
        <f>'FBMS-HND LEVEL TWO'!J152</f>
        <v>55</v>
      </c>
      <c r="R129" s="157">
        <f>'FBMS-HND LEVEL TWO'!K152</f>
        <v>90</v>
      </c>
      <c r="S129" s="163" t="str">
        <f>'FBMS-HND LEVEL TWO'!L152</f>
        <v>A</v>
      </c>
      <c r="T129" s="164">
        <f>'FBMS-HND LEVEL TWO'!E224</f>
        <v>10</v>
      </c>
      <c r="U129" s="157">
        <f>'FBMS-HND LEVEL TWO'!F224</f>
        <v>33</v>
      </c>
      <c r="V129" s="157">
        <f>'FBMS-HND LEVEL TWO'!J224</f>
        <v>45</v>
      </c>
      <c r="W129" s="157">
        <f>'FBMS-HND LEVEL TWO'!K224</f>
        <v>88</v>
      </c>
      <c r="X129" s="165" t="str">
        <f>'FBMS-HND LEVEL TWO'!L224</f>
        <v>A</v>
      </c>
      <c r="Y129" s="166">
        <f>'FBMS-HND LEVEL TWO'!E298</f>
        <v>9</v>
      </c>
      <c r="Z129" s="157">
        <f>'FBMS-HND LEVEL TWO'!F298</f>
        <v>25</v>
      </c>
      <c r="AA129" s="157">
        <f>'FBMS-HND LEVEL TWO'!J298</f>
        <v>48</v>
      </c>
      <c r="AB129" s="157">
        <f>'FBMS-HND LEVEL TWO'!K298</f>
        <v>82</v>
      </c>
      <c r="AC129" s="157" t="str">
        <f>'FBMS-HND LEVEL TWO'!L298</f>
        <v>A</v>
      </c>
      <c r="AD129" s="164">
        <f>'FBMS-HND LEVEL TWO'!E373</f>
        <v>10</v>
      </c>
      <c r="AE129" s="157">
        <f>'FBMS-HND LEVEL TWO'!F373</f>
        <v>26</v>
      </c>
      <c r="AF129" s="157">
        <f>'FBMS-HND LEVEL TWO'!J373</f>
        <v>47</v>
      </c>
      <c r="AG129" s="157">
        <f>'FBMS-HND LEVEL TWO'!K373</f>
        <v>83</v>
      </c>
      <c r="AH129" s="165" t="str">
        <f>'FBMS-HND LEVEL TWO'!L373</f>
        <v>A</v>
      </c>
      <c r="AI129" s="266">
        <f>'FBMS-HND LEVEL TWO'!E424</f>
        <v>10</v>
      </c>
      <c r="AJ129" s="258">
        <f>'FBMS-HND LEVEL TWO'!F424</f>
        <v>27.5</v>
      </c>
      <c r="AK129" s="258">
        <f>'FBMS-HND LEVEL TWO'!J424</f>
        <v>55</v>
      </c>
      <c r="AL129" s="259">
        <f>'FBMS-HND LEVEL TWO'!K424</f>
        <v>92.5</v>
      </c>
      <c r="AM129" s="267" t="str">
        <f>'FBMS-HND LEVEL TWO'!L424</f>
        <v>A</v>
      </c>
      <c r="AN129" s="268">
        <f>'FBMS-HND LEVEL TWO'!E499</f>
        <v>10</v>
      </c>
      <c r="AO129" s="258">
        <f>'FBMS-HND LEVEL TWO'!F499</f>
        <v>25</v>
      </c>
      <c r="AP129" s="258">
        <f>'FBMS-HND LEVEL TWO'!J499</f>
        <v>58</v>
      </c>
      <c r="AQ129" s="258">
        <f>'FBMS-HND LEVEL TWO'!K499</f>
        <v>93</v>
      </c>
      <c r="AR129" s="269" t="str">
        <f>'FBMS-HND LEVEL TWO'!L499</f>
        <v>A</v>
      </c>
      <c r="AS129" s="273">
        <f>'FBMS-HND LEVEL TWO'!E577</f>
        <v>10</v>
      </c>
      <c r="AT129" s="258">
        <f>'FBMS-HND LEVEL TWO'!F577</f>
        <v>25.5</v>
      </c>
      <c r="AU129" s="258">
        <f>'FBMS-HND LEVEL TWO'!J577</f>
        <v>48</v>
      </c>
      <c r="AV129" s="258">
        <f>'FBMS-HND LEVEL TWO'!K577</f>
        <v>83.5</v>
      </c>
      <c r="AW129" s="267" t="str">
        <f>'FBMS-HND LEVEL TWO'!L577</f>
        <v>A</v>
      </c>
      <c r="AX129" s="271">
        <f>'FBMS-HND LEVEL TWO'!E650</f>
        <v>9</v>
      </c>
      <c r="AY129" s="272">
        <f>'FBMS-HND LEVEL TWO'!F650</f>
        <v>23</v>
      </c>
      <c r="AZ129" s="258">
        <f>'FBMS-HND LEVEL TWO'!J650</f>
        <v>46</v>
      </c>
      <c r="BA129" s="258">
        <f>'FBMS-HND LEVEL TWO'!K650</f>
        <v>78</v>
      </c>
      <c r="BB129" s="269" t="str">
        <f>'FBMS-HND LEVEL TWO'!L650</f>
        <v>B+</v>
      </c>
      <c r="BC129" s="270">
        <f>'FBMS-HND LEVEL TWO'!E702</f>
        <v>10</v>
      </c>
      <c r="BD129" s="258">
        <f>'FBMS-HND LEVEL TWO'!F702</f>
        <v>25</v>
      </c>
      <c r="BE129" s="258">
        <f>'FBMS-HND LEVEL TWO'!J702</f>
        <v>40</v>
      </c>
      <c r="BF129" s="258">
        <f>'FBMS-HND LEVEL TWO'!K702</f>
        <v>75</v>
      </c>
      <c r="BG129" s="258" t="str">
        <f>'FBMS-HND LEVEL TWO'!L702</f>
        <v>B+</v>
      </c>
      <c r="BH129" s="271">
        <f>'FBMS-HND LEVEL TWO'!E756</f>
        <v>9</v>
      </c>
      <c r="BI129" s="272">
        <f>'FBMS-HND LEVEL TWO'!F756</f>
        <v>25</v>
      </c>
      <c r="BJ129" s="258">
        <f>'FBMS-HND LEVEL TWO'!J756</f>
        <v>53</v>
      </c>
      <c r="BK129" s="258">
        <f>'FBMS-HND LEVEL TWO'!K756</f>
        <v>87</v>
      </c>
      <c r="BL129" s="269" t="str">
        <f>'FBMS-HND LEVEL TWO'!L756</f>
        <v>A</v>
      </c>
      <c r="BM129" s="268">
        <f>'FBMS-HND LEVEL TWO'!E800</f>
        <v>9</v>
      </c>
      <c r="BN129" s="258">
        <f>'FBMS-HND LEVEL TWO'!F800</f>
        <v>26</v>
      </c>
      <c r="BO129" s="258">
        <f>'FBMS-HND LEVEL TWO'!J800</f>
        <v>50</v>
      </c>
      <c r="BP129" s="258">
        <f>'FBMS-HND LEVEL TWO'!K800</f>
        <v>85</v>
      </c>
      <c r="BQ129" s="269" t="str">
        <f>'FBMS-HND LEVEL TWO'!L800</f>
        <v>A</v>
      </c>
      <c r="BR129" s="268">
        <f>'FBMS-HND LEVEL TWO'!E841</f>
        <v>10</v>
      </c>
      <c r="BS129" s="258">
        <f>'FBMS-HND LEVEL TWO'!F841</f>
        <v>25</v>
      </c>
      <c r="BT129" s="258">
        <f>'FBMS-HND LEVEL TWO'!J841</f>
        <v>49</v>
      </c>
      <c r="BU129" s="258">
        <f>'FBMS-HND LEVEL TWO'!K841</f>
        <v>84</v>
      </c>
      <c r="BV129" s="269" t="str">
        <f>'FBMS-HND LEVEL TWO'!L841</f>
        <v>A</v>
      </c>
      <c r="BW129" s="270"/>
      <c r="BX129" s="258"/>
      <c r="BY129" s="258"/>
      <c r="BZ129" s="258"/>
      <c r="CA129" s="267"/>
      <c r="CB129" s="268"/>
      <c r="CC129" s="258"/>
      <c r="CD129" s="258"/>
      <c r="CE129" s="258"/>
      <c r="CF129" s="269"/>
      <c r="CG129" s="270"/>
      <c r="CH129" s="258"/>
      <c r="CI129" s="258"/>
      <c r="CJ129" s="258"/>
      <c r="CK129" s="258"/>
      <c r="CL129" s="268"/>
      <c r="CM129" s="258"/>
      <c r="CN129" s="258"/>
      <c r="CO129" s="258"/>
      <c r="CP129" s="269"/>
      <c r="CQ129" s="266"/>
      <c r="CR129" s="258"/>
      <c r="CS129" s="258"/>
      <c r="CT129" s="259"/>
      <c r="CU129" s="267"/>
      <c r="CV129" s="268"/>
      <c r="CW129" s="258"/>
      <c r="CX129" s="258"/>
      <c r="CY129" s="258"/>
      <c r="CZ129" s="269"/>
      <c r="DA129" s="268"/>
      <c r="DB129" s="258"/>
      <c r="DC129" s="258"/>
      <c r="DD129" s="258"/>
      <c r="DE129" s="269"/>
      <c r="DF129" s="268"/>
      <c r="DG129" s="258"/>
      <c r="DH129" s="258"/>
      <c r="DI129" s="258"/>
      <c r="DJ129" s="269"/>
      <c r="DK129" s="268"/>
      <c r="DL129" s="258"/>
      <c r="DM129" s="258"/>
      <c r="DN129" s="258"/>
      <c r="DO129" s="269"/>
      <c r="DP129" s="268"/>
      <c r="DQ129" s="258"/>
      <c r="DR129" s="258"/>
      <c r="DS129" s="258"/>
      <c r="DT129" s="269"/>
      <c r="DU129" s="268"/>
      <c r="DV129" s="258"/>
      <c r="DW129" s="258"/>
      <c r="DX129" s="258"/>
      <c r="DY129" s="269"/>
      <c r="DZ129" s="268"/>
      <c r="EA129" s="258"/>
      <c r="EB129" s="258"/>
      <c r="EC129" s="258"/>
      <c r="ED129" s="269"/>
    </row>
    <row r="130" spans="1:134" ht="16.5" customHeight="1" x14ac:dyDescent="0.3">
      <c r="A130" s="161">
        <v>4</v>
      </c>
      <c r="B130" s="12" t="s">
        <v>152</v>
      </c>
      <c r="C130" s="45" t="s">
        <v>100</v>
      </c>
      <c r="D130" s="45" t="s">
        <v>152</v>
      </c>
      <c r="E130" s="162">
        <f>'FBMS-HND LEVEL TWO'!E15</f>
        <v>8</v>
      </c>
      <c r="F130" s="157">
        <f>'FBMS-HND LEVEL TWO'!F15</f>
        <v>22</v>
      </c>
      <c r="G130" s="157">
        <f>'FBMS-HND LEVEL TWO'!J15</f>
        <v>20</v>
      </c>
      <c r="H130" s="158">
        <f>'FBMS-HND LEVEL TWO'!K15</f>
        <v>50</v>
      </c>
      <c r="I130" s="163" t="str">
        <f>'FBMS-HND LEVEL TWO'!L15</f>
        <v>C</v>
      </c>
      <c r="J130" s="164">
        <f>'FBMS-HND LEVEL TWO'!E84</f>
        <v>7.5</v>
      </c>
      <c r="K130" s="157">
        <f>'FBMS-HND LEVEL TWO'!F84</f>
        <v>24</v>
      </c>
      <c r="L130" s="157">
        <f>'FBMS-HND LEVEL TWO'!J84</f>
        <v>36</v>
      </c>
      <c r="M130" s="157">
        <f>'FBMS-HND LEVEL TWO'!K84</f>
        <v>67.5</v>
      </c>
      <c r="N130" s="165" t="str">
        <f>'FBMS-HND LEVEL TWO'!L84</f>
        <v>B</v>
      </c>
      <c r="O130" s="166">
        <f>'FBMS-HND LEVEL TWO'!E153</f>
        <v>8</v>
      </c>
      <c r="P130" s="157">
        <f>'FBMS-HND LEVEL TWO'!F153</f>
        <v>16.5</v>
      </c>
      <c r="Q130" s="157">
        <f>'FBMS-HND LEVEL TWO'!J153</f>
        <v>35</v>
      </c>
      <c r="R130" s="157">
        <f>'FBMS-HND LEVEL TWO'!K153</f>
        <v>59.5</v>
      </c>
      <c r="S130" s="163" t="str">
        <f>'FBMS-HND LEVEL TWO'!L153</f>
        <v>C+</v>
      </c>
      <c r="T130" s="164">
        <f>'FBMS-HND LEVEL TWO'!E225</f>
        <v>8</v>
      </c>
      <c r="U130" s="157">
        <f>'FBMS-HND LEVEL TWO'!F225</f>
        <v>20</v>
      </c>
      <c r="V130" s="157">
        <f>'FBMS-HND LEVEL TWO'!J225</f>
        <v>26</v>
      </c>
      <c r="W130" s="157">
        <f>'FBMS-HND LEVEL TWO'!K225</f>
        <v>54</v>
      </c>
      <c r="X130" s="165" t="str">
        <f>'FBMS-HND LEVEL TWO'!L225</f>
        <v>C</v>
      </c>
      <c r="Y130" s="166">
        <f>'FBMS-HND LEVEL TWO'!E299</f>
        <v>8</v>
      </c>
      <c r="Z130" s="157">
        <f>'FBMS-HND LEVEL TWO'!F299</f>
        <v>17</v>
      </c>
      <c r="AA130" s="157">
        <f>'FBMS-HND LEVEL TWO'!J299</f>
        <v>25</v>
      </c>
      <c r="AB130" s="157">
        <f>'FBMS-HND LEVEL TWO'!K299</f>
        <v>50</v>
      </c>
      <c r="AC130" s="157" t="str">
        <f>'FBMS-HND LEVEL TWO'!L299</f>
        <v>C</v>
      </c>
      <c r="AD130" s="164">
        <f>'FBMS-HND LEVEL TWO'!E374</f>
        <v>9</v>
      </c>
      <c r="AE130" s="157">
        <f>'FBMS-HND LEVEL TWO'!F374</f>
        <v>19</v>
      </c>
      <c r="AF130" s="157">
        <f>'FBMS-HND LEVEL TWO'!J374</f>
        <v>22</v>
      </c>
      <c r="AG130" s="157">
        <f>'FBMS-HND LEVEL TWO'!K374</f>
        <v>50</v>
      </c>
      <c r="AH130" s="165" t="str">
        <f>'FBMS-HND LEVEL TWO'!L374</f>
        <v>C</v>
      </c>
      <c r="AI130" s="266">
        <f>'FBMS-HND LEVEL TWO'!E425</f>
        <v>9</v>
      </c>
      <c r="AJ130" s="258">
        <f>'FBMS-HND LEVEL TWO'!F425</f>
        <v>21</v>
      </c>
      <c r="AK130" s="258">
        <f>'FBMS-HND LEVEL TWO'!J425</f>
        <v>41</v>
      </c>
      <c r="AL130" s="259">
        <f>'FBMS-HND LEVEL TWO'!K425</f>
        <v>71</v>
      </c>
      <c r="AM130" s="267" t="str">
        <f>'FBMS-HND LEVEL TWO'!L425</f>
        <v>B+</v>
      </c>
      <c r="AN130" s="268">
        <f>'FBMS-HND LEVEL TWO'!E500</f>
        <v>10</v>
      </c>
      <c r="AO130" s="258">
        <f>'FBMS-HND LEVEL TWO'!F500</f>
        <v>22</v>
      </c>
      <c r="AP130" s="258">
        <f>'FBMS-HND LEVEL TWO'!J500</f>
        <v>8</v>
      </c>
      <c r="AQ130" s="258">
        <f>'FBMS-HND LEVEL TWO'!K500</f>
        <v>40</v>
      </c>
      <c r="AR130" s="269" t="str">
        <f>'FBMS-HND LEVEL TWO'!L500</f>
        <v>D</v>
      </c>
      <c r="AS130" s="270">
        <f>'FBMS-HND LEVEL TWO'!E578</f>
        <v>8</v>
      </c>
      <c r="AT130" s="258">
        <f>'FBMS-HND LEVEL TWO'!F578</f>
        <v>22.5</v>
      </c>
      <c r="AU130" s="258">
        <f>'FBMS-HND LEVEL TWO'!J578</f>
        <v>40</v>
      </c>
      <c r="AV130" s="258">
        <f>'FBMS-HND LEVEL TWO'!K578</f>
        <v>70.5</v>
      </c>
      <c r="AW130" s="267" t="str">
        <f>'FBMS-HND LEVEL TWO'!L578</f>
        <v>B+</v>
      </c>
      <c r="AX130" s="271">
        <f>'FBMS-HND LEVEL TWO'!E651</f>
        <v>7.5</v>
      </c>
      <c r="AY130" s="272">
        <f>'FBMS-HND LEVEL TWO'!F651</f>
        <v>18</v>
      </c>
      <c r="AZ130" s="258">
        <f>'FBMS-HND LEVEL TWO'!J651</f>
        <v>30</v>
      </c>
      <c r="BA130" s="258">
        <f>'FBMS-HND LEVEL TWO'!K651</f>
        <v>55.5</v>
      </c>
      <c r="BB130" s="269" t="str">
        <f>'FBMS-HND LEVEL TWO'!L651</f>
        <v>C+</v>
      </c>
      <c r="BC130" s="270">
        <f>'FBMS-HND LEVEL TWO'!E703</f>
        <v>9</v>
      </c>
      <c r="BD130" s="258">
        <f>'FBMS-HND LEVEL TWO'!F703</f>
        <v>16</v>
      </c>
      <c r="BE130" s="258">
        <f>'FBMS-HND LEVEL TWO'!J703</f>
        <v>18</v>
      </c>
      <c r="BF130" s="258">
        <f>'FBMS-HND LEVEL TWO'!K703</f>
        <v>43</v>
      </c>
      <c r="BG130" s="258" t="str">
        <f>'FBMS-HND LEVEL TWO'!L703</f>
        <v>D</v>
      </c>
      <c r="BH130" s="271">
        <f>'FBMS-HND LEVEL TWO'!E757</f>
        <v>9</v>
      </c>
      <c r="BI130" s="272">
        <f>'FBMS-HND LEVEL TWO'!F757</f>
        <v>25</v>
      </c>
      <c r="BJ130" s="258">
        <f>'FBMS-HND LEVEL TWO'!J757</f>
        <v>18</v>
      </c>
      <c r="BK130" s="258">
        <f>'FBMS-HND LEVEL TWO'!K757</f>
        <v>52</v>
      </c>
      <c r="BL130" s="269" t="str">
        <f>'FBMS-HND LEVEL TWO'!L757</f>
        <v>C</v>
      </c>
      <c r="BM130" s="268">
        <f>'FBMS-HND LEVEL TWO'!E801</f>
        <v>8</v>
      </c>
      <c r="BN130" s="258">
        <f>'FBMS-HND LEVEL TWO'!F801</f>
        <v>27</v>
      </c>
      <c r="BO130" s="258">
        <f>'FBMS-HND LEVEL TWO'!J801</f>
        <v>50</v>
      </c>
      <c r="BP130" s="258">
        <f>'FBMS-HND LEVEL TWO'!K801</f>
        <v>85</v>
      </c>
      <c r="BQ130" s="269" t="str">
        <f>'FBMS-HND LEVEL TWO'!L801</f>
        <v>A</v>
      </c>
      <c r="BR130" s="268">
        <f>'FBMS-HND LEVEL TWO'!E842</f>
        <v>10</v>
      </c>
      <c r="BS130" s="258">
        <f>'FBMS-HND LEVEL TWO'!F842</f>
        <v>22</v>
      </c>
      <c r="BT130" s="258">
        <f>'FBMS-HND LEVEL TWO'!J842</f>
        <v>29</v>
      </c>
      <c r="BU130" s="258">
        <f>'FBMS-HND LEVEL TWO'!K842</f>
        <v>61</v>
      </c>
      <c r="BV130" s="269" t="str">
        <f>'FBMS-HND LEVEL TWO'!L842</f>
        <v>B</v>
      </c>
      <c r="BW130" s="270"/>
      <c r="BX130" s="258"/>
      <c r="BY130" s="258"/>
      <c r="BZ130" s="258"/>
      <c r="CA130" s="267"/>
      <c r="CB130" s="268"/>
      <c r="CC130" s="258"/>
      <c r="CD130" s="258"/>
      <c r="CE130" s="258"/>
      <c r="CF130" s="269"/>
      <c r="CG130" s="270"/>
      <c r="CH130" s="258"/>
      <c r="CI130" s="258"/>
      <c r="CJ130" s="258"/>
      <c r="CK130" s="258"/>
      <c r="CL130" s="268"/>
      <c r="CM130" s="258"/>
      <c r="CN130" s="258"/>
      <c r="CO130" s="258"/>
      <c r="CP130" s="269"/>
      <c r="CQ130" s="266"/>
      <c r="CR130" s="258"/>
      <c r="CS130" s="258"/>
      <c r="CT130" s="259"/>
      <c r="CU130" s="267"/>
      <c r="CV130" s="268"/>
      <c r="CW130" s="258"/>
      <c r="CX130" s="258"/>
      <c r="CY130" s="258"/>
      <c r="CZ130" s="269"/>
      <c r="DA130" s="268"/>
      <c r="DB130" s="258"/>
      <c r="DC130" s="258"/>
      <c r="DD130" s="258"/>
      <c r="DE130" s="269"/>
      <c r="DF130" s="268"/>
      <c r="DG130" s="258"/>
      <c r="DH130" s="258"/>
      <c r="DI130" s="258"/>
      <c r="DJ130" s="269"/>
      <c r="DK130" s="268"/>
      <c r="DL130" s="258"/>
      <c r="DM130" s="258"/>
      <c r="DN130" s="258"/>
      <c r="DO130" s="269"/>
      <c r="DP130" s="268"/>
      <c r="DQ130" s="258"/>
      <c r="DR130" s="258"/>
      <c r="DS130" s="258"/>
      <c r="DT130" s="269"/>
      <c r="DU130" s="268"/>
      <c r="DV130" s="258"/>
      <c r="DW130" s="258"/>
      <c r="DX130" s="258"/>
      <c r="DY130" s="269"/>
      <c r="DZ130" s="268"/>
      <c r="EA130" s="258"/>
      <c r="EB130" s="258"/>
      <c r="EC130" s="258"/>
      <c r="ED130" s="269"/>
    </row>
    <row r="131" spans="1:134" ht="14.25" customHeight="1" x14ac:dyDescent="0.3">
      <c r="A131" s="154">
        <v>5</v>
      </c>
      <c r="B131" s="12" t="s">
        <v>156</v>
      </c>
      <c r="C131" s="45" t="s">
        <v>104</v>
      </c>
      <c r="D131" s="45" t="s">
        <v>156</v>
      </c>
      <c r="E131" s="162">
        <f>'FBMS-HND LEVEL TWO'!E16</f>
        <v>8</v>
      </c>
      <c r="F131" s="157">
        <f>'FBMS-HND LEVEL TWO'!F16</f>
        <v>26</v>
      </c>
      <c r="G131" s="157">
        <f>'FBMS-HND LEVEL TWO'!J16</f>
        <v>32</v>
      </c>
      <c r="H131" s="158">
        <f>'FBMS-HND LEVEL TWO'!K16</f>
        <v>66</v>
      </c>
      <c r="I131" s="163" t="str">
        <f>'FBMS-HND LEVEL TWO'!L16</f>
        <v>B</v>
      </c>
      <c r="J131" s="164">
        <f>'FBMS-HND LEVEL TWO'!E85</f>
        <v>10</v>
      </c>
      <c r="K131" s="157">
        <f>'FBMS-HND LEVEL TWO'!F85</f>
        <v>24</v>
      </c>
      <c r="L131" s="157">
        <f>'FBMS-HND LEVEL TWO'!J85</f>
        <v>30</v>
      </c>
      <c r="M131" s="157">
        <f>'FBMS-HND LEVEL TWO'!K85</f>
        <v>64</v>
      </c>
      <c r="N131" s="165" t="str">
        <f>'FBMS-HND LEVEL TWO'!L85</f>
        <v>B</v>
      </c>
      <c r="O131" s="166">
        <f>'FBMS-HND LEVEL TWO'!E154</f>
        <v>9</v>
      </c>
      <c r="P131" s="157">
        <f>'FBMS-HND LEVEL TWO'!F154</f>
        <v>24</v>
      </c>
      <c r="Q131" s="157">
        <f>'FBMS-HND LEVEL TWO'!J154</f>
        <v>35</v>
      </c>
      <c r="R131" s="157">
        <f>'FBMS-HND LEVEL TWO'!K154</f>
        <v>68</v>
      </c>
      <c r="S131" s="163" t="str">
        <f>'FBMS-HND LEVEL TWO'!L154</f>
        <v>B</v>
      </c>
      <c r="T131" s="164">
        <f>'FBMS-HND LEVEL TWO'!E226</f>
        <v>10</v>
      </c>
      <c r="U131" s="157">
        <f>'FBMS-HND LEVEL TWO'!F226</f>
        <v>22</v>
      </c>
      <c r="V131" s="157">
        <f>'FBMS-HND LEVEL TWO'!J226</f>
        <v>55</v>
      </c>
      <c r="W131" s="157">
        <f>'FBMS-HND LEVEL TWO'!K226</f>
        <v>87</v>
      </c>
      <c r="X131" s="165" t="str">
        <f>'FBMS-HND LEVEL TWO'!L226</f>
        <v>A</v>
      </c>
      <c r="Y131" s="166">
        <f>'FBMS-HND LEVEL TWO'!E300</f>
        <v>10</v>
      </c>
      <c r="Z131" s="157">
        <f>'FBMS-HND LEVEL TWO'!F300</f>
        <v>23</v>
      </c>
      <c r="AA131" s="157">
        <f>'FBMS-HND LEVEL TWO'!J300</f>
        <v>36</v>
      </c>
      <c r="AB131" s="157">
        <f>'FBMS-HND LEVEL TWO'!K300</f>
        <v>69</v>
      </c>
      <c r="AC131" s="157" t="str">
        <f>'FBMS-HND LEVEL TWO'!L300</f>
        <v>B</v>
      </c>
      <c r="AD131" s="164">
        <f>'FBMS-HND LEVEL TWO'!E375</f>
        <v>10</v>
      </c>
      <c r="AE131" s="157">
        <f>'FBMS-HND LEVEL TWO'!F375</f>
        <v>24</v>
      </c>
      <c r="AF131" s="157">
        <f>'FBMS-HND LEVEL TWO'!J375</f>
        <v>50</v>
      </c>
      <c r="AG131" s="157">
        <f>'FBMS-HND LEVEL TWO'!K375</f>
        <v>84</v>
      </c>
      <c r="AH131" s="165" t="str">
        <f>'FBMS-HND LEVEL TWO'!L375</f>
        <v>A</v>
      </c>
      <c r="AI131" s="266">
        <f>'FBMS-HND LEVEL TWO'!E426</f>
        <v>10</v>
      </c>
      <c r="AJ131" s="258">
        <f>'FBMS-HND LEVEL TWO'!F426</f>
        <v>23</v>
      </c>
      <c r="AK131" s="258">
        <f>'FBMS-HND LEVEL TWO'!J426</f>
        <v>41</v>
      </c>
      <c r="AL131" s="259">
        <f>'FBMS-HND LEVEL TWO'!K426</f>
        <v>74</v>
      </c>
      <c r="AM131" s="267" t="str">
        <f>'FBMS-HND LEVEL TWO'!L426</f>
        <v>B+</v>
      </c>
      <c r="AN131" s="268">
        <f>'FBMS-HND LEVEL TWO'!E501</f>
        <v>10</v>
      </c>
      <c r="AO131" s="258">
        <f>'FBMS-HND LEVEL TWO'!F501</f>
        <v>27</v>
      </c>
      <c r="AP131" s="258">
        <f>'FBMS-HND LEVEL TWO'!J501</f>
        <v>52</v>
      </c>
      <c r="AQ131" s="258">
        <f>'FBMS-HND LEVEL TWO'!K501</f>
        <v>89</v>
      </c>
      <c r="AR131" s="269" t="str">
        <f>'FBMS-HND LEVEL TWO'!L501</f>
        <v>A</v>
      </c>
      <c r="AS131" s="270">
        <f>'FBMS-HND LEVEL TWO'!E579</f>
        <v>10</v>
      </c>
      <c r="AT131" s="258">
        <f>'FBMS-HND LEVEL TWO'!F579</f>
        <v>21.75</v>
      </c>
      <c r="AU131" s="258">
        <f>'FBMS-HND LEVEL TWO'!J579</f>
        <v>57</v>
      </c>
      <c r="AV131" s="258">
        <f>'FBMS-HND LEVEL TWO'!K579</f>
        <v>88.75</v>
      </c>
      <c r="AW131" s="267" t="str">
        <f>'FBMS-HND LEVEL TWO'!L579</f>
        <v>A</v>
      </c>
      <c r="AX131" s="271">
        <f>'FBMS-HND LEVEL TWO'!E652</f>
        <v>9</v>
      </c>
      <c r="AY131" s="272">
        <f>'FBMS-HND LEVEL TWO'!F652</f>
        <v>21</v>
      </c>
      <c r="AZ131" s="258">
        <f>'FBMS-HND LEVEL TWO'!J652</f>
        <v>51</v>
      </c>
      <c r="BA131" s="258">
        <f>'FBMS-HND LEVEL TWO'!K652</f>
        <v>81</v>
      </c>
      <c r="BB131" s="269" t="str">
        <f>'FBMS-HND LEVEL TWO'!L652</f>
        <v>A</v>
      </c>
      <c r="BC131" s="270">
        <f>'FBMS-HND LEVEL TWO'!E704</f>
        <v>10</v>
      </c>
      <c r="BD131" s="258">
        <f>'FBMS-HND LEVEL TWO'!F704</f>
        <v>20</v>
      </c>
      <c r="BE131" s="258">
        <f>'FBMS-HND LEVEL TWO'!J704</f>
        <v>51</v>
      </c>
      <c r="BF131" s="258">
        <f>'FBMS-HND LEVEL TWO'!K704</f>
        <v>81</v>
      </c>
      <c r="BG131" s="258" t="str">
        <f>'FBMS-HND LEVEL TWO'!L704</f>
        <v>A</v>
      </c>
      <c r="BH131" s="271">
        <f>'FBMS-HND LEVEL TWO'!E758</f>
        <v>9</v>
      </c>
      <c r="BI131" s="272">
        <f>'FBMS-HND LEVEL TWO'!F758</f>
        <v>25</v>
      </c>
      <c r="BJ131" s="258">
        <f>'FBMS-HND LEVEL TWO'!J758</f>
        <v>36</v>
      </c>
      <c r="BK131" s="258">
        <f>'FBMS-HND LEVEL TWO'!K758</f>
        <v>70</v>
      </c>
      <c r="BL131" s="269" t="str">
        <f>'FBMS-HND LEVEL TWO'!L758</f>
        <v>B+</v>
      </c>
      <c r="BM131" s="268">
        <f>'FBMS-HND LEVEL TWO'!E802</f>
        <v>9</v>
      </c>
      <c r="BN131" s="258">
        <f>'FBMS-HND LEVEL TWO'!F802</f>
        <v>26</v>
      </c>
      <c r="BO131" s="258">
        <f>'FBMS-HND LEVEL TWO'!J802</f>
        <v>28</v>
      </c>
      <c r="BP131" s="258">
        <f>'FBMS-HND LEVEL TWO'!K802</f>
        <v>63</v>
      </c>
      <c r="BQ131" s="269" t="str">
        <f>'FBMS-HND LEVEL TWO'!L802</f>
        <v>B</v>
      </c>
      <c r="BR131" s="268">
        <f>'FBMS-HND LEVEL TWO'!E843</f>
        <v>10</v>
      </c>
      <c r="BS131" s="258">
        <f>'FBMS-HND LEVEL TWO'!F843</f>
        <v>25</v>
      </c>
      <c r="BT131" s="258">
        <f>'FBMS-HND LEVEL TWO'!J843</f>
        <v>46</v>
      </c>
      <c r="BU131" s="258">
        <f>'FBMS-HND LEVEL TWO'!K843</f>
        <v>81</v>
      </c>
      <c r="BV131" s="269" t="str">
        <f>'FBMS-HND LEVEL TWO'!L843</f>
        <v>A</v>
      </c>
      <c r="BW131" s="270"/>
      <c r="BX131" s="258"/>
      <c r="BY131" s="258"/>
      <c r="BZ131" s="258"/>
      <c r="CA131" s="267"/>
      <c r="CB131" s="268"/>
      <c r="CC131" s="258"/>
      <c r="CD131" s="258"/>
      <c r="CE131" s="258"/>
      <c r="CF131" s="269"/>
      <c r="CG131" s="270"/>
      <c r="CH131" s="258"/>
      <c r="CI131" s="258"/>
      <c r="CJ131" s="258"/>
      <c r="CK131" s="258"/>
      <c r="CL131" s="268"/>
      <c r="CM131" s="258"/>
      <c r="CN131" s="258"/>
      <c r="CO131" s="258"/>
      <c r="CP131" s="269"/>
      <c r="CQ131" s="266"/>
      <c r="CR131" s="258"/>
      <c r="CS131" s="258"/>
      <c r="CT131" s="259"/>
      <c r="CU131" s="267"/>
      <c r="CV131" s="268"/>
      <c r="CW131" s="258"/>
      <c r="CX131" s="258"/>
      <c r="CY131" s="258"/>
      <c r="CZ131" s="269"/>
      <c r="DA131" s="268"/>
      <c r="DB131" s="258"/>
      <c r="DC131" s="258"/>
      <c r="DD131" s="258"/>
      <c r="DE131" s="269"/>
      <c r="DF131" s="268"/>
      <c r="DG131" s="258"/>
      <c r="DH131" s="258"/>
      <c r="DI131" s="258"/>
      <c r="DJ131" s="269"/>
      <c r="DK131" s="268"/>
      <c r="DL131" s="258"/>
      <c r="DM131" s="258"/>
      <c r="DN131" s="258"/>
      <c r="DO131" s="269"/>
      <c r="DP131" s="268"/>
      <c r="DQ131" s="258"/>
      <c r="DR131" s="258"/>
      <c r="DS131" s="258"/>
      <c r="DT131" s="269"/>
      <c r="DU131" s="268"/>
      <c r="DV131" s="258"/>
      <c r="DW131" s="258"/>
      <c r="DX131" s="258"/>
      <c r="DY131" s="269"/>
      <c r="DZ131" s="268"/>
      <c r="EA131" s="258"/>
      <c r="EB131" s="258"/>
      <c r="EC131" s="258"/>
      <c r="ED131" s="269"/>
    </row>
    <row r="132" spans="1:134" ht="15.75" customHeight="1" x14ac:dyDescent="0.3">
      <c r="A132" s="161">
        <v>6</v>
      </c>
      <c r="B132" s="12" t="s">
        <v>160</v>
      </c>
      <c r="C132" s="45" t="s">
        <v>109</v>
      </c>
      <c r="D132" s="45" t="s">
        <v>160</v>
      </c>
      <c r="E132" s="162">
        <f>'FBMS-HND LEVEL TWO'!E17</f>
        <v>8</v>
      </c>
      <c r="F132" s="157">
        <f>'FBMS-HND LEVEL TWO'!F17</f>
        <v>21</v>
      </c>
      <c r="G132" s="157">
        <f>'FBMS-HND LEVEL TWO'!J17</f>
        <v>26</v>
      </c>
      <c r="H132" s="158">
        <f>'FBMS-HND LEVEL TWO'!K17</f>
        <v>55</v>
      </c>
      <c r="I132" s="163" t="str">
        <f>'FBMS-HND LEVEL TWO'!L17</f>
        <v>C+</v>
      </c>
      <c r="J132" s="164">
        <f>'FBMS-HND LEVEL TWO'!E86</f>
        <v>10</v>
      </c>
      <c r="K132" s="157">
        <f>'FBMS-HND LEVEL TWO'!F86</f>
        <v>22</v>
      </c>
      <c r="L132" s="157">
        <f>'FBMS-HND LEVEL TWO'!J86</f>
        <v>51</v>
      </c>
      <c r="M132" s="157">
        <f>'FBMS-HND LEVEL TWO'!K86</f>
        <v>83</v>
      </c>
      <c r="N132" s="165" t="str">
        <f>'FBMS-HND LEVEL TWO'!L86</f>
        <v>A</v>
      </c>
      <c r="O132" s="166">
        <f>'FBMS-HND LEVEL TWO'!E155</f>
        <v>9</v>
      </c>
      <c r="P132" s="157">
        <f>'FBMS-HND LEVEL TWO'!F155</f>
        <v>26</v>
      </c>
      <c r="Q132" s="157">
        <f>'FBMS-HND LEVEL TWO'!J155</f>
        <v>55</v>
      </c>
      <c r="R132" s="157">
        <f>'FBMS-HND LEVEL TWO'!K155</f>
        <v>90</v>
      </c>
      <c r="S132" s="163" t="str">
        <f>'FBMS-HND LEVEL TWO'!L155</f>
        <v>A</v>
      </c>
      <c r="T132" s="164">
        <f>'FBMS-HND LEVEL TWO'!E227</f>
        <v>10</v>
      </c>
      <c r="U132" s="157">
        <f>'FBMS-HND LEVEL TWO'!F227</f>
        <v>20</v>
      </c>
      <c r="V132" s="157">
        <f>'FBMS-HND LEVEL TWO'!J227</f>
        <v>53</v>
      </c>
      <c r="W132" s="157">
        <f>'FBMS-HND LEVEL TWO'!K227</f>
        <v>83</v>
      </c>
      <c r="X132" s="165" t="str">
        <f>'FBMS-HND LEVEL TWO'!L227</f>
        <v>A</v>
      </c>
      <c r="Y132" s="166">
        <f>'FBMS-HND LEVEL TWO'!E301</f>
        <v>10</v>
      </c>
      <c r="Z132" s="157">
        <f>'FBMS-HND LEVEL TWO'!F301</f>
        <v>26</v>
      </c>
      <c r="AA132" s="157">
        <f>'FBMS-HND LEVEL TWO'!J301</f>
        <v>46</v>
      </c>
      <c r="AB132" s="157">
        <f>'FBMS-HND LEVEL TWO'!K301</f>
        <v>82</v>
      </c>
      <c r="AC132" s="157" t="str">
        <f>'FBMS-HND LEVEL TWO'!L301</f>
        <v>A</v>
      </c>
      <c r="AD132" s="164">
        <f>'FBMS-HND LEVEL TWO'!E376</f>
        <v>10</v>
      </c>
      <c r="AE132" s="157">
        <f>'FBMS-HND LEVEL TWO'!F376</f>
        <v>26</v>
      </c>
      <c r="AF132" s="157">
        <f>'FBMS-HND LEVEL TWO'!J376</f>
        <v>41</v>
      </c>
      <c r="AG132" s="157">
        <f>'FBMS-HND LEVEL TWO'!K376</f>
        <v>77</v>
      </c>
      <c r="AH132" s="165" t="str">
        <f>'FBMS-HND LEVEL TWO'!L376</f>
        <v>B+</v>
      </c>
      <c r="AI132" s="266">
        <f>'FBMS-HND LEVEL TWO'!E427</f>
        <v>10</v>
      </c>
      <c r="AJ132" s="258">
        <f>'FBMS-HND LEVEL TWO'!F427</f>
        <v>30</v>
      </c>
      <c r="AK132" s="258">
        <f>'FBMS-HND LEVEL TWO'!J427</f>
        <v>50</v>
      </c>
      <c r="AL132" s="259">
        <f>'FBMS-HND LEVEL TWO'!K427</f>
        <v>90</v>
      </c>
      <c r="AM132" s="267" t="str">
        <f>'FBMS-HND LEVEL TWO'!L427</f>
        <v>A</v>
      </c>
      <c r="AN132" s="268">
        <f>'FBMS-HND LEVEL TWO'!E502</f>
        <v>10</v>
      </c>
      <c r="AO132" s="258">
        <f>'FBMS-HND LEVEL TWO'!F502</f>
        <v>25</v>
      </c>
      <c r="AP132" s="258">
        <f>'FBMS-HND LEVEL TWO'!J502</f>
        <v>48</v>
      </c>
      <c r="AQ132" s="258">
        <f>'FBMS-HND LEVEL TWO'!K502</f>
        <v>83</v>
      </c>
      <c r="AR132" s="269" t="str">
        <f>'FBMS-HND LEVEL TWO'!L502</f>
        <v>A</v>
      </c>
      <c r="AS132" s="270">
        <f>'FBMS-HND LEVEL TWO'!E580</f>
        <v>10</v>
      </c>
      <c r="AT132" s="258">
        <f>'FBMS-HND LEVEL TWO'!F580</f>
        <v>23.25</v>
      </c>
      <c r="AU132" s="258">
        <f>'FBMS-HND LEVEL TWO'!J580</f>
        <v>55</v>
      </c>
      <c r="AV132" s="258">
        <f>'FBMS-HND LEVEL TWO'!K580</f>
        <v>88.25</v>
      </c>
      <c r="AW132" s="267" t="str">
        <f>'FBMS-HND LEVEL TWO'!L580</f>
        <v>A</v>
      </c>
      <c r="AX132" s="271">
        <f>'FBMS-HND LEVEL TWO'!E653</f>
        <v>10</v>
      </c>
      <c r="AY132" s="272">
        <f>'FBMS-HND LEVEL TWO'!F653</f>
        <v>20</v>
      </c>
      <c r="AZ132" s="258">
        <f>'FBMS-HND LEVEL TWO'!J653</f>
        <v>45</v>
      </c>
      <c r="BA132" s="258">
        <f>'FBMS-HND LEVEL TWO'!K653</f>
        <v>75</v>
      </c>
      <c r="BB132" s="269" t="str">
        <f>'FBMS-HND LEVEL TWO'!L653</f>
        <v>B+</v>
      </c>
      <c r="BC132" s="270">
        <f>'FBMS-HND LEVEL TWO'!E705</f>
        <v>10</v>
      </c>
      <c r="BD132" s="258">
        <f>'FBMS-HND LEVEL TWO'!F705</f>
        <v>23</v>
      </c>
      <c r="BE132" s="258">
        <f>'FBMS-HND LEVEL TWO'!J705</f>
        <v>41</v>
      </c>
      <c r="BF132" s="258">
        <f>'FBMS-HND LEVEL TWO'!K705</f>
        <v>74</v>
      </c>
      <c r="BG132" s="258" t="str">
        <f>'FBMS-HND LEVEL TWO'!L705</f>
        <v>B+</v>
      </c>
      <c r="BH132" s="271">
        <f>'FBMS-HND LEVEL TWO'!E759</f>
        <v>9</v>
      </c>
      <c r="BI132" s="272">
        <f>'FBMS-HND LEVEL TWO'!F759</f>
        <v>25</v>
      </c>
      <c r="BJ132" s="258">
        <f>'FBMS-HND LEVEL TWO'!J759</f>
        <v>35</v>
      </c>
      <c r="BK132" s="258">
        <f>'FBMS-HND LEVEL TWO'!K759</f>
        <v>69</v>
      </c>
      <c r="BL132" s="269" t="str">
        <f>'FBMS-HND LEVEL TWO'!L759</f>
        <v>B</v>
      </c>
      <c r="BM132" s="268">
        <f>'FBMS-HND LEVEL TWO'!E803</f>
        <v>9</v>
      </c>
      <c r="BN132" s="258">
        <f>'FBMS-HND LEVEL TWO'!F803</f>
        <v>26</v>
      </c>
      <c r="BO132" s="258">
        <f>'FBMS-HND LEVEL TWO'!J803</f>
        <v>50</v>
      </c>
      <c r="BP132" s="258">
        <f>'FBMS-HND LEVEL TWO'!K803</f>
        <v>85</v>
      </c>
      <c r="BQ132" s="269" t="str">
        <f>'FBMS-HND LEVEL TWO'!L803</f>
        <v>A</v>
      </c>
      <c r="BR132" s="268">
        <f>'FBMS-HND LEVEL TWO'!E844</f>
        <v>10</v>
      </c>
      <c r="BS132" s="258">
        <f>'FBMS-HND LEVEL TWO'!F844</f>
        <v>25</v>
      </c>
      <c r="BT132" s="258">
        <f>'FBMS-HND LEVEL TWO'!J844</f>
        <v>35</v>
      </c>
      <c r="BU132" s="258">
        <f>'FBMS-HND LEVEL TWO'!K844</f>
        <v>70</v>
      </c>
      <c r="BV132" s="269" t="str">
        <f>'FBMS-HND LEVEL TWO'!L844</f>
        <v>B+</v>
      </c>
      <c r="BW132" s="270"/>
      <c r="BX132" s="258"/>
      <c r="BY132" s="258"/>
      <c r="BZ132" s="258"/>
      <c r="CA132" s="267"/>
      <c r="CB132" s="268"/>
      <c r="CC132" s="258"/>
      <c r="CD132" s="258"/>
      <c r="CE132" s="258"/>
      <c r="CF132" s="269"/>
      <c r="CG132" s="270"/>
      <c r="CH132" s="258"/>
      <c r="CI132" s="258"/>
      <c r="CJ132" s="258"/>
      <c r="CK132" s="258"/>
      <c r="CL132" s="268"/>
      <c r="CM132" s="258"/>
      <c r="CN132" s="258"/>
      <c r="CO132" s="258"/>
      <c r="CP132" s="269"/>
      <c r="CQ132" s="266"/>
      <c r="CR132" s="258"/>
      <c r="CS132" s="258"/>
      <c r="CT132" s="259"/>
      <c r="CU132" s="267"/>
      <c r="CV132" s="268"/>
      <c r="CW132" s="258"/>
      <c r="CX132" s="258"/>
      <c r="CY132" s="258"/>
      <c r="CZ132" s="269"/>
      <c r="DA132" s="268"/>
      <c r="DB132" s="258"/>
      <c r="DC132" s="258"/>
      <c r="DD132" s="258"/>
      <c r="DE132" s="269"/>
      <c r="DF132" s="268"/>
      <c r="DG132" s="258"/>
      <c r="DH132" s="258"/>
      <c r="DI132" s="258"/>
      <c r="DJ132" s="269"/>
      <c r="DK132" s="268"/>
      <c r="DL132" s="258"/>
      <c r="DM132" s="258"/>
      <c r="DN132" s="258"/>
      <c r="DO132" s="269"/>
      <c r="DP132" s="268"/>
      <c r="DQ132" s="258"/>
      <c r="DR132" s="258"/>
      <c r="DS132" s="258"/>
      <c r="DT132" s="269"/>
      <c r="DU132" s="268"/>
      <c r="DV132" s="258"/>
      <c r="DW132" s="258"/>
      <c r="DX132" s="258"/>
      <c r="DY132" s="269"/>
      <c r="DZ132" s="268"/>
      <c r="EA132" s="258"/>
      <c r="EB132" s="258"/>
      <c r="EC132" s="258"/>
      <c r="ED132" s="269"/>
    </row>
    <row r="133" spans="1:134" ht="13.5" customHeight="1" x14ac:dyDescent="0.3">
      <c r="A133" s="154">
        <v>7</v>
      </c>
      <c r="B133" s="12" t="s">
        <v>207</v>
      </c>
      <c r="C133" s="45" t="s">
        <v>110</v>
      </c>
      <c r="D133" s="45" t="s">
        <v>207</v>
      </c>
      <c r="E133" s="162">
        <f>'FBMS-HND LEVEL TWO'!E18</f>
        <v>0</v>
      </c>
      <c r="F133" s="157">
        <f>'FBMS-HND LEVEL TWO'!F18</f>
        <v>0</v>
      </c>
      <c r="G133" s="157">
        <f>'FBMS-HND LEVEL TWO'!J18</f>
        <v>0</v>
      </c>
      <c r="H133" s="158">
        <f>'FBMS-HND LEVEL TWO'!K18</f>
        <v>0</v>
      </c>
      <c r="I133" s="163">
        <f>'FBMS-HND LEVEL TWO'!L18</f>
        <v>0</v>
      </c>
      <c r="J133" s="164">
        <f>'FBMS-HND LEVEL TWO'!E87</f>
        <v>0</v>
      </c>
      <c r="K133" s="157">
        <f>'FBMS-HND LEVEL TWO'!F87</f>
        <v>0</v>
      </c>
      <c r="L133" s="157">
        <f>'FBMS-HND LEVEL TWO'!J87</f>
        <v>0</v>
      </c>
      <c r="M133" s="157">
        <f>'FBMS-HND LEVEL TWO'!K87</f>
        <v>0</v>
      </c>
      <c r="N133" s="165">
        <f>'FBMS-HND LEVEL TWO'!L87</f>
        <v>0</v>
      </c>
      <c r="O133" s="166">
        <f>'FBMS-HND LEVEL TWO'!E156</f>
        <v>0</v>
      </c>
      <c r="P133" s="157">
        <f>'FBMS-HND LEVEL TWO'!F156</f>
        <v>0</v>
      </c>
      <c r="Q133" s="157">
        <f>'FBMS-HND LEVEL TWO'!J156</f>
        <v>0</v>
      </c>
      <c r="R133" s="157">
        <f>'FBMS-HND LEVEL TWO'!K156</f>
        <v>0</v>
      </c>
      <c r="S133" s="163">
        <f>'FBMS-HND LEVEL TWO'!L156</f>
        <v>0</v>
      </c>
      <c r="T133" s="164">
        <f>'FBMS-HND LEVEL TWO'!E228</f>
        <v>0</v>
      </c>
      <c r="U133" s="157">
        <f>'FBMS-HND LEVEL TWO'!F228</f>
        <v>0</v>
      </c>
      <c r="V133" s="157">
        <f>'FBMS-HND LEVEL TWO'!J228</f>
        <v>0</v>
      </c>
      <c r="W133" s="157">
        <f>'FBMS-HND LEVEL TWO'!K228</f>
        <v>0</v>
      </c>
      <c r="X133" s="165">
        <f>'FBMS-HND LEVEL TWO'!L228</f>
        <v>0</v>
      </c>
      <c r="Y133" s="166">
        <f>'FBMS-HND LEVEL TWO'!E302</f>
        <v>0</v>
      </c>
      <c r="Z133" s="157">
        <f>'FBMS-HND LEVEL TWO'!F302</f>
        <v>0</v>
      </c>
      <c r="AA133" s="157">
        <f>'FBMS-HND LEVEL TWO'!J302</f>
        <v>0</v>
      </c>
      <c r="AB133" s="157">
        <f>'FBMS-HND LEVEL TWO'!K302</f>
        <v>0</v>
      </c>
      <c r="AC133" s="157">
        <f>'FBMS-HND LEVEL TWO'!L302</f>
        <v>0</v>
      </c>
      <c r="AD133" s="164">
        <f>'FBMS-HND LEVEL TWO'!E377</f>
        <v>0</v>
      </c>
      <c r="AE133" s="157">
        <f>'FBMS-HND LEVEL TWO'!F377</f>
        <v>0</v>
      </c>
      <c r="AF133" s="157">
        <f>'FBMS-HND LEVEL TWO'!J377</f>
        <v>0</v>
      </c>
      <c r="AG133" s="157">
        <f>'FBMS-HND LEVEL TWO'!K377</f>
        <v>0</v>
      </c>
      <c r="AH133" s="165">
        <f>'FBMS-HND LEVEL TWO'!L377</f>
        <v>0</v>
      </c>
      <c r="AI133" s="266">
        <f>'FBMS-HND LEVEL TWO'!E428</f>
        <v>0</v>
      </c>
      <c r="AJ133" s="258">
        <f>'FBMS-HND LEVEL TWO'!F428</f>
        <v>0</v>
      </c>
      <c r="AK133" s="258">
        <f>'FBMS-HND LEVEL TWO'!J428</f>
        <v>0</v>
      </c>
      <c r="AL133" s="259">
        <f>'FBMS-HND LEVEL TWO'!K428</f>
        <v>0</v>
      </c>
      <c r="AM133" s="267">
        <f>'FBMS-HND LEVEL TWO'!L428</f>
        <v>0</v>
      </c>
      <c r="AN133" s="268">
        <f>'FBMS-HND LEVEL TWO'!E503</f>
        <v>0</v>
      </c>
      <c r="AO133" s="258">
        <f>'FBMS-HND LEVEL TWO'!F503</f>
        <v>0</v>
      </c>
      <c r="AP133" s="258">
        <f>'FBMS-HND LEVEL TWO'!J503</f>
        <v>0</v>
      </c>
      <c r="AQ133" s="258">
        <f>'FBMS-HND LEVEL TWO'!K503</f>
        <v>0</v>
      </c>
      <c r="AR133" s="269">
        <f>'FBMS-HND LEVEL TWO'!L503</f>
        <v>0</v>
      </c>
      <c r="AS133" s="270">
        <f>'FBMS-HND LEVEL TWO'!E581</f>
        <v>0</v>
      </c>
      <c r="AT133" s="258">
        <f>'FBMS-HND LEVEL TWO'!F581</f>
        <v>0</v>
      </c>
      <c r="AU133" s="258">
        <f>'FBMS-HND LEVEL TWO'!J581</f>
        <v>0</v>
      </c>
      <c r="AV133" s="258">
        <f>'FBMS-HND LEVEL TWO'!K581</f>
        <v>0</v>
      </c>
      <c r="AW133" s="267">
        <f>'FBMS-HND LEVEL TWO'!L581</f>
        <v>0</v>
      </c>
      <c r="AX133" s="271">
        <f>'FBMS-HND LEVEL TWO'!E654</f>
        <v>0</v>
      </c>
      <c r="AY133" s="272">
        <f>'FBMS-HND LEVEL TWO'!F654</f>
        <v>0</v>
      </c>
      <c r="AZ133" s="258">
        <f>'FBMS-HND LEVEL TWO'!J654</f>
        <v>0</v>
      </c>
      <c r="BA133" s="258">
        <f>'FBMS-HND LEVEL TWO'!K654</f>
        <v>0</v>
      </c>
      <c r="BB133" s="269">
        <f>'FBMS-HND LEVEL TWO'!L654</f>
        <v>0</v>
      </c>
      <c r="BC133" s="270">
        <f>'FBMS-HND LEVEL TWO'!E706</f>
        <v>0</v>
      </c>
      <c r="BD133" s="258">
        <f>'FBMS-HND LEVEL TWO'!F706</f>
        <v>0</v>
      </c>
      <c r="BE133" s="258">
        <f>'FBMS-HND LEVEL TWO'!J706</f>
        <v>0</v>
      </c>
      <c r="BF133" s="258">
        <f>'FBMS-HND LEVEL TWO'!K706</f>
        <v>0</v>
      </c>
      <c r="BG133" s="258">
        <f>'FBMS-HND LEVEL TWO'!L706</f>
        <v>0</v>
      </c>
      <c r="BH133" s="271">
        <f>'FBMS-HND LEVEL TWO'!E760</f>
        <v>0</v>
      </c>
      <c r="BI133" s="272">
        <f>'FBMS-HND LEVEL TWO'!F760</f>
        <v>0</v>
      </c>
      <c r="BJ133" s="258">
        <f>'FBMS-HND LEVEL TWO'!J760</f>
        <v>0</v>
      </c>
      <c r="BK133" s="258">
        <f>'FBMS-HND LEVEL TWO'!K760</f>
        <v>0</v>
      </c>
      <c r="BL133" s="269">
        <f>'FBMS-HND LEVEL TWO'!L760</f>
        <v>0</v>
      </c>
      <c r="BM133" s="268">
        <f>'FBMS-HND LEVEL TWO'!E804</f>
        <v>0</v>
      </c>
      <c r="BN133" s="258">
        <f>'FBMS-HND LEVEL TWO'!F804</f>
        <v>0</v>
      </c>
      <c r="BO133" s="258">
        <f>'FBMS-HND LEVEL TWO'!J804</f>
        <v>0</v>
      </c>
      <c r="BP133" s="258">
        <f>'FBMS-HND LEVEL TWO'!K804</f>
        <v>0</v>
      </c>
      <c r="BQ133" s="269">
        <f>'FBMS-HND LEVEL TWO'!L804</f>
        <v>0</v>
      </c>
      <c r="BR133" s="268">
        <f>'FBMS-HND LEVEL TWO'!E845</f>
        <v>2</v>
      </c>
      <c r="BS133" s="258">
        <f>'FBMS-HND LEVEL TWO'!F845</f>
        <v>0</v>
      </c>
      <c r="BT133" s="258" t="str">
        <f>'FBMS-HND LEVEL TWO'!J845</f>
        <v>ABS</v>
      </c>
      <c r="BU133" s="258">
        <f>'FBMS-HND LEVEL TWO'!K845</f>
        <v>0</v>
      </c>
      <c r="BV133" s="269">
        <f>'FBMS-HND LEVEL TWO'!L845</f>
        <v>0</v>
      </c>
      <c r="BW133" s="270"/>
      <c r="BX133" s="258"/>
      <c r="BY133" s="258"/>
      <c r="BZ133" s="258"/>
      <c r="CA133" s="267"/>
      <c r="CB133" s="268"/>
      <c r="CC133" s="258"/>
      <c r="CD133" s="258"/>
      <c r="CE133" s="258"/>
      <c r="CF133" s="269"/>
      <c r="CG133" s="270"/>
      <c r="CH133" s="258"/>
      <c r="CI133" s="258"/>
      <c r="CJ133" s="258"/>
      <c r="CK133" s="258"/>
      <c r="CL133" s="268"/>
      <c r="CM133" s="258"/>
      <c r="CN133" s="258"/>
      <c r="CO133" s="258"/>
      <c r="CP133" s="269"/>
      <c r="CQ133" s="266"/>
      <c r="CR133" s="258"/>
      <c r="CS133" s="258"/>
      <c r="CT133" s="259"/>
      <c r="CU133" s="267"/>
      <c r="CV133" s="268"/>
      <c r="CW133" s="258"/>
      <c r="CX133" s="258"/>
      <c r="CY133" s="258"/>
      <c r="CZ133" s="269"/>
      <c r="DA133" s="268"/>
      <c r="DB133" s="258"/>
      <c r="DC133" s="258"/>
      <c r="DD133" s="258"/>
      <c r="DE133" s="269"/>
      <c r="DF133" s="268"/>
      <c r="DG133" s="258"/>
      <c r="DH133" s="258"/>
      <c r="DI133" s="258"/>
      <c r="DJ133" s="269"/>
      <c r="DK133" s="268"/>
      <c r="DL133" s="258"/>
      <c r="DM133" s="258"/>
      <c r="DN133" s="258"/>
      <c r="DO133" s="269"/>
      <c r="DP133" s="268"/>
      <c r="DQ133" s="258"/>
      <c r="DR133" s="258"/>
      <c r="DS133" s="258"/>
      <c r="DT133" s="269"/>
      <c r="DU133" s="268"/>
      <c r="DV133" s="258"/>
      <c r="DW133" s="258"/>
      <c r="DX133" s="258"/>
      <c r="DY133" s="269"/>
      <c r="DZ133" s="268"/>
      <c r="EA133" s="258"/>
      <c r="EB133" s="258"/>
      <c r="EC133" s="258"/>
      <c r="ED133" s="269"/>
    </row>
    <row r="134" spans="1:134" ht="16.5" customHeight="1" x14ac:dyDescent="0.3">
      <c r="A134" s="161">
        <v>8</v>
      </c>
      <c r="B134" s="12" t="s">
        <v>163</v>
      </c>
      <c r="C134" s="45" t="s">
        <v>113</v>
      </c>
      <c r="D134" s="45" t="s">
        <v>163</v>
      </c>
      <c r="E134" s="162">
        <f>'FBMS-HND LEVEL TWO'!E19</f>
        <v>8</v>
      </c>
      <c r="F134" s="157">
        <f>'FBMS-HND LEVEL TWO'!F19</f>
        <v>22</v>
      </c>
      <c r="G134" s="157">
        <f>'FBMS-HND LEVEL TWO'!J19</f>
        <v>24</v>
      </c>
      <c r="H134" s="158">
        <f>'FBMS-HND LEVEL TWO'!K19</f>
        <v>54</v>
      </c>
      <c r="I134" s="163" t="str">
        <f>'FBMS-HND LEVEL TWO'!L19</f>
        <v>C</v>
      </c>
      <c r="J134" s="164">
        <f>'FBMS-HND LEVEL TWO'!E88</f>
        <v>10</v>
      </c>
      <c r="K134" s="157">
        <f>'FBMS-HND LEVEL TWO'!F88</f>
        <v>23</v>
      </c>
      <c r="L134" s="157">
        <f>'FBMS-HND LEVEL TWO'!J88</f>
        <v>23</v>
      </c>
      <c r="M134" s="157">
        <f>'FBMS-HND LEVEL TWO'!K88</f>
        <v>56</v>
      </c>
      <c r="N134" s="165" t="str">
        <f>'FBMS-HND LEVEL TWO'!L88</f>
        <v>C+</v>
      </c>
      <c r="O134" s="166">
        <f>'FBMS-HND LEVEL TWO'!E157</f>
        <v>10</v>
      </c>
      <c r="P134" s="157">
        <f>'FBMS-HND LEVEL TWO'!F157</f>
        <v>21</v>
      </c>
      <c r="Q134" s="157">
        <f>'FBMS-HND LEVEL TWO'!J157</f>
        <v>45</v>
      </c>
      <c r="R134" s="157">
        <f>'FBMS-HND LEVEL TWO'!K157</f>
        <v>76</v>
      </c>
      <c r="S134" s="163" t="str">
        <f>'FBMS-HND LEVEL TWO'!L157</f>
        <v>B+</v>
      </c>
      <c r="T134" s="164">
        <f>'FBMS-HND LEVEL TWO'!E229</f>
        <v>10</v>
      </c>
      <c r="U134" s="157">
        <f>'FBMS-HND LEVEL TWO'!F229</f>
        <v>22</v>
      </c>
      <c r="V134" s="157">
        <f>'FBMS-HND LEVEL TWO'!J229</f>
        <v>54</v>
      </c>
      <c r="W134" s="157">
        <f>'FBMS-HND LEVEL TWO'!K229</f>
        <v>86</v>
      </c>
      <c r="X134" s="165" t="str">
        <f>'FBMS-HND LEVEL TWO'!L229</f>
        <v>A</v>
      </c>
      <c r="Y134" s="166">
        <f>'FBMS-HND LEVEL TWO'!E303</f>
        <v>8</v>
      </c>
      <c r="Z134" s="157">
        <f>'FBMS-HND LEVEL TWO'!F303</f>
        <v>21</v>
      </c>
      <c r="AA134" s="157">
        <f>'FBMS-HND LEVEL TWO'!J303</f>
        <v>24</v>
      </c>
      <c r="AB134" s="157">
        <f>'FBMS-HND LEVEL TWO'!K303</f>
        <v>53</v>
      </c>
      <c r="AC134" s="157" t="str">
        <f>'FBMS-HND LEVEL TWO'!L303</f>
        <v>C</v>
      </c>
      <c r="AD134" s="164">
        <f>'FBMS-HND LEVEL TWO'!E378</f>
        <v>9</v>
      </c>
      <c r="AE134" s="157">
        <f>'FBMS-HND LEVEL TWO'!F378</f>
        <v>20</v>
      </c>
      <c r="AF134" s="157">
        <f>'FBMS-HND LEVEL TWO'!J378</f>
        <v>27</v>
      </c>
      <c r="AG134" s="157">
        <f>'FBMS-HND LEVEL TWO'!K378</f>
        <v>56</v>
      </c>
      <c r="AH134" s="165" t="str">
        <f>'FBMS-HND LEVEL TWO'!L378</f>
        <v>C+</v>
      </c>
      <c r="AI134" s="266">
        <f>'FBMS-HND LEVEL TWO'!E429</f>
        <v>10</v>
      </c>
      <c r="AJ134" s="258">
        <f>'FBMS-HND LEVEL TWO'!F429</f>
        <v>25</v>
      </c>
      <c r="AK134" s="258">
        <f>'FBMS-HND LEVEL TWO'!J429</f>
        <v>34</v>
      </c>
      <c r="AL134" s="259">
        <f>'FBMS-HND LEVEL TWO'!K429</f>
        <v>69</v>
      </c>
      <c r="AM134" s="267" t="str">
        <f>'FBMS-HND LEVEL TWO'!L429</f>
        <v>B</v>
      </c>
      <c r="AN134" s="268">
        <f>'FBMS-HND LEVEL TWO'!E504</f>
        <v>10</v>
      </c>
      <c r="AO134" s="258">
        <f>'FBMS-HND LEVEL TWO'!F504</f>
        <v>25</v>
      </c>
      <c r="AP134" s="258">
        <f>'FBMS-HND LEVEL TWO'!J504</f>
        <v>43</v>
      </c>
      <c r="AQ134" s="258">
        <f>'FBMS-HND LEVEL TWO'!K504</f>
        <v>78</v>
      </c>
      <c r="AR134" s="269" t="str">
        <f>'FBMS-HND LEVEL TWO'!L504</f>
        <v>B+</v>
      </c>
      <c r="AS134" s="270">
        <f>'FBMS-HND LEVEL TWO'!E582</f>
        <v>10</v>
      </c>
      <c r="AT134" s="258">
        <f>'FBMS-HND LEVEL TWO'!F582</f>
        <v>21</v>
      </c>
      <c r="AU134" s="258">
        <f>'FBMS-HND LEVEL TWO'!J582</f>
        <v>48</v>
      </c>
      <c r="AV134" s="258">
        <f>'FBMS-HND LEVEL TWO'!K582</f>
        <v>79</v>
      </c>
      <c r="AW134" s="267" t="str">
        <f>'FBMS-HND LEVEL TWO'!L582</f>
        <v>B+</v>
      </c>
      <c r="AX134" s="271">
        <f>'FBMS-HND LEVEL TWO'!E655</f>
        <v>9</v>
      </c>
      <c r="AY134" s="272">
        <f>'FBMS-HND LEVEL TWO'!F655</f>
        <v>22</v>
      </c>
      <c r="AZ134" s="258">
        <f>'FBMS-HND LEVEL TWO'!J655</f>
        <v>38</v>
      </c>
      <c r="BA134" s="258">
        <f>'FBMS-HND LEVEL TWO'!K655</f>
        <v>69</v>
      </c>
      <c r="BB134" s="269" t="str">
        <f>'FBMS-HND LEVEL TWO'!L655</f>
        <v>B</v>
      </c>
      <c r="BC134" s="270">
        <f>'FBMS-HND LEVEL TWO'!E707</f>
        <v>9</v>
      </c>
      <c r="BD134" s="258">
        <f>'FBMS-HND LEVEL TWO'!F707</f>
        <v>16</v>
      </c>
      <c r="BE134" s="258">
        <f>'FBMS-HND LEVEL TWO'!J707</f>
        <v>36</v>
      </c>
      <c r="BF134" s="258">
        <f>'FBMS-HND LEVEL TWO'!K707</f>
        <v>61</v>
      </c>
      <c r="BG134" s="258" t="str">
        <f>'FBMS-HND LEVEL TWO'!L707</f>
        <v>B</v>
      </c>
      <c r="BH134" s="271">
        <f>'FBMS-HND LEVEL TWO'!E761</f>
        <v>9</v>
      </c>
      <c r="BI134" s="272">
        <f>'FBMS-HND LEVEL TWO'!F761</f>
        <v>25</v>
      </c>
      <c r="BJ134" s="258">
        <f>'FBMS-HND LEVEL TWO'!J761</f>
        <v>30</v>
      </c>
      <c r="BK134" s="258">
        <f>'FBMS-HND LEVEL TWO'!K761</f>
        <v>64</v>
      </c>
      <c r="BL134" s="269" t="str">
        <f>'FBMS-HND LEVEL TWO'!L761</f>
        <v>B</v>
      </c>
      <c r="BM134" s="268">
        <f>'FBMS-HND LEVEL TWO'!E805</f>
        <v>10</v>
      </c>
      <c r="BN134" s="258">
        <f>'FBMS-HND LEVEL TWO'!F805</f>
        <v>27</v>
      </c>
      <c r="BO134" s="258">
        <f>'FBMS-HND LEVEL TWO'!J805</f>
        <v>30</v>
      </c>
      <c r="BP134" s="258">
        <f>'FBMS-HND LEVEL TWO'!K805</f>
        <v>67</v>
      </c>
      <c r="BQ134" s="269" t="str">
        <f>'FBMS-HND LEVEL TWO'!L805</f>
        <v>B</v>
      </c>
      <c r="BR134" s="268">
        <f>'FBMS-HND LEVEL TWO'!E846</f>
        <v>10</v>
      </c>
      <c r="BS134" s="258">
        <f>'FBMS-HND LEVEL TWO'!F846</f>
        <v>23</v>
      </c>
      <c r="BT134" s="258">
        <f>'FBMS-HND LEVEL TWO'!J846</f>
        <v>35</v>
      </c>
      <c r="BU134" s="258">
        <f>'FBMS-HND LEVEL TWO'!K846</f>
        <v>68</v>
      </c>
      <c r="BV134" s="269" t="str">
        <f>'FBMS-HND LEVEL TWO'!L846</f>
        <v>B</v>
      </c>
      <c r="BW134" s="270"/>
      <c r="BX134" s="258"/>
      <c r="BY134" s="258"/>
      <c r="BZ134" s="258"/>
      <c r="CA134" s="267"/>
      <c r="CB134" s="268"/>
      <c r="CC134" s="258"/>
      <c r="CD134" s="258"/>
      <c r="CE134" s="258"/>
      <c r="CF134" s="269"/>
      <c r="CG134" s="270"/>
      <c r="CH134" s="258"/>
      <c r="CI134" s="258"/>
      <c r="CJ134" s="258"/>
      <c r="CK134" s="258"/>
      <c r="CL134" s="268"/>
      <c r="CM134" s="258"/>
      <c r="CN134" s="258"/>
      <c r="CO134" s="258"/>
      <c r="CP134" s="269"/>
      <c r="CQ134" s="266"/>
      <c r="CR134" s="258"/>
      <c r="CS134" s="258"/>
      <c r="CT134" s="259"/>
      <c r="CU134" s="267"/>
      <c r="CV134" s="268"/>
      <c r="CW134" s="258"/>
      <c r="CX134" s="258"/>
      <c r="CY134" s="258"/>
      <c r="CZ134" s="269"/>
      <c r="DA134" s="268"/>
      <c r="DB134" s="272"/>
      <c r="DC134" s="258"/>
      <c r="DD134" s="272"/>
      <c r="DE134" s="269"/>
      <c r="DF134" s="268"/>
      <c r="DG134" s="258"/>
      <c r="DH134" s="258"/>
      <c r="DI134" s="258"/>
      <c r="DJ134" s="269"/>
      <c r="DK134" s="268"/>
      <c r="DL134" s="258"/>
      <c r="DM134" s="258"/>
      <c r="DN134" s="258"/>
      <c r="DO134" s="269"/>
      <c r="DP134" s="268"/>
      <c r="DQ134" s="258"/>
      <c r="DR134" s="258"/>
      <c r="DS134" s="258"/>
      <c r="DT134" s="269"/>
      <c r="DU134" s="268"/>
      <c r="DV134" s="258"/>
      <c r="DW134" s="258"/>
      <c r="DX134" s="258"/>
      <c r="DY134" s="269"/>
      <c r="DZ134" s="268"/>
      <c r="EA134" s="258"/>
      <c r="EB134" s="258"/>
      <c r="EC134" s="258"/>
      <c r="ED134" s="269"/>
    </row>
    <row r="135" spans="1:134" ht="13.5" customHeight="1" x14ac:dyDescent="0.3">
      <c r="A135" s="154">
        <v>9</v>
      </c>
      <c r="B135" s="12" t="s">
        <v>480</v>
      </c>
      <c r="C135" s="45" t="s">
        <v>115</v>
      </c>
      <c r="D135" s="45" t="s">
        <v>480</v>
      </c>
      <c r="E135" s="162">
        <f>'FBMS-HND LEVEL TWO'!E20</f>
        <v>8</v>
      </c>
      <c r="F135" s="157">
        <f>'FBMS-HND LEVEL TWO'!F20</f>
        <v>21</v>
      </c>
      <c r="G135" s="157">
        <f>'FBMS-HND LEVEL TWO'!J20</f>
        <v>42</v>
      </c>
      <c r="H135" s="158">
        <f>'FBMS-HND LEVEL TWO'!K20</f>
        <v>71</v>
      </c>
      <c r="I135" s="163" t="str">
        <f>'FBMS-HND LEVEL TWO'!L20</f>
        <v>B+</v>
      </c>
      <c r="J135" s="164">
        <f>'FBMS-HND LEVEL TWO'!E89</f>
        <v>9</v>
      </c>
      <c r="K135" s="157">
        <f>'FBMS-HND LEVEL TWO'!F89</f>
        <v>21</v>
      </c>
      <c r="L135" s="157">
        <f>'FBMS-HND LEVEL TWO'!J89</f>
        <v>50</v>
      </c>
      <c r="M135" s="157">
        <f>'FBMS-HND LEVEL TWO'!K89</f>
        <v>80</v>
      </c>
      <c r="N135" s="165" t="str">
        <f>'FBMS-HND LEVEL TWO'!L89</f>
        <v>A</v>
      </c>
      <c r="O135" s="166">
        <f>'FBMS-HND LEVEL TWO'!E158</f>
        <v>10</v>
      </c>
      <c r="P135" s="157">
        <f>'FBMS-HND LEVEL TWO'!F158</f>
        <v>18</v>
      </c>
      <c r="Q135" s="157">
        <f>'FBMS-HND LEVEL TWO'!J158</f>
        <v>45</v>
      </c>
      <c r="R135" s="157">
        <f>'FBMS-HND LEVEL TWO'!K158</f>
        <v>73</v>
      </c>
      <c r="S135" s="163" t="str">
        <f>'FBMS-HND LEVEL TWO'!L158</f>
        <v>B+</v>
      </c>
      <c r="T135" s="164">
        <f>'FBMS-HND LEVEL TWO'!E230</f>
        <v>10</v>
      </c>
      <c r="U135" s="157">
        <f>'FBMS-HND LEVEL TWO'!F230</f>
        <v>22</v>
      </c>
      <c r="V135" s="157">
        <f>'FBMS-HND LEVEL TWO'!J230</f>
        <v>49</v>
      </c>
      <c r="W135" s="157">
        <f>'FBMS-HND LEVEL TWO'!K230</f>
        <v>81</v>
      </c>
      <c r="X135" s="165" t="str">
        <f>'FBMS-HND LEVEL TWO'!L230</f>
        <v>A</v>
      </c>
      <c r="Y135" s="166">
        <f>'FBMS-HND LEVEL TWO'!E304</f>
        <v>10</v>
      </c>
      <c r="Z135" s="157">
        <f>'FBMS-HND LEVEL TWO'!F304</f>
        <v>21</v>
      </c>
      <c r="AA135" s="157">
        <f>'FBMS-HND LEVEL TWO'!J304</f>
        <v>46</v>
      </c>
      <c r="AB135" s="157">
        <f>'FBMS-HND LEVEL TWO'!K304</f>
        <v>77</v>
      </c>
      <c r="AC135" s="157" t="str">
        <f>'FBMS-HND LEVEL TWO'!L304</f>
        <v>B+</v>
      </c>
      <c r="AD135" s="164">
        <f>'FBMS-HND LEVEL TWO'!E379</f>
        <v>10</v>
      </c>
      <c r="AE135" s="157">
        <f>'FBMS-HND LEVEL TWO'!F379</f>
        <v>25</v>
      </c>
      <c r="AF135" s="157">
        <f>'FBMS-HND LEVEL TWO'!J379</f>
        <v>53</v>
      </c>
      <c r="AG135" s="157">
        <f>'FBMS-HND LEVEL TWO'!K379</f>
        <v>88</v>
      </c>
      <c r="AH135" s="165" t="str">
        <f>'FBMS-HND LEVEL TWO'!L379</f>
        <v>A</v>
      </c>
      <c r="AI135" s="266">
        <f>'FBMS-HND LEVEL TWO'!E430</f>
        <v>10</v>
      </c>
      <c r="AJ135" s="258">
        <f>'FBMS-HND LEVEL TWO'!F430</f>
        <v>27.5</v>
      </c>
      <c r="AK135" s="258">
        <f>'FBMS-HND LEVEL TWO'!J430</f>
        <v>55</v>
      </c>
      <c r="AL135" s="259">
        <f>'FBMS-HND LEVEL TWO'!K430</f>
        <v>92.5</v>
      </c>
      <c r="AM135" s="267" t="str">
        <f>'FBMS-HND LEVEL TWO'!L430</f>
        <v>A</v>
      </c>
      <c r="AN135" s="268">
        <f>'FBMS-HND LEVEL TWO'!E505</f>
        <v>10</v>
      </c>
      <c r="AO135" s="258">
        <f>'FBMS-HND LEVEL TWO'!F505</f>
        <v>25</v>
      </c>
      <c r="AP135" s="258">
        <f>'FBMS-HND LEVEL TWO'!J505</f>
        <v>54</v>
      </c>
      <c r="AQ135" s="258">
        <f>'FBMS-HND LEVEL TWO'!K505</f>
        <v>89</v>
      </c>
      <c r="AR135" s="269" t="str">
        <f>'FBMS-HND LEVEL TWO'!L505</f>
        <v>A</v>
      </c>
      <c r="AS135" s="270">
        <f>'FBMS-HND LEVEL TWO'!E583</f>
        <v>9</v>
      </c>
      <c r="AT135" s="258">
        <f>'FBMS-HND LEVEL TWO'!F583</f>
        <v>24</v>
      </c>
      <c r="AU135" s="258">
        <f>'FBMS-HND LEVEL TWO'!J583</f>
        <v>49</v>
      </c>
      <c r="AV135" s="258">
        <f>'FBMS-HND LEVEL TWO'!K583</f>
        <v>82</v>
      </c>
      <c r="AW135" s="267" t="str">
        <f>'FBMS-HND LEVEL TWO'!L583</f>
        <v>A</v>
      </c>
      <c r="AX135" s="271">
        <f>'FBMS-HND LEVEL TWO'!E656</f>
        <v>10</v>
      </c>
      <c r="AY135" s="272">
        <f>'FBMS-HND LEVEL TWO'!F656</f>
        <v>25</v>
      </c>
      <c r="AZ135" s="258">
        <f>'FBMS-HND LEVEL TWO'!J656</f>
        <v>48</v>
      </c>
      <c r="BA135" s="258">
        <f>'FBMS-HND LEVEL TWO'!K656</f>
        <v>83</v>
      </c>
      <c r="BB135" s="269" t="str">
        <f>'FBMS-HND LEVEL TWO'!L656</f>
        <v>A</v>
      </c>
      <c r="BC135" s="270">
        <f>'FBMS-HND LEVEL TWO'!E708</f>
        <v>10</v>
      </c>
      <c r="BD135" s="258">
        <f>'FBMS-HND LEVEL TWO'!F708</f>
        <v>29</v>
      </c>
      <c r="BE135" s="258">
        <f>'FBMS-HND LEVEL TWO'!J708</f>
        <v>48</v>
      </c>
      <c r="BF135" s="258">
        <f>'FBMS-HND LEVEL TWO'!K708</f>
        <v>87</v>
      </c>
      <c r="BG135" s="258" t="str">
        <f>'FBMS-HND LEVEL TWO'!L708</f>
        <v>A</v>
      </c>
      <c r="BH135" s="271">
        <f>'FBMS-HND LEVEL TWO'!E762</f>
        <v>10</v>
      </c>
      <c r="BI135" s="272">
        <f>'FBMS-HND LEVEL TWO'!F762</f>
        <v>25</v>
      </c>
      <c r="BJ135" s="258">
        <f>'FBMS-HND LEVEL TWO'!J762</f>
        <v>53</v>
      </c>
      <c r="BK135" s="258">
        <f>'FBMS-HND LEVEL TWO'!K762</f>
        <v>88</v>
      </c>
      <c r="BL135" s="269" t="str">
        <f>'FBMS-HND LEVEL TWO'!L762</f>
        <v>A</v>
      </c>
      <c r="BM135" s="268">
        <f>'FBMS-HND LEVEL TWO'!E806</f>
        <v>10</v>
      </c>
      <c r="BN135" s="258">
        <f>'FBMS-HND LEVEL TWO'!F806</f>
        <v>27</v>
      </c>
      <c r="BO135" s="258">
        <f>'FBMS-HND LEVEL TWO'!J806</f>
        <v>50</v>
      </c>
      <c r="BP135" s="258">
        <f>'FBMS-HND LEVEL TWO'!K806</f>
        <v>87</v>
      </c>
      <c r="BQ135" s="269" t="str">
        <f>'FBMS-HND LEVEL TWO'!L806</f>
        <v>A</v>
      </c>
      <c r="BR135" s="268">
        <f>'FBMS-HND LEVEL TWO'!E847</f>
        <v>10</v>
      </c>
      <c r="BS135" s="258">
        <f>'FBMS-HND LEVEL TWO'!F847</f>
        <v>17</v>
      </c>
      <c r="BT135" s="258">
        <f>'FBMS-HND LEVEL TWO'!J847</f>
        <v>32</v>
      </c>
      <c r="BU135" s="258">
        <f>'FBMS-HND LEVEL TWO'!K847</f>
        <v>59</v>
      </c>
      <c r="BV135" s="269" t="str">
        <f>'FBMS-HND LEVEL TWO'!L847</f>
        <v>C+</v>
      </c>
      <c r="BW135" s="270"/>
      <c r="BX135" s="258"/>
      <c r="BY135" s="258"/>
      <c r="BZ135" s="258"/>
      <c r="CA135" s="267"/>
      <c r="CB135" s="268"/>
      <c r="CC135" s="258"/>
      <c r="CD135" s="258"/>
      <c r="CE135" s="258"/>
      <c r="CF135" s="269"/>
      <c r="CG135" s="270"/>
      <c r="CH135" s="258"/>
      <c r="CI135" s="258"/>
      <c r="CJ135" s="258"/>
      <c r="CK135" s="258"/>
      <c r="CL135" s="268"/>
      <c r="CM135" s="258"/>
      <c r="CN135" s="258"/>
      <c r="CO135" s="258"/>
      <c r="CP135" s="269"/>
      <c r="CQ135" s="266"/>
      <c r="CR135" s="258"/>
      <c r="CS135" s="258"/>
      <c r="CT135" s="259"/>
      <c r="CU135" s="267"/>
      <c r="CV135" s="268"/>
      <c r="CW135" s="258"/>
      <c r="CX135" s="258"/>
      <c r="CY135" s="258"/>
      <c r="CZ135" s="269"/>
      <c r="DA135" s="268"/>
      <c r="DB135" s="258"/>
      <c r="DC135" s="258"/>
      <c r="DD135" s="258"/>
      <c r="DE135" s="269"/>
      <c r="DF135" s="268"/>
      <c r="DG135" s="258"/>
      <c r="DH135" s="258"/>
      <c r="DI135" s="258"/>
      <c r="DJ135" s="269"/>
      <c r="DK135" s="268"/>
      <c r="DL135" s="258"/>
      <c r="DM135" s="258"/>
      <c r="DN135" s="258"/>
      <c r="DO135" s="269"/>
      <c r="DP135" s="268"/>
      <c r="DQ135" s="258"/>
      <c r="DR135" s="258"/>
      <c r="DS135" s="258"/>
      <c r="DT135" s="269"/>
      <c r="DU135" s="268"/>
      <c r="DV135" s="258"/>
      <c r="DW135" s="258"/>
      <c r="DX135" s="258"/>
      <c r="DY135" s="269"/>
      <c r="DZ135" s="268"/>
      <c r="EA135" s="258"/>
      <c r="EB135" s="258"/>
      <c r="EC135" s="258"/>
      <c r="ED135" s="269"/>
    </row>
    <row r="136" spans="1:134" ht="15" customHeight="1" x14ac:dyDescent="0.3">
      <c r="A136" s="161">
        <v>10</v>
      </c>
      <c r="B136" s="12" t="s">
        <v>200</v>
      </c>
      <c r="C136" s="45" t="s">
        <v>119</v>
      </c>
      <c r="D136" s="45" t="s">
        <v>200</v>
      </c>
      <c r="E136" s="162">
        <f>'FBMS-HND LEVEL TWO'!E21</f>
        <v>8</v>
      </c>
      <c r="F136" s="157">
        <f>'FBMS-HND LEVEL TWO'!F21</f>
        <v>12</v>
      </c>
      <c r="G136" s="157">
        <f>'FBMS-HND LEVEL TWO'!J21</f>
        <v>8</v>
      </c>
      <c r="H136" s="158">
        <f>'FBMS-HND LEVEL TWO'!K21</f>
        <v>28</v>
      </c>
      <c r="I136" s="163" t="str">
        <f>'FBMS-HND LEVEL TWO'!L21</f>
        <v>F</v>
      </c>
      <c r="J136" s="164">
        <f>'FBMS-HND LEVEL TWO'!E90</f>
        <v>8</v>
      </c>
      <c r="K136" s="157">
        <f>'FBMS-HND LEVEL TWO'!F90</f>
        <v>17</v>
      </c>
      <c r="L136" s="157">
        <f>'FBMS-HND LEVEL TWO'!J90</f>
        <v>26</v>
      </c>
      <c r="M136" s="157">
        <f>'FBMS-HND LEVEL TWO'!K90</f>
        <v>51</v>
      </c>
      <c r="N136" s="165" t="str">
        <f>'FBMS-HND LEVEL TWO'!L90</f>
        <v>C</v>
      </c>
      <c r="O136" s="166">
        <f>'FBMS-HND LEVEL TWO'!E159</f>
        <v>10</v>
      </c>
      <c r="P136" s="157">
        <f>'FBMS-HND LEVEL TWO'!F159</f>
        <v>15</v>
      </c>
      <c r="Q136" s="157">
        <f>'FBMS-HND LEVEL TWO'!J159</f>
        <v>40</v>
      </c>
      <c r="R136" s="157">
        <f>'FBMS-HND LEVEL TWO'!K159</f>
        <v>65</v>
      </c>
      <c r="S136" s="163" t="str">
        <f>'FBMS-HND LEVEL TWO'!L159</f>
        <v>B</v>
      </c>
      <c r="T136" s="164">
        <f>'FBMS-HND LEVEL TWO'!E231</f>
        <v>8</v>
      </c>
      <c r="U136" s="157">
        <f>'FBMS-HND LEVEL TWO'!F231</f>
        <v>20</v>
      </c>
      <c r="V136" s="157">
        <f>'FBMS-HND LEVEL TWO'!J231</f>
        <v>19</v>
      </c>
      <c r="W136" s="157">
        <f>'FBMS-HND LEVEL TWO'!K231</f>
        <v>47</v>
      </c>
      <c r="X136" s="165" t="str">
        <f>'FBMS-HND LEVEL TWO'!L231</f>
        <v>D+</v>
      </c>
      <c r="Y136" s="166">
        <f>'FBMS-HND LEVEL TWO'!E305</f>
        <v>9</v>
      </c>
      <c r="Z136" s="157">
        <f>'FBMS-HND LEVEL TWO'!F305</f>
        <v>11</v>
      </c>
      <c r="AA136" s="157">
        <f>'FBMS-HND LEVEL TWO'!J305</f>
        <v>19</v>
      </c>
      <c r="AB136" s="157">
        <f>'FBMS-HND LEVEL TWO'!K305</f>
        <v>39</v>
      </c>
      <c r="AC136" s="157" t="str">
        <f>'FBMS-HND LEVEL TWO'!L305</f>
        <v>F</v>
      </c>
      <c r="AD136" s="164">
        <f>'FBMS-HND LEVEL TWO'!E380</f>
        <v>8</v>
      </c>
      <c r="AE136" s="157">
        <f>'FBMS-HND LEVEL TWO'!F380</f>
        <v>15</v>
      </c>
      <c r="AF136" s="157">
        <f>'FBMS-HND LEVEL TWO'!J380</f>
        <v>3</v>
      </c>
      <c r="AG136" s="157">
        <f>'FBMS-HND LEVEL TWO'!K380</f>
        <v>26</v>
      </c>
      <c r="AH136" s="165" t="str">
        <f>'FBMS-HND LEVEL TWO'!L380</f>
        <v>F</v>
      </c>
      <c r="AI136" s="266">
        <f>'FBMS-HND LEVEL TWO'!E431</f>
        <v>8</v>
      </c>
      <c r="AJ136" s="258">
        <f>'FBMS-HND LEVEL TWO'!F431</f>
        <v>5</v>
      </c>
      <c r="AK136" s="258">
        <f>'FBMS-HND LEVEL TWO'!J431</f>
        <v>16</v>
      </c>
      <c r="AL136" s="259">
        <f>'FBMS-HND LEVEL TWO'!K431</f>
        <v>29</v>
      </c>
      <c r="AM136" s="267" t="str">
        <f>'FBMS-HND LEVEL TWO'!L431</f>
        <v>F</v>
      </c>
      <c r="AN136" s="268">
        <f>'FBMS-HND LEVEL TWO'!E506</f>
        <v>10</v>
      </c>
      <c r="AO136" s="258">
        <f>'FBMS-HND LEVEL TWO'!F506</f>
        <v>15</v>
      </c>
      <c r="AP136" s="258">
        <f>'FBMS-HND LEVEL TWO'!J506</f>
        <v>15</v>
      </c>
      <c r="AQ136" s="258">
        <f>'FBMS-HND LEVEL TWO'!K506</f>
        <v>40</v>
      </c>
      <c r="AR136" s="269" t="str">
        <f>'FBMS-HND LEVEL TWO'!L506</f>
        <v>D</v>
      </c>
      <c r="AS136" s="270">
        <f>'FBMS-HND LEVEL TWO'!E584</f>
        <v>8</v>
      </c>
      <c r="AT136" s="258">
        <f>'FBMS-HND LEVEL TWO'!F584</f>
        <v>6</v>
      </c>
      <c r="AU136" s="258">
        <f>'FBMS-HND LEVEL TWO'!J584</f>
        <v>20</v>
      </c>
      <c r="AV136" s="258">
        <f>'FBMS-HND LEVEL TWO'!K584</f>
        <v>34</v>
      </c>
      <c r="AW136" s="267" t="str">
        <f>'FBMS-HND LEVEL TWO'!L584</f>
        <v>F</v>
      </c>
      <c r="AX136" s="271">
        <f>'FBMS-HND LEVEL TWO'!E657</f>
        <v>8</v>
      </c>
      <c r="AY136" s="272">
        <f>'FBMS-HND LEVEL TWO'!F657</f>
        <v>16</v>
      </c>
      <c r="AZ136" s="258">
        <f>'FBMS-HND LEVEL TWO'!J657</f>
        <v>10</v>
      </c>
      <c r="BA136" s="258">
        <f>'FBMS-HND LEVEL TWO'!K657</f>
        <v>34</v>
      </c>
      <c r="BB136" s="269" t="str">
        <f>'FBMS-HND LEVEL TWO'!L657</f>
        <v>F</v>
      </c>
      <c r="BC136" s="270">
        <f>'FBMS-HND LEVEL TWO'!E709</f>
        <v>8</v>
      </c>
      <c r="BD136" s="258">
        <f>'FBMS-HND LEVEL TWO'!F709</f>
        <v>15</v>
      </c>
      <c r="BE136" s="258">
        <f>'FBMS-HND LEVEL TWO'!J709</f>
        <v>27</v>
      </c>
      <c r="BF136" s="258">
        <f>'FBMS-HND LEVEL TWO'!K709</f>
        <v>50</v>
      </c>
      <c r="BG136" s="258" t="str">
        <f>'FBMS-HND LEVEL TWO'!L709</f>
        <v>C</v>
      </c>
      <c r="BH136" s="271">
        <f>'FBMS-HND LEVEL TWO'!E763</f>
        <v>10</v>
      </c>
      <c r="BI136" s="272">
        <f>'FBMS-HND LEVEL TWO'!F763</f>
        <v>25</v>
      </c>
      <c r="BJ136" s="258">
        <f>'FBMS-HND LEVEL TWO'!J763</f>
        <v>8</v>
      </c>
      <c r="BK136" s="258">
        <f>'FBMS-HND LEVEL TWO'!K763</f>
        <v>43</v>
      </c>
      <c r="BL136" s="269" t="str">
        <f>'FBMS-HND LEVEL TWO'!L763</f>
        <v>D</v>
      </c>
      <c r="BM136" s="268">
        <f>'FBMS-HND LEVEL TWO'!E807</f>
        <v>9</v>
      </c>
      <c r="BN136" s="258">
        <f>'FBMS-HND LEVEL TWO'!F807</f>
        <v>10</v>
      </c>
      <c r="BO136" s="258">
        <f>'FBMS-HND LEVEL TWO'!J807</f>
        <v>35</v>
      </c>
      <c r="BP136" s="258">
        <f>'FBMS-HND LEVEL TWO'!K807</f>
        <v>54</v>
      </c>
      <c r="BQ136" s="269" t="str">
        <f>'FBMS-HND LEVEL TWO'!L807</f>
        <v>C</v>
      </c>
      <c r="BR136" s="268">
        <f>'FBMS-HND LEVEL TWO'!E848</f>
        <v>10</v>
      </c>
      <c r="BS136" s="258">
        <f>'FBMS-HND LEVEL TWO'!F848</f>
        <v>0</v>
      </c>
      <c r="BT136" s="258">
        <f>'FBMS-HND LEVEL TWO'!J848</f>
        <v>12</v>
      </c>
      <c r="BU136" s="258">
        <f>'FBMS-HND LEVEL TWO'!K848</f>
        <v>22</v>
      </c>
      <c r="BV136" s="269" t="str">
        <f>'FBMS-HND LEVEL TWO'!L848</f>
        <v>F</v>
      </c>
      <c r="BW136" s="270"/>
      <c r="BX136" s="258"/>
      <c r="BY136" s="258"/>
      <c r="BZ136" s="258"/>
      <c r="CA136" s="267"/>
      <c r="CB136" s="268"/>
      <c r="CC136" s="258"/>
      <c r="CD136" s="258"/>
      <c r="CE136" s="258"/>
      <c r="CF136" s="269"/>
      <c r="CG136" s="270"/>
      <c r="CH136" s="272"/>
      <c r="CI136" s="258"/>
      <c r="CJ136" s="258"/>
      <c r="CK136" s="258"/>
      <c r="CL136" s="268"/>
      <c r="CM136" s="258"/>
      <c r="CN136" s="258"/>
      <c r="CO136" s="258"/>
      <c r="CP136" s="269"/>
      <c r="CQ136" s="266"/>
      <c r="CR136" s="258"/>
      <c r="CS136" s="258"/>
      <c r="CT136" s="259"/>
      <c r="CU136" s="267"/>
      <c r="CV136" s="268"/>
      <c r="CW136" s="258"/>
      <c r="CX136" s="258"/>
      <c r="CY136" s="258"/>
      <c r="CZ136" s="269"/>
      <c r="DA136" s="268"/>
      <c r="DB136" s="258"/>
      <c r="DC136" s="258"/>
      <c r="DD136" s="258"/>
      <c r="DE136" s="269"/>
      <c r="DF136" s="268"/>
      <c r="DG136" s="258"/>
      <c r="DH136" s="258"/>
      <c r="DI136" s="258"/>
      <c r="DJ136" s="269"/>
      <c r="DK136" s="268"/>
      <c r="DL136" s="258"/>
      <c r="DM136" s="258"/>
      <c r="DN136" s="258"/>
      <c r="DO136" s="269"/>
      <c r="DP136" s="268"/>
      <c r="DQ136" s="258"/>
      <c r="DR136" s="258"/>
      <c r="DS136" s="258"/>
      <c r="DT136" s="269"/>
      <c r="DU136" s="268"/>
      <c r="DV136" s="258"/>
      <c r="DW136" s="258"/>
      <c r="DX136" s="258"/>
      <c r="DY136" s="269"/>
      <c r="DZ136" s="268"/>
      <c r="EA136" s="258"/>
      <c r="EB136" s="258"/>
      <c r="EC136" s="258"/>
      <c r="ED136" s="269"/>
    </row>
    <row r="137" spans="1:134" ht="14.25" customHeight="1" x14ac:dyDescent="0.3">
      <c r="A137" s="154">
        <v>11</v>
      </c>
      <c r="B137" s="12" t="s">
        <v>205</v>
      </c>
      <c r="C137" s="45" t="s">
        <v>120</v>
      </c>
      <c r="D137" s="45" t="s">
        <v>205</v>
      </c>
      <c r="E137" s="162">
        <f>'FBMS-HND LEVEL TWO'!E22</f>
        <v>0</v>
      </c>
      <c r="F137" s="157">
        <f>'FBMS-HND LEVEL TWO'!F22</f>
        <v>0</v>
      </c>
      <c r="G137" s="157">
        <f>'FBMS-HND LEVEL TWO'!J22</f>
        <v>0</v>
      </c>
      <c r="H137" s="158">
        <f>'FBMS-HND LEVEL TWO'!K22</f>
        <v>0</v>
      </c>
      <c r="I137" s="163">
        <f>'FBMS-HND LEVEL TWO'!L22</f>
        <v>0</v>
      </c>
      <c r="J137" s="164">
        <f>'FBMS-HND LEVEL TWO'!E91</f>
        <v>0</v>
      </c>
      <c r="K137" s="157">
        <f>'FBMS-HND LEVEL TWO'!F91</f>
        <v>0</v>
      </c>
      <c r="L137" s="157">
        <f>'FBMS-HND LEVEL TWO'!J91</f>
        <v>0</v>
      </c>
      <c r="M137" s="157">
        <f>'FBMS-HND LEVEL TWO'!K91</f>
        <v>0</v>
      </c>
      <c r="N137" s="165">
        <f>'FBMS-HND LEVEL TWO'!L91</f>
        <v>0</v>
      </c>
      <c r="O137" s="166">
        <f>'FBMS-HND LEVEL TWO'!E160</f>
        <v>0</v>
      </c>
      <c r="P137" s="157">
        <f>'FBMS-HND LEVEL TWO'!F160</f>
        <v>0</v>
      </c>
      <c r="Q137" s="157">
        <f>'FBMS-HND LEVEL TWO'!J160</f>
        <v>0</v>
      </c>
      <c r="R137" s="157">
        <f>'FBMS-HND LEVEL TWO'!K160</f>
        <v>0</v>
      </c>
      <c r="S137" s="163">
        <f>'FBMS-HND LEVEL TWO'!L160</f>
        <v>0</v>
      </c>
      <c r="T137" s="164">
        <f>'FBMS-HND LEVEL TWO'!E232</f>
        <v>0</v>
      </c>
      <c r="U137" s="157">
        <f>'FBMS-HND LEVEL TWO'!F232</f>
        <v>0</v>
      </c>
      <c r="V137" s="157">
        <f>'FBMS-HND LEVEL TWO'!J232</f>
        <v>0</v>
      </c>
      <c r="W137" s="157">
        <f>'FBMS-HND LEVEL TWO'!K232</f>
        <v>0</v>
      </c>
      <c r="X137" s="165">
        <f>'FBMS-HND LEVEL TWO'!L232</f>
        <v>0</v>
      </c>
      <c r="Y137" s="166">
        <f>'FBMS-HND LEVEL TWO'!E306</f>
        <v>0</v>
      </c>
      <c r="Z137" s="157">
        <f>'FBMS-HND LEVEL TWO'!F306</f>
        <v>0</v>
      </c>
      <c r="AA137" s="157">
        <f>'FBMS-HND LEVEL TWO'!J306</f>
        <v>0</v>
      </c>
      <c r="AB137" s="157">
        <f>'FBMS-HND LEVEL TWO'!K306</f>
        <v>0</v>
      </c>
      <c r="AC137" s="157">
        <f>'FBMS-HND LEVEL TWO'!L306</f>
        <v>0</v>
      </c>
      <c r="AD137" s="164">
        <f>'FBMS-HND LEVEL TWO'!E381</f>
        <v>0</v>
      </c>
      <c r="AE137" s="157">
        <f>'FBMS-HND LEVEL TWO'!F381</f>
        <v>0</v>
      </c>
      <c r="AF137" s="157">
        <f>'FBMS-HND LEVEL TWO'!J381</f>
        <v>0</v>
      </c>
      <c r="AG137" s="157">
        <f>'FBMS-HND LEVEL TWO'!K381</f>
        <v>0</v>
      </c>
      <c r="AH137" s="165">
        <f>'FBMS-HND LEVEL TWO'!L381</f>
        <v>0</v>
      </c>
      <c r="AI137" s="266">
        <f>'FBMS-HND LEVEL TWO'!E432</f>
        <v>0</v>
      </c>
      <c r="AJ137" s="258">
        <f>'FBMS-HND LEVEL TWO'!F432</f>
        <v>0</v>
      </c>
      <c r="AK137" s="258">
        <f>'FBMS-HND LEVEL TWO'!J432</f>
        <v>0</v>
      </c>
      <c r="AL137" s="259">
        <f>'FBMS-HND LEVEL TWO'!K432</f>
        <v>0</v>
      </c>
      <c r="AM137" s="267">
        <f>'FBMS-HND LEVEL TWO'!L432</f>
        <v>0</v>
      </c>
      <c r="AN137" s="268">
        <f>'FBMS-HND LEVEL TWO'!E507</f>
        <v>0</v>
      </c>
      <c r="AO137" s="258">
        <f>'FBMS-HND LEVEL TWO'!F507</f>
        <v>0</v>
      </c>
      <c r="AP137" s="258">
        <f>'FBMS-HND LEVEL TWO'!J507</f>
        <v>0</v>
      </c>
      <c r="AQ137" s="258">
        <f>'FBMS-HND LEVEL TWO'!K507</f>
        <v>0</v>
      </c>
      <c r="AR137" s="269">
        <f>'FBMS-HND LEVEL TWO'!L507</f>
        <v>0</v>
      </c>
      <c r="AS137" s="270">
        <f>'FBMS-HND LEVEL TWO'!E585</f>
        <v>0</v>
      </c>
      <c r="AT137" s="258">
        <f>'FBMS-HND LEVEL TWO'!F585</f>
        <v>0</v>
      </c>
      <c r="AU137" s="258">
        <f>'FBMS-HND LEVEL TWO'!J585</f>
        <v>0</v>
      </c>
      <c r="AV137" s="258">
        <f>'FBMS-HND LEVEL TWO'!K585</f>
        <v>0</v>
      </c>
      <c r="AW137" s="267">
        <f>'FBMS-HND LEVEL TWO'!L585</f>
        <v>0</v>
      </c>
      <c r="AX137" s="271">
        <f>'FBMS-HND LEVEL TWO'!E658</f>
        <v>0</v>
      </c>
      <c r="AY137" s="272">
        <f>'FBMS-HND LEVEL TWO'!F658</f>
        <v>0</v>
      </c>
      <c r="AZ137" s="258">
        <f>'FBMS-HND LEVEL TWO'!J658</f>
        <v>0</v>
      </c>
      <c r="BA137" s="258">
        <f>'FBMS-HND LEVEL TWO'!K658</f>
        <v>0</v>
      </c>
      <c r="BB137" s="269">
        <f>'FBMS-HND LEVEL TWO'!L658</f>
        <v>0</v>
      </c>
      <c r="BC137" s="270">
        <f>'FBMS-HND LEVEL TWO'!E710</f>
        <v>0</v>
      </c>
      <c r="BD137" s="258">
        <f>'FBMS-HND LEVEL TWO'!F710</f>
        <v>0</v>
      </c>
      <c r="BE137" s="258">
        <f>'FBMS-HND LEVEL TWO'!J710</f>
        <v>0</v>
      </c>
      <c r="BF137" s="258">
        <f>'FBMS-HND LEVEL TWO'!K710</f>
        <v>0</v>
      </c>
      <c r="BG137" s="258">
        <f>'FBMS-HND LEVEL TWO'!L710</f>
        <v>0</v>
      </c>
      <c r="BH137" s="271">
        <f>'FBMS-HND LEVEL TWO'!E764</f>
        <v>1</v>
      </c>
      <c r="BI137" s="272">
        <f>'FBMS-HND LEVEL TWO'!F764</f>
        <v>20</v>
      </c>
      <c r="BJ137" s="258" t="str">
        <f>'FBMS-HND LEVEL TWO'!J764</f>
        <v>ABS</v>
      </c>
      <c r="BK137" s="258">
        <f>'FBMS-HND LEVEL TWO'!K764</f>
        <v>0</v>
      </c>
      <c r="BL137" s="269">
        <f>'FBMS-HND LEVEL TWO'!L764</f>
        <v>0</v>
      </c>
      <c r="BM137" s="268">
        <f>'FBMS-HND LEVEL TWO'!E808</f>
        <v>0</v>
      </c>
      <c r="BN137" s="258">
        <f>'FBMS-HND LEVEL TWO'!F808</f>
        <v>0</v>
      </c>
      <c r="BO137" s="258">
        <f>'FBMS-HND LEVEL TWO'!J808</f>
        <v>0</v>
      </c>
      <c r="BP137" s="258">
        <f>'FBMS-HND LEVEL TWO'!K808</f>
        <v>0</v>
      </c>
      <c r="BQ137" s="269">
        <f>'FBMS-HND LEVEL TWO'!L808</f>
        <v>0</v>
      </c>
      <c r="BR137" s="268">
        <f>'FBMS-HND LEVEL TWO'!E849</f>
        <v>0</v>
      </c>
      <c r="BS137" s="258">
        <f>'FBMS-HND LEVEL TWO'!F849</f>
        <v>0</v>
      </c>
      <c r="BT137" s="258">
        <f>'FBMS-HND LEVEL TWO'!J849</f>
        <v>0</v>
      </c>
      <c r="BU137" s="258">
        <f>'FBMS-HND LEVEL TWO'!K849</f>
        <v>0</v>
      </c>
      <c r="BV137" s="269">
        <f>'FBMS-HND LEVEL TWO'!L849</f>
        <v>0</v>
      </c>
      <c r="BW137" s="270"/>
      <c r="BX137" s="258"/>
      <c r="BY137" s="258"/>
      <c r="BZ137" s="258"/>
      <c r="CA137" s="267"/>
      <c r="CB137" s="268"/>
      <c r="CC137" s="258"/>
      <c r="CD137" s="258"/>
      <c r="CE137" s="258"/>
      <c r="CF137" s="269"/>
      <c r="CG137" s="270"/>
      <c r="CH137" s="258"/>
      <c r="CI137" s="258"/>
      <c r="CJ137" s="258"/>
      <c r="CK137" s="258"/>
      <c r="CL137" s="268"/>
      <c r="CM137" s="258"/>
      <c r="CN137" s="258"/>
      <c r="CO137" s="258"/>
      <c r="CP137" s="269"/>
      <c r="CQ137" s="266"/>
      <c r="CR137" s="258"/>
      <c r="CS137" s="258"/>
      <c r="CT137" s="259"/>
      <c r="CU137" s="267"/>
      <c r="CV137" s="268"/>
      <c r="CW137" s="258"/>
      <c r="CX137" s="258"/>
      <c r="CY137" s="258"/>
      <c r="CZ137" s="269"/>
      <c r="DA137" s="268"/>
      <c r="DB137" s="258"/>
      <c r="DC137" s="258"/>
      <c r="DD137" s="258"/>
      <c r="DE137" s="269"/>
      <c r="DF137" s="268"/>
      <c r="DG137" s="258"/>
      <c r="DH137" s="258"/>
      <c r="DI137" s="258"/>
      <c r="DJ137" s="269"/>
      <c r="DK137" s="268"/>
      <c r="DL137" s="258"/>
      <c r="DM137" s="258"/>
      <c r="DN137" s="258"/>
      <c r="DO137" s="269"/>
      <c r="DP137" s="268"/>
      <c r="DQ137" s="258"/>
      <c r="DR137" s="258"/>
      <c r="DS137" s="258"/>
      <c r="DT137" s="269"/>
      <c r="DU137" s="268"/>
      <c r="DV137" s="258"/>
      <c r="DW137" s="258"/>
      <c r="DX137" s="258"/>
      <c r="DY137" s="269"/>
      <c r="DZ137" s="268"/>
      <c r="EA137" s="258"/>
      <c r="EB137" s="258"/>
      <c r="EC137" s="258"/>
      <c r="ED137" s="269"/>
    </row>
    <row r="138" spans="1:134" ht="15.75" customHeight="1" x14ac:dyDescent="0.3">
      <c r="A138" s="161">
        <v>12</v>
      </c>
      <c r="B138" s="12" t="s">
        <v>168</v>
      </c>
      <c r="C138" s="45" t="s">
        <v>121</v>
      </c>
      <c r="D138" s="45" t="s">
        <v>168</v>
      </c>
      <c r="E138" s="162">
        <f>'FBMS-HND LEVEL TWO'!E23</f>
        <v>8</v>
      </c>
      <c r="F138" s="157">
        <f>'FBMS-HND LEVEL TWO'!F23</f>
        <v>19</v>
      </c>
      <c r="G138" s="157">
        <f>'FBMS-HND LEVEL TWO'!J23</f>
        <v>31</v>
      </c>
      <c r="H138" s="158">
        <f>'FBMS-HND LEVEL TWO'!K23</f>
        <v>58</v>
      </c>
      <c r="I138" s="163" t="str">
        <f>'FBMS-HND LEVEL TWO'!L23</f>
        <v>C+</v>
      </c>
      <c r="J138" s="164">
        <f>'FBMS-HND LEVEL TWO'!E92</f>
        <v>8</v>
      </c>
      <c r="K138" s="157">
        <f>'FBMS-HND LEVEL TWO'!F92</f>
        <v>21</v>
      </c>
      <c r="L138" s="157">
        <f>'FBMS-HND LEVEL TWO'!J92</f>
        <v>35</v>
      </c>
      <c r="M138" s="157">
        <f>'FBMS-HND LEVEL TWO'!K92</f>
        <v>64</v>
      </c>
      <c r="N138" s="165" t="str">
        <f>'FBMS-HND LEVEL TWO'!L92</f>
        <v>B</v>
      </c>
      <c r="O138" s="166">
        <f>'FBMS-HND LEVEL TWO'!E161</f>
        <v>8</v>
      </c>
      <c r="P138" s="157">
        <f>'FBMS-HND LEVEL TWO'!F161</f>
        <v>21</v>
      </c>
      <c r="Q138" s="157">
        <f>'FBMS-HND LEVEL TWO'!J161</f>
        <v>30</v>
      </c>
      <c r="R138" s="157">
        <f>'FBMS-HND LEVEL TWO'!K161</f>
        <v>59</v>
      </c>
      <c r="S138" s="163" t="str">
        <f>'FBMS-HND LEVEL TWO'!L161</f>
        <v>C+</v>
      </c>
      <c r="T138" s="164">
        <f>'FBMS-HND LEVEL TWO'!E233</f>
        <v>8</v>
      </c>
      <c r="U138" s="157">
        <f>'FBMS-HND LEVEL TWO'!F233</f>
        <v>20</v>
      </c>
      <c r="V138" s="157">
        <f>'FBMS-HND LEVEL TWO'!J233</f>
        <v>38</v>
      </c>
      <c r="W138" s="157">
        <f>'FBMS-HND LEVEL TWO'!K233</f>
        <v>66</v>
      </c>
      <c r="X138" s="165" t="str">
        <f>'FBMS-HND LEVEL TWO'!L233</f>
        <v>B</v>
      </c>
      <c r="Y138" s="166">
        <f>'FBMS-HND LEVEL TWO'!E307</f>
        <v>8</v>
      </c>
      <c r="Z138" s="157">
        <f>'FBMS-HND LEVEL TWO'!F307</f>
        <v>19</v>
      </c>
      <c r="AA138" s="157">
        <f>'FBMS-HND LEVEL TWO'!J307</f>
        <v>25</v>
      </c>
      <c r="AB138" s="157">
        <f>'FBMS-HND LEVEL TWO'!K307</f>
        <v>52</v>
      </c>
      <c r="AC138" s="157" t="str">
        <f>'FBMS-HND LEVEL TWO'!L307</f>
        <v>C</v>
      </c>
      <c r="AD138" s="164">
        <f>'FBMS-HND LEVEL TWO'!E382</f>
        <v>8</v>
      </c>
      <c r="AE138" s="157">
        <f>'FBMS-HND LEVEL TWO'!F382</f>
        <v>20</v>
      </c>
      <c r="AF138" s="157">
        <f>'FBMS-HND LEVEL TWO'!J382</f>
        <v>28</v>
      </c>
      <c r="AG138" s="157">
        <f>'FBMS-HND LEVEL TWO'!K382</f>
        <v>56</v>
      </c>
      <c r="AH138" s="165" t="str">
        <f>'FBMS-HND LEVEL TWO'!L382</f>
        <v>C+</v>
      </c>
      <c r="AI138" s="266">
        <f>'FBMS-HND LEVEL TWO'!E433</f>
        <v>9</v>
      </c>
      <c r="AJ138" s="258">
        <f>'FBMS-HND LEVEL TWO'!F433</f>
        <v>19</v>
      </c>
      <c r="AK138" s="258">
        <f>'FBMS-HND LEVEL TWO'!J433</f>
        <v>43</v>
      </c>
      <c r="AL138" s="259">
        <f>'FBMS-HND LEVEL TWO'!K433</f>
        <v>71</v>
      </c>
      <c r="AM138" s="267" t="str">
        <f>'FBMS-HND LEVEL TWO'!L433</f>
        <v>B+</v>
      </c>
      <c r="AN138" s="268">
        <f>'FBMS-HND LEVEL TWO'!E508</f>
        <v>9</v>
      </c>
      <c r="AO138" s="258">
        <f>'FBMS-HND LEVEL TWO'!F508</f>
        <v>20</v>
      </c>
      <c r="AP138" s="258">
        <f>'FBMS-HND LEVEL TWO'!J508</f>
        <v>24</v>
      </c>
      <c r="AQ138" s="258">
        <f>'FBMS-HND LEVEL TWO'!K508</f>
        <v>53</v>
      </c>
      <c r="AR138" s="269" t="str">
        <f>'FBMS-HND LEVEL TWO'!L508</f>
        <v>C</v>
      </c>
      <c r="AS138" s="270">
        <f>'FBMS-HND LEVEL TWO'!E586</f>
        <v>8</v>
      </c>
      <c r="AT138" s="258">
        <f>'FBMS-HND LEVEL TWO'!F586</f>
        <v>15.75</v>
      </c>
      <c r="AU138" s="258">
        <f>'FBMS-HND LEVEL TWO'!J586</f>
        <v>53</v>
      </c>
      <c r="AV138" s="258">
        <f>'FBMS-HND LEVEL TWO'!K586</f>
        <v>76.75</v>
      </c>
      <c r="AW138" s="267" t="str">
        <f>'FBMS-HND LEVEL TWO'!L586</f>
        <v>B+</v>
      </c>
      <c r="AX138" s="271">
        <f>'FBMS-HND LEVEL TWO'!E659</f>
        <v>8</v>
      </c>
      <c r="AY138" s="272">
        <f>'FBMS-HND LEVEL TWO'!F659</f>
        <v>15</v>
      </c>
      <c r="AZ138" s="258">
        <f>'FBMS-HND LEVEL TWO'!J659</f>
        <v>16</v>
      </c>
      <c r="BA138" s="258">
        <f>'FBMS-HND LEVEL TWO'!K659</f>
        <v>39</v>
      </c>
      <c r="BB138" s="269" t="str">
        <f>'FBMS-HND LEVEL TWO'!L659</f>
        <v>F</v>
      </c>
      <c r="BC138" s="270">
        <f>'FBMS-HND LEVEL TWO'!E711</f>
        <v>8</v>
      </c>
      <c r="BD138" s="258">
        <f>'FBMS-HND LEVEL TWO'!F711</f>
        <v>15</v>
      </c>
      <c r="BE138" s="258">
        <f>'FBMS-HND LEVEL TWO'!J711</f>
        <v>28</v>
      </c>
      <c r="BF138" s="258">
        <f>'FBMS-HND LEVEL TWO'!K711</f>
        <v>51</v>
      </c>
      <c r="BG138" s="258" t="str">
        <f>'FBMS-HND LEVEL TWO'!L711</f>
        <v>C</v>
      </c>
      <c r="BH138" s="271">
        <f>'FBMS-HND LEVEL TWO'!E765</f>
        <v>8</v>
      </c>
      <c r="BI138" s="272">
        <f>'FBMS-HND LEVEL TWO'!F765</f>
        <v>20</v>
      </c>
      <c r="BJ138" s="258">
        <f>'FBMS-HND LEVEL TWO'!J765</f>
        <v>11</v>
      </c>
      <c r="BK138" s="258">
        <f>'FBMS-HND LEVEL TWO'!K765</f>
        <v>39</v>
      </c>
      <c r="BL138" s="269" t="str">
        <f>'FBMS-HND LEVEL TWO'!L765</f>
        <v>F</v>
      </c>
      <c r="BM138" s="268">
        <f>'FBMS-HND LEVEL TWO'!E809</f>
        <v>8</v>
      </c>
      <c r="BN138" s="258">
        <f>'FBMS-HND LEVEL TWO'!F809</f>
        <v>16</v>
      </c>
      <c r="BO138" s="258">
        <f>'FBMS-HND LEVEL TWO'!J809</f>
        <v>45</v>
      </c>
      <c r="BP138" s="258">
        <f>'FBMS-HND LEVEL TWO'!K809</f>
        <v>69</v>
      </c>
      <c r="BQ138" s="269" t="str">
        <f>'FBMS-HND LEVEL TWO'!L809</f>
        <v>B</v>
      </c>
      <c r="BR138" s="268">
        <f>'FBMS-HND LEVEL TWO'!E850</f>
        <v>10</v>
      </c>
      <c r="BS138" s="258">
        <f>'FBMS-HND LEVEL TWO'!F850</f>
        <v>24</v>
      </c>
      <c r="BT138" s="258">
        <f>'FBMS-HND LEVEL TWO'!J850</f>
        <v>25</v>
      </c>
      <c r="BU138" s="258">
        <f>'FBMS-HND LEVEL TWO'!K850</f>
        <v>59</v>
      </c>
      <c r="BV138" s="269" t="str">
        <f>'FBMS-HND LEVEL TWO'!L850</f>
        <v>C+</v>
      </c>
      <c r="BW138" s="270"/>
      <c r="BX138" s="258"/>
      <c r="BY138" s="258"/>
      <c r="BZ138" s="258"/>
      <c r="CA138" s="267"/>
      <c r="CB138" s="268"/>
      <c r="CC138" s="258"/>
      <c r="CD138" s="272"/>
      <c r="CE138" s="258"/>
      <c r="CF138" s="269"/>
      <c r="CG138" s="270"/>
      <c r="CH138" s="258"/>
      <c r="CI138" s="258"/>
      <c r="CJ138" s="258"/>
      <c r="CK138" s="258"/>
      <c r="CL138" s="268"/>
      <c r="CM138" s="258"/>
      <c r="CN138" s="258"/>
      <c r="CO138" s="258"/>
      <c r="CP138" s="269"/>
      <c r="CQ138" s="266"/>
      <c r="CR138" s="258"/>
      <c r="CS138" s="258"/>
      <c r="CT138" s="259"/>
      <c r="CU138" s="267"/>
      <c r="CV138" s="268"/>
      <c r="CW138" s="258"/>
      <c r="CX138" s="258"/>
      <c r="CY138" s="258"/>
      <c r="CZ138" s="269"/>
      <c r="DA138" s="268"/>
      <c r="DB138" s="258"/>
      <c r="DC138" s="272"/>
      <c r="DD138" s="272"/>
      <c r="DE138" s="269"/>
      <c r="DF138" s="268"/>
      <c r="DG138" s="258"/>
      <c r="DH138" s="258"/>
      <c r="DI138" s="258"/>
      <c r="DJ138" s="269"/>
      <c r="DK138" s="268"/>
      <c r="DL138" s="258"/>
      <c r="DM138" s="258"/>
      <c r="DN138" s="258"/>
      <c r="DO138" s="269"/>
      <c r="DP138" s="268"/>
      <c r="DQ138" s="258"/>
      <c r="DR138" s="258"/>
      <c r="DS138" s="258"/>
      <c r="DT138" s="269"/>
      <c r="DU138" s="268"/>
      <c r="DV138" s="258"/>
      <c r="DW138" s="258"/>
      <c r="DX138" s="258"/>
      <c r="DY138" s="269"/>
      <c r="DZ138" s="268"/>
      <c r="EA138" s="258"/>
      <c r="EB138" s="258"/>
      <c r="EC138" s="258"/>
      <c r="ED138" s="269"/>
    </row>
    <row r="139" spans="1:134" ht="13.5" customHeight="1" x14ac:dyDescent="0.3">
      <c r="A139" s="154">
        <v>13</v>
      </c>
      <c r="B139" s="12" t="s">
        <v>170</v>
      </c>
      <c r="C139" s="45" t="s">
        <v>124</v>
      </c>
      <c r="D139" s="45" t="s">
        <v>170</v>
      </c>
      <c r="E139" s="162">
        <f>'FBMS-HND LEVEL TWO'!E24</f>
        <v>8</v>
      </c>
      <c r="F139" s="157">
        <f>'FBMS-HND LEVEL TWO'!F24</f>
        <v>15</v>
      </c>
      <c r="G139" s="157">
        <f>'FBMS-HND LEVEL TWO'!J24</f>
        <v>31</v>
      </c>
      <c r="H139" s="158">
        <f>'FBMS-HND LEVEL TWO'!K24</f>
        <v>54</v>
      </c>
      <c r="I139" s="163" t="str">
        <f>'FBMS-HND LEVEL TWO'!L24</f>
        <v>C</v>
      </c>
      <c r="J139" s="164">
        <f>'FBMS-HND LEVEL TWO'!E93</f>
        <v>9</v>
      </c>
      <c r="K139" s="157">
        <f>'FBMS-HND LEVEL TWO'!F93</f>
        <v>21</v>
      </c>
      <c r="L139" s="157">
        <f>'FBMS-HND LEVEL TWO'!J93</f>
        <v>45</v>
      </c>
      <c r="M139" s="157">
        <f>'FBMS-HND LEVEL TWO'!K93</f>
        <v>75</v>
      </c>
      <c r="N139" s="165" t="str">
        <f>'FBMS-HND LEVEL TWO'!L93</f>
        <v>B+</v>
      </c>
      <c r="O139" s="166">
        <f>'FBMS-HND LEVEL TWO'!E162</f>
        <v>9</v>
      </c>
      <c r="P139" s="157">
        <f>'FBMS-HND LEVEL TWO'!F162</f>
        <v>24</v>
      </c>
      <c r="Q139" s="157">
        <f>'FBMS-HND LEVEL TWO'!J162</f>
        <v>30</v>
      </c>
      <c r="R139" s="157">
        <f>'FBMS-HND LEVEL TWO'!K162</f>
        <v>63</v>
      </c>
      <c r="S139" s="163" t="str">
        <f>'FBMS-HND LEVEL TWO'!L162</f>
        <v>B</v>
      </c>
      <c r="T139" s="164">
        <f>'FBMS-HND LEVEL TWO'!E234</f>
        <v>10</v>
      </c>
      <c r="U139" s="157">
        <f>'FBMS-HND LEVEL TWO'!F234</f>
        <v>15</v>
      </c>
      <c r="V139" s="157">
        <f>'FBMS-HND LEVEL TWO'!J234</f>
        <v>39</v>
      </c>
      <c r="W139" s="157">
        <f>'FBMS-HND LEVEL TWO'!K234</f>
        <v>64</v>
      </c>
      <c r="X139" s="165" t="str">
        <f>'FBMS-HND LEVEL TWO'!L234</f>
        <v>B</v>
      </c>
      <c r="Y139" s="166">
        <f>'FBMS-HND LEVEL TWO'!E308</f>
        <v>9</v>
      </c>
      <c r="Z139" s="157">
        <f>'FBMS-HND LEVEL TWO'!F308</f>
        <v>17</v>
      </c>
      <c r="AA139" s="157">
        <f>'FBMS-HND LEVEL TWO'!J308</f>
        <v>25</v>
      </c>
      <c r="AB139" s="157">
        <f>'FBMS-HND LEVEL TWO'!K308</f>
        <v>51</v>
      </c>
      <c r="AC139" s="157" t="str">
        <f>'FBMS-HND LEVEL TWO'!L308</f>
        <v>C</v>
      </c>
      <c r="AD139" s="164">
        <f>'FBMS-HND LEVEL TWO'!E383</f>
        <v>10</v>
      </c>
      <c r="AE139" s="157">
        <f>'FBMS-HND LEVEL TWO'!F383</f>
        <v>24</v>
      </c>
      <c r="AF139" s="157">
        <f>'FBMS-HND LEVEL TWO'!J383</f>
        <v>28</v>
      </c>
      <c r="AG139" s="157">
        <f>'FBMS-HND LEVEL TWO'!K383</f>
        <v>62</v>
      </c>
      <c r="AH139" s="165" t="str">
        <f>'FBMS-HND LEVEL TWO'!L383</f>
        <v>B</v>
      </c>
      <c r="AI139" s="266">
        <f>'FBMS-HND LEVEL TWO'!E434</f>
        <v>9</v>
      </c>
      <c r="AJ139" s="258">
        <f>'FBMS-HND LEVEL TWO'!F434</f>
        <v>23</v>
      </c>
      <c r="AK139" s="258">
        <f>'FBMS-HND LEVEL TWO'!J434</f>
        <v>44</v>
      </c>
      <c r="AL139" s="259">
        <f>'FBMS-HND LEVEL TWO'!K434</f>
        <v>76</v>
      </c>
      <c r="AM139" s="267" t="str">
        <f>'FBMS-HND LEVEL TWO'!L434</f>
        <v>B+</v>
      </c>
      <c r="AN139" s="268">
        <f>'FBMS-HND LEVEL TWO'!E509</f>
        <v>10</v>
      </c>
      <c r="AO139" s="258">
        <f>'FBMS-HND LEVEL TWO'!F509</f>
        <v>20</v>
      </c>
      <c r="AP139" s="258">
        <f>'FBMS-HND LEVEL TWO'!J509</f>
        <v>45</v>
      </c>
      <c r="AQ139" s="258">
        <f>'FBMS-HND LEVEL TWO'!K509</f>
        <v>75</v>
      </c>
      <c r="AR139" s="269" t="str">
        <f>'FBMS-HND LEVEL TWO'!L509</f>
        <v>B+</v>
      </c>
      <c r="AS139" s="270">
        <f>'FBMS-HND LEVEL TWO'!E587</f>
        <v>10</v>
      </c>
      <c r="AT139" s="258">
        <f>'FBMS-HND LEVEL TWO'!F587</f>
        <v>22.12</v>
      </c>
      <c r="AU139" s="258">
        <f>'FBMS-HND LEVEL TWO'!J587</f>
        <v>47</v>
      </c>
      <c r="AV139" s="258">
        <f>'FBMS-HND LEVEL TWO'!K587</f>
        <v>79.12</v>
      </c>
      <c r="AW139" s="267" t="str">
        <f>'FBMS-HND LEVEL TWO'!L587</f>
        <v>B+</v>
      </c>
      <c r="AX139" s="271">
        <f>'FBMS-HND LEVEL TWO'!E660</f>
        <v>8</v>
      </c>
      <c r="AY139" s="272">
        <f>'FBMS-HND LEVEL TWO'!F660</f>
        <v>18</v>
      </c>
      <c r="AZ139" s="258">
        <f>'FBMS-HND LEVEL TWO'!J660</f>
        <v>45</v>
      </c>
      <c r="BA139" s="258">
        <f>'FBMS-HND LEVEL TWO'!K660</f>
        <v>71</v>
      </c>
      <c r="BB139" s="269" t="str">
        <f>'FBMS-HND LEVEL TWO'!L660</f>
        <v>B+</v>
      </c>
      <c r="BC139" s="270">
        <f>'FBMS-HND LEVEL TWO'!E712</f>
        <v>10</v>
      </c>
      <c r="BD139" s="258">
        <f>'FBMS-HND LEVEL TWO'!F712</f>
        <v>15</v>
      </c>
      <c r="BE139" s="258">
        <f>'FBMS-HND LEVEL TWO'!J712</f>
        <v>28</v>
      </c>
      <c r="BF139" s="258">
        <f>'FBMS-HND LEVEL TWO'!K712</f>
        <v>53</v>
      </c>
      <c r="BG139" s="258" t="str">
        <f>'FBMS-HND LEVEL TWO'!L712</f>
        <v>C</v>
      </c>
      <c r="BH139" s="271">
        <f>'FBMS-HND LEVEL TWO'!E766</f>
        <v>9</v>
      </c>
      <c r="BI139" s="272">
        <f>'FBMS-HND LEVEL TWO'!F766</f>
        <v>25</v>
      </c>
      <c r="BJ139" s="258">
        <f>'FBMS-HND LEVEL TWO'!J766</f>
        <v>31</v>
      </c>
      <c r="BK139" s="258">
        <f>'FBMS-HND LEVEL TWO'!K766</f>
        <v>65</v>
      </c>
      <c r="BL139" s="269" t="str">
        <f>'FBMS-HND LEVEL TWO'!L766</f>
        <v>B</v>
      </c>
      <c r="BM139" s="268">
        <f>'FBMS-HND LEVEL TWO'!E810</f>
        <v>9</v>
      </c>
      <c r="BN139" s="258">
        <f>'FBMS-HND LEVEL TWO'!F810</f>
        <v>27</v>
      </c>
      <c r="BO139" s="258">
        <f>'FBMS-HND LEVEL TWO'!J810</f>
        <v>45</v>
      </c>
      <c r="BP139" s="258">
        <f>'FBMS-HND LEVEL TWO'!K810</f>
        <v>81</v>
      </c>
      <c r="BQ139" s="269" t="str">
        <f>'FBMS-HND LEVEL TWO'!L810</f>
        <v>A</v>
      </c>
      <c r="BR139" s="268">
        <f>'FBMS-HND LEVEL TWO'!E851</f>
        <v>9</v>
      </c>
      <c r="BS139" s="258">
        <f>'FBMS-HND LEVEL TWO'!F851</f>
        <v>23</v>
      </c>
      <c r="BT139" s="258">
        <f>'FBMS-HND LEVEL TWO'!J851</f>
        <v>32</v>
      </c>
      <c r="BU139" s="258">
        <f>'FBMS-HND LEVEL TWO'!K851</f>
        <v>64</v>
      </c>
      <c r="BV139" s="269" t="str">
        <f>'FBMS-HND LEVEL TWO'!L851</f>
        <v>B</v>
      </c>
      <c r="BW139" s="270"/>
      <c r="BX139" s="258"/>
      <c r="BY139" s="258"/>
      <c r="BZ139" s="258"/>
      <c r="CA139" s="267"/>
      <c r="CB139" s="268"/>
      <c r="CC139" s="258"/>
      <c r="CD139" s="258"/>
      <c r="CE139" s="258"/>
      <c r="CF139" s="269"/>
      <c r="CG139" s="270"/>
      <c r="CH139" s="272"/>
      <c r="CI139" s="258"/>
      <c r="CJ139" s="258"/>
      <c r="CK139" s="258"/>
      <c r="CL139" s="268"/>
      <c r="CM139" s="258"/>
      <c r="CN139" s="258"/>
      <c r="CO139" s="258"/>
      <c r="CP139" s="269"/>
      <c r="CQ139" s="266"/>
      <c r="CR139" s="258"/>
      <c r="CS139" s="258"/>
      <c r="CT139" s="259"/>
      <c r="CU139" s="267"/>
      <c r="CV139" s="268"/>
      <c r="CW139" s="258"/>
      <c r="CX139" s="258"/>
      <c r="CY139" s="258"/>
      <c r="CZ139" s="269"/>
      <c r="DA139" s="268"/>
      <c r="DB139" s="258"/>
      <c r="DC139" s="258"/>
      <c r="DD139" s="258"/>
      <c r="DE139" s="269"/>
      <c r="DF139" s="268"/>
      <c r="DG139" s="258"/>
      <c r="DH139" s="258"/>
      <c r="DI139" s="258"/>
      <c r="DJ139" s="269"/>
      <c r="DK139" s="268"/>
      <c r="DL139" s="258"/>
      <c r="DM139" s="258"/>
      <c r="DN139" s="258"/>
      <c r="DO139" s="269"/>
      <c r="DP139" s="268"/>
      <c r="DQ139" s="258"/>
      <c r="DR139" s="258"/>
      <c r="DS139" s="258"/>
      <c r="DT139" s="269"/>
      <c r="DU139" s="268"/>
      <c r="DV139" s="258"/>
      <c r="DW139" s="258"/>
      <c r="DX139" s="258"/>
      <c r="DY139" s="269"/>
      <c r="DZ139" s="268"/>
      <c r="EA139" s="258"/>
      <c r="EB139" s="258"/>
      <c r="EC139" s="258"/>
      <c r="ED139" s="269"/>
    </row>
    <row r="140" spans="1:134" ht="15.75" customHeight="1" x14ac:dyDescent="0.3">
      <c r="A140" s="161">
        <v>14</v>
      </c>
      <c r="B140" s="12" t="s">
        <v>172</v>
      </c>
      <c r="C140" s="45" t="s">
        <v>126</v>
      </c>
      <c r="D140" s="45" t="s">
        <v>172</v>
      </c>
      <c r="E140" s="162">
        <f>'FBMS-HND LEVEL TWO'!E25</f>
        <v>8</v>
      </c>
      <c r="F140" s="157">
        <f>'FBMS-HND LEVEL TWO'!F25</f>
        <v>15</v>
      </c>
      <c r="G140" s="157">
        <f>'FBMS-HND LEVEL TWO'!J25</f>
        <v>19</v>
      </c>
      <c r="H140" s="158">
        <f>'FBMS-HND LEVEL TWO'!K25</f>
        <v>42</v>
      </c>
      <c r="I140" s="163" t="str">
        <f>'FBMS-HND LEVEL TWO'!L25</f>
        <v>D</v>
      </c>
      <c r="J140" s="164">
        <f>'FBMS-HND LEVEL TWO'!E94</f>
        <v>10</v>
      </c>
      <c r="K140" s="157">
        <f>'FBMS-HND LEVEL TWO'!F94</f>
        <v>9</v>
      </c>
      <c r="L140" s="157">
        <f>'FBMS-HND LEVEL TWO'!J94</f>
        <v>28</v>
      </c>
      <c r="M140" s="157">
        <f>'FBMS-HND LEVEL TWO'!K94</f>
        <v>47</v>
      </c>
      <c r="N140" s="165" t="str">
        <f>'FBMS-HND LEVEL TWO'!L94</f>
        <v>D+</v>
      </c>
      <c r="O140" s="166">
        <f>'FBMS-HND LEVEL TWO'!E163</f>
        <v>9</v>
      </c>
      <c r="P140" s="157">
        <f>'FBMS-HND LEVEL TWO'!F163</f>
        <v>21</v>
      </c>
      <c r="Q140" s="157">
        <f>'FBMS-HND LEVEL TWO'!J163</f>
        <v>30</v>
      </c>
      <c r="R140" s="157">
        <f>'FBMS-HND LEVEL TWO'!K163</f>
        <v>60</v>
      </c>
      <c r="S140" s="163" t="str">
        <f>'FBMS-HND LEVEL TWO'!L163</f>
        <v>B</v>
      </c>
      <c r="T140" s="164">
        <f>'FBMS-HND LEVEL TWO'!E235</f>
        <v>10</v>
      </c>
      <c r="U140" s="157">
        <f>'FBMS-HND LEVEL TWO'!F235</f>
        <v>20</v>
      </c>
      <c r="V140" s="157">
        <f>'FBMS-HND LEVEL TWO'!J235</f>
        <v>44</v>
      </c>
      <c r="W140" s="157">
        <f>'FBMS-HND LEVEL TWO'!K235</f>
        <v>74</v>
      </c>
      <c r="X140" s="165" t="str">
        <f>'FBMS-HND LEVEL TWO'!L235</f>
        <v>B+</v>
      </c>
      <c r="Y140" s="166">
        <f>'FBMS-HND LEVEL TWO'!E309</f>
        <v>8</v>
      </c>
      <c r="Z140" s="157">
        <f>'FBMS-HND LEVEL TWO'!F309</f>
        <v>9</v>
      </c>
      <c r="AA140" s="157">
        <f>'FBMS-HND LEVEL TWO'!J309</f>
        <v>15</v>
      </c>
      <c r="AB140" s="157">
        <f>'FBMS-HND LEVEL TWO'!K309</f>
        <v>32</v>
      </c>
      <c r="AC140" s="157" t="str">
        <f>'FBMS-HND LEVEL TWO'!L309</f>
        <v>F</v>
      </c>
      <c r="AD140" s="164">
        <f>'FBMS-HND LEVEL TWO'!E384</f>
        <v>9</v>
      </c>
      <c r="AE140" s="157">
        <f>'FBMS-HND LEVEL TWO'!F384</f>
        <v>19</v>
      </c>
      <c r="AF140" s="157">
        <f>'FBMS-HND LEVEL TWO'!J384</f>
        <v>25</v>
      </c>
      <c r="AG140" s="157">
        <f>'FBMS-HND LEVEL TWO'!K384</f>
        <v>53</v>
      </c>
      <c r="AH140" s="165" t="str">
        <f>'FBMS-HND LEVEL TWO'!L384</f>
        <v>C</v>
      </c>
      <c r="AI140" s="266">
        <f>'FBMS-HND LEVEL TWO'!E435</f>
        <v>10</v>
      </c>
      <c r="AJ140" s="258">
        <f>'FBMS-HND LEVEL TWO'!F435</f>
        <v>17.5</v>
      </c>
      <c r="AK140" s="258">
        <f>'FBMS-HND LEVEL TWO'!J435</f>
        <v>28</v>
      </c>
      <c r="AL140" s="259">
        <f>'FBMS-HND LEVEL TWO'!K435</f>
        <v>55.5</v>
      </c>
      <c r="AM140" s="267" t="str">
        <f>'FBMS-HND LEVEL TWO'!L435</f>
        <v>C+</v>
      </c>
      <c r="AN140" s="268">
        <f>'FBMS-HND LEVEL TWO'!E510</f>
        <v>10</v>
      </c>
      <c r="AO140" s="258">
        <f>'FBMS-HND LEVEL TWO'!F510</f>
        <v>16</v>
      </c>
      <c r="AP140" s="258">
        <f>'FBMS-HND LEVEL TWO'!J510</f>
        <v>19</v>
      </c>
      <c r="AQ140" s="258">
        <f>'FBMS-HND LEVEL TWO'!K510</f>
        <v>45</v>
      </c>
      <c r="AR140" s="269" t="str">
        <f>'FBMS-HND LEVEL TWO'!L510</f>
        <v>D+</v>
      </c>
      <c r="AS140" s="270">
        <f>'FBMS-HND LEVEL TWO'!E588</f>
        <v>10</v>
      </c>
      <c r="AT140" s="258">
        <f>'FBMS-HND LEVEL TWO'!F588</f>
        <v>19.125</v>
      </c>
      <c r="AU140" s="258">
        <f>'FBMS-HND LEVEL TWO'!J588</f>
        <v>27</v>
      </c>
      <c r="AV140" s="258">
        <f>'FBMS-HND LEVEL TWO'!K588</f>
        <v>56.125</v>
      </c>
      <c r="AW140" s="267" t="str">
        <f>'FBMS-HND LEVEL TWO'!L588</f>
        <v>C+</v>
      </c>
      <c r="AX140" s="271">
        <f>'FBMS-HND LEVEL TWO'!E661</f>
        <v>8</v>
      </c>
      <c r="AY140" s="272">
        <f>'FBMS-HND LEVEL TWO'!F661</f>
        <v>15</v>
      </c>
      <c r="AZ140" s="258">
        <f>'FBMS-HND LEVEL TWO'!J661</f>
        <v>14</v>
      </c>
      <c r="BA140" s="258">
        <f>'FBMS-HND LEVEL TWO'!K661</f>
        <v>37</v>
      </c>
      <c r="BB140" s="269" t="str">
        <f>'FBMS-HND LEVEL TWO'!L661</f>
        <v>F</v>
      </c>
      <c r="BC140" s="270">
        <f>'FBMS-HND LEVEL TWO'!E713</f>
        <v>9</v>
      </c>
      <c r="BD140" s="258">
        <f>'FBMS-HND LEVEL TWO'!F713</f>
        <v>16</v>
      </c>
      <c r="BE140" s="258">
        <f>'FBMS-HND LEVEL TWO'!J713</f>
        <v>27</v>
      </c>
      <c r="BF140" s="258">
        <f>'FBMS-HND LEVEL TWO'!K713</f>
        <v>52</v>
      </c>
      <c r="BG140" s="258" t="str">
        <f>'FBMS-HND LEVEL TWO'!L713</f>
        <v>C</v>
      </c>
      <c r="BH140" s="271">
        <f>'FBMS-HND LEVEL TWO'!E767</f>
        <v>9</v>
      </c>
      <c r="BI140" s="272">
        <f>'FBMS-HND LEVEL TWO'!F767</f>
        <v>25</v>
      </c>
      <c r="BJ140" s="258">
        <f>'FBMS-HND LEVEL TWO'!J767</f>
        <v>21</v>
      </c>
      <c r="BK140" s="258">
        <f>'FBMS-HND LEVEL TWO'!K767</f>
        <v>55</v>
      </c>
      <c r="BL140" s="269" t="str">
        <f>'FBMS-HND LEVEL TWO'!L767</f>
        <v>C+</v>
      </c>
      <c r="BM140" s="268">
        <f>'FBMS-HND LEVEL TWO'!E811</f>
        <v>8</v>
      </c>
      <c r="BN140" s="258">
        <f>'FBMS-HND LEVEL TWO'!F811</f>
        <v>25</v>
      </c>
      <c r="BO140" s="258">
        <f>'FBMS-HND LEVEL TWO'!J811</f>
        <v>40</v>
      </c>
      <c r="BP140" s="258">
        <f>'FBMS-HND LEVEL TWO'!K811</f>
        <v>73</v>
      </c>
      <c r="BQ140" s="269" t="str">
        <f>'FBMS-HND LEVEL TWO'!L811</f>
        <v>B+</v>
      </c>
      <c r="BR140" s="268">
        <f>'FBMS-HND LEVEL TWO'!E852</f>
        <v>10</v>
      </c>
      <c r="BS140" s="258">
        <f>'FBMS-HND LEVEL TWO'!F852</f>
        <v>23</v>
      </c>
      <c r="BT140" s="258">
        <f>'FBMS-HND LEVEL TWO'!J852</f>
        <v>18</v>
      </c>
      <c r="BU140" s="258">
        <f>'FBMS-HND LEVEL TWO'!K852</f>
        <v>51</v>
      </c>
      <c r="BV140" s="269" t="str">
        <f>'FBMS-HND LEVEL TWO'!L852</f>
        <v>C</v>
      </c>
      <c r="BW140" s="270"/>
      <c r="BX140" s="258"/>
      <c r="BY140" s="258"/>
      <c r="BZ140" s="258"/>
      <c r="CA140" s="267"/>
      <c r="CB140" s="268"/>
      <c r="CC140" s="258"/>
      <c r="CD140" s="258"/>
      <c r="CE140" s="258"/>
      <c r="CF140" s="269"/>
      <c r="CG140" s="270"/>
      <c r="CH140" s="258"/>
      <c r="CI140" s="258"/>
      <c r="CJ140" s="258"/>
      <c r="CK140" s="258"/>
      <c r="CL140" s="268"/>
      <c r="CM140" s="258"/>
      <c r="CN140" s="258"/>
      <c r="CO140" s="258"/>
      <c r="CP140" s="269"/>
      <c r="CQ140" s="266"/>
      <c r="CR140" s="258"/>
      <c r="CS140" s="258"/>
      <c r="CT140" s="259"/>
      <c r="CU140" s="267"/>
      <c r="CV140" s="268"/>
      <c r="CW140" s="258"/>
      <c r="CX140" s="258"/>
      <c r="CY140" s="258"/>
      <c r="CZ140" s="269"/>
      <c r="DA140" s="268"/>
      <c r="DB140" s="258"/>
      <c r="DC140" s="258"/>
      <c r="DD140" s="258"/>
      <c r="DE140" s="269"/>
      <c r="DF140" s="268"/>
      <c r="DG140" s="258"/>
      <c r="DH140" s="258"/>
      <c r="DI140" s="258"/>
      <c r="DJ140" s="269"/>
      <c r="DK140" s="268"/>
      <c r="DL140" s="258"/>
      <c r="DM140" s="258"/>
      <c r="DN140" s="258"/>
      <c r="DO140" s="269"/>
      <c r="DP140" s="268"/>
      <c r="DQ140" s="258"/>
      <c r="DR140" s="258"/>
      <c r="DS140" s="258"/>
      <c r="DT140" s="269"/>
      <c r="DU140" s="268"/>
      <c r="DV140" s="258"/>
      <c r="DW140" s="258"/>
      <c r="DX140" s="258"/>
      <c r="DY140" s="269"/>
      <c r="DZ140" s="268"/>
      <c r="EA140" s="258"/>
      <c r="EB140" s="258"/>
      <c r="EC140" s="258"/>
      <c r="ED140" s="269"/>
    </row>
    <row r="141" spans="1:134" ht="17.25" customHeight="1" x14ac:dyDescent="0.3">
      <c r="A141" s="154">
        <v>15</v>
      </c>
      <c r="B141" s="12" t="s">
        <v>173</v>
      </c>
      <c r="C141" s="45" t="s">
        <v>127</v>
      </c>
      <c r="D141" s="45" t="s">
        <v>173</v>
      </c>
      <c r="E141" s="162">
        <f>'FBMS-HND LEVEL TWO'!E26</f>
        <v>8</v>
      </c>
      <c r="F141" s="157">
        <f>'FBMS-HND LEVEL TWO'!F26</f>
        <v>21</v>
      </c>
      <c r="G141" s="157">
        <f>'FBMS-HND LEVEL TWO'!J26</f>
        <v>21</v>
      </c>
      <c r="H141" s="158">
        <f>'FBMS-HND LEVEL TWO'!K26</f>
        <v>50</v>
      </c>
      <c r="I141" s="163" t="str">
        <f>'FBMS-HND LEVEL TWO'!L26</f>
        <v>C</v>
      </c>
      <c r="J141" s="164">
        <f>'FBMS-HND LEVEL TWO'!E95</f>
        <v>9</v>
      </c>
      <c r="K141" s="157">
        <f>'FBMS-HND LEVEL TWO'!F95</f>
        <v>24</v>
      </c>
      <c r="L141" s="157">
        <f>'FBMS-HND LEVEL TWO'!J95</f>
        <v>43</v>
      </c>
      <c r="M141" s="157">
        <f>'FBMS-HND LEVEL TWO'!K95</f>
        <v>76</v>
      </c>
      <c r="N141" s="165" t="str">
        <f>'FBMS-HND LEVEL TWO'!L95</f>
        <v>B+</v>
      </c>
      <c r="O141" s="166">
        <f>'FBMS-HND LEVEL TWO'!E164</f>
        <v>9</v>
      </c>
      <c r="P141" s="157">
        <f>'FBMS-HND LEVEL TWO'!F164</f>
        <v>27</v>
      </c>
      <c r="Q141" s="157">
        <f>'FBMS-HND LEVEL TWO'!J164</f>
        <v>40</v>
      </c>
      <c r="R141" s="157">
        <f>'FBMS-HND LEVEL TWO'!K164</f>
        <v>76</v>
      </c>
      <c r="S141" s="163" t="str">
        <f>'FBMS-HND LEVEL TWO'!L164</f>
        <v>B+</v>
      </c>
      <c r="T141" s="164">
        <f>'FBMS-HND LEVEL TWO'!E236</f>
        <v>10</v>
      </c>
      <c r="U141" s="157">
        <f>'FBMS-HND LEVEL TWO'!F236</f>
        <v>23</v>
      </c>
      <c r="V141" s="157">
        <f>'FBMS-HND LEVEL TWO'!J236</f>
        <v>39</v>
      </c>
      <c r="W141" s="157">
        <f>'FBMS-HND LEVEL TWO'!K236</f>
        <v>72</v>
      </c>
      <c r="X141" s="165" t="str">
        <f>'FBMS-HND LEVEL TWO'!L236</f>
        <v>B+</v>
      </c>
      <c r="Y141" s="166">
        <f>'FBMS-HND LEVEL TWO'!E310</f>
        <v>10</v>
      </c>
      <c r="Z141" s="157">
        <f>'FBMS-HND LEVEL TWO'!F310</f>
        <v>18</v>
      </c>
      <c r="AA141" s="157">
        <f>'FBMS-HND LEVEL TWO'!J310</f>
        <v>24</v>
      </c>
      <c r="AB141" s="157">
        <f>'FBMS-HND LEVEL TWO'!K310</f>
        <v>52</v>
      </c>
      <c r="AC141" s="157" t="str">
        <f>'FBMS-HND LEVEL TWO'!L310</f>
        <v>C</v>
      </c>
      <c r="AD141" s="164">
        <f>'FBMS-HND LEVEL TWO'!E385</f>
        <v>10</v>
      </c>
      <c r="AE141" s="157">
        <f>'FBMS-HND LEVEL TWO'!F385</f>
        <v>15</v>
      </c>
      <c r="AF141" s="157">
        <f>'FBMS-HND LEVEL TWO'!J385</f>
        <v>33</v>
      </c>
      <c r="AG141" s="157">
        <f>'FBMS-HND LEVEL TWO'!K385</f>
        <v>58</v>
      </c>
      <c r="AH141" s="165" t="str">
        <f>'FBMS-HND LEVEL TWO'!L385</f>
        <v>C+</v>
      </c>
      <c r="AI141" s="266">
        <f>'FBMS-HND LEVEL TWO'!E436</f>
        <v>10</v>
      </c>
      <c r="AJ141" s="258">
        <f>'FBMS-HND LEVEL TWO'!F436</f>
        <v>19</v>
      </c>
      <c r="AK141" s="258">
        <f>'FBMS-HND LEVEL TWO'!J436</f>
        <v>39</v>
      </c>
      <c r="AL141" s="259">
        <f>'FBMS-HND LEVEL TWO'!K436</f>
        <v>68</v>
      </c>
      <c r="AM141" s="267" t="str">
        <f>'FBMS-HND LEVEL TWO'!L436</f>
        <v>B</v>
      </c>
      <c r="AN141" s="268">
        <f>'FBMS-HND LEVEL TWO'!E511</f>
        <v>10</v>
      </c>
      <c r="AO141" s="258">
        <f>'FBMS-HND LEVEL TWO'!F511</f>
        <v>22</v>
      </c>
      <c r="AP141" s="258">
        <f>'FBMS-HND LEVEL TWO'!J511</f>
        <v>22</v>
      </c>
      <c r="AQ141" s="258">
        <f>'FBMS-HND LEVEL TWO'!K511</f>
        <v>54</v>
      </c>
      <c r="AR141" s="269" t="str">
        <f>'FBMS-HND LEVEL TWO'!L511</f>
        <v>C</v>
      </c>
      <c r="AS141" s="273">
        <f>'FBMS-HND LEVEL TWO'!E589</f>
        <v>10</v>
      </c>
      <c r="AT141" s="258">
        <f>'FBMS-HND LEVEL TWO'!F589</f>
        <v>23</v>
      </c>
      <c r="AU141" s="258">
        <f>'FBMS-HND LEVEL TWO'!J589</f>
        <v>47</v>
      </c>
      <c r="AV141" s="258">
        <f>'FBMS-HND LEVEL TWO'!K589</f>
        <v>80</v>
      </c>
      <c r="AW141" s="267" t="str">
        <f>'FBMS-HND LEVEL TWO'!L589</f>
        <v>A</v>
      </c>
      <c r="AX141" s="271">
        <f>'FBMS-HND LEVEL TWO'!E662</f>
        <v>9</v>
      </c>
      <c r="AY141" s="272">
        <f>'FBMS-HND LEVEL TWO'!F662</f>
        <v>19</v>
      </c>
      <c r="AZ141" s="258">
        <f>'FBMS-HND LEVEL TWO'!J662</f>
        <v>40</v>
      </c>
      <c r="BA141" s="258">
        <f>'FBMS-HND LEVEL TWO'!K662</f>
        <v>68</v>
      </c>
      <c r="BB141" s="269" t="str">
        <f>'FBMS-HND LEVEL TWO'!L662</f>
        <v>B</v>
      </c>
      <c r="BC141" s="270">
        <f>'FBMS-HND LEVEL TWO'!E714</f>
        <v>10</v>
      </c>
      <c r="BD141" s="258">
        <f>'FBMS-HND LEVEL TWO'!F714</f>
        <v>15</v>
      </c>
      <c r="BE141" s="258">
        <f>'FBMS-HND LEVEL TWO'!J714</f>
        <v>28</v>
      </c>
      <c r="BF141" s="258">
        <f>'FBMS-HND LEVEL TWO'!K714</f>
        <v>53</v>
      </c>
      <c r="BG141" s="258" t="str">
        <f>'FBMS-HND LEVEL TWO'!L714</f>
        <v>C</v>
      </c>
      <c r="BH141" s="271">
        <f>'FBMS-HND LEVEL TWO'!E768</f>
        <v>10</v>
      </c>
      <c r="BI141" s="272">
        <f>'FBMS-HND LEVEL TWO'!F768</f>
        <v>26</v>
      </c>
      <c r="BJ141" s="258">
        <f>'FBMS-HND LEVEL TWO'!J768</f>
        <v>22</v>
      </c>
      <c r="BK141" s="258">
        <f>'FBMS-HND LEVEL TWO'!K768</f>
        <v>58</v>
      </c>
      <c r="BL141" s="269" t="str">
        <f>'FBMS-HND LEVEL TWO'!L768</f>
        <v>C+</v>
      </c>
      <c r="BM141" s="268">
        <f>'FBMS-HND LEVEL TWO'!E812</f>
        <v>9</v>
      </c>
      <c r="BN141" s="258">
        <f>'FBMS-HND LEVEL TWO'!F812</f>
        <v>27</v>
      </c>
      <c r="BO141" s="258">
        <f>'FBMS-HND LEVEL TWO'!J812</f>
        <v>50</v>
      </c>
      <c r="BP141" s="258">
        <f>'FBMS-HND LEVEL TWO'!K812</f>
        <v>86</v>
      </c>
      <c r="BQ141" s="269" t="str">
        <f>'FBMS-HND LEVEL TWO'!L812</f>
        <v>A</v>
      </c>
      <c r="BR141" s="268">
        <f>'FBMS-HND LEVEL TWO'!E853</f>
        <v>10</v>
      </c>
      <c r="BS141" s="258">
        <f>'FBMS-HND LEVEL TWO'!F853</f>
        <v>20</v>
      </c>
      <c r="BT141" s="258">
        <f>'FBMS-HND LEVEL TWO'!J853</f>
        <v>29</v>
      </c>
      <c r="BU141" s="258">
        <f>'FBMS-HND LEVEL TWO'!K853</f>
        <v>59</v>
      </c>
      <c r="BV141" s="269" t="str">
        <f>'FBMS-HND LEVEL TWO'!L853</f>
        <v>C+</v>
      </c>
      <c r="BW141" s="270"/>
      <c r="BX141" s="258"/>
      <c r="BY141" s="258"/>
      <c r="BZ141" s="258"/>
      <c r="CA141" s="267"/>
      <c r="CB141" s="268"/>
      <c r="CC141" s="258"/>
      <c r="CD141" s="258"/>
      <c r="CE141" s="258"/>
      <c r="CF141" s="269"/>
      <c r="CG141" s="270"/>
      <c r="CH141" s="258"/>
      <c r="CI141" s="258"/>
      <c r="CJ141" s="258"/>
      <c r="CK141" s="258"/>
      <c r="CL141" s="268"/>
      <c r="CM141" s="258"/>
      <c r="CN141" s="258"/>
      <c r="CO141" s="258"/>
      <c r="CP141" s="269"/>
      <c r="CQ141" s="266"/>
      <c r="CR141" s="258"/>
      <c r="CS141" s="258"/>
      <c r="CT141" s="259"/>
      <c r="CU141" s="267"/>
      <c r="CV141" s="268"/>
      <c r="CW141" s="258"/>
      <c r="CX141" s="258"/>
      <c r="CY141" s="258"/>
      <c r="CZ141" s="269"/>
      <c r="DA141" s="268"/>
      <c r="DB141" s="258"/>
      <c r="DC141" s="258"/>
      <c r="DD141" s="258"/>
      <c r="DE141" s="269"/>
      <c r="DF141" s="268"/>
      <c r="DG141" s="258"/>
      <c r="DH141" s="258"/>
      <c r="DI141" s="258"/>
      <c r="DJ141" s="269"/>
      <c r="DK141" s="268"/>
      <c r="DL141" s="258"/>
      <c r="DM141" s="258"/>
      <c r="DN141" s="258"/>
      <c r="DO141" s="269"/>
      <c r="DP141" s="268"/>
      <c r="DQ141" s="258"/>
      <c r="DR141" s="258"/>
      <c r="DS141" s="258"/>
      <c r="DT141" s="269"/>
      <c r="DU141" s="268"/>
      <c r="DV141" s="258"/>
      <c r="DW141" s="258"/>
      <c r="DX141" s="258"/>
      <c r="DY141" s="269"/>
      <c r="DZ141" s="268"/>
      <c r="EA141" s="258"/>
      <c r="EB141" s="258"/>
      <c r="EC141" s="258"/>
      <c r="ED141" s="269"/>
    </row>
    <row r="142" spans="1:134" ht="16.5" customHeight="1" x14ac:dyDescent="0.3">
      <c r="A142" s="161">
        <v>16</v>
      </c>
      <c r="B142" s="12" t="s">
        <v>175</v>
      </c>
      <c r="C142" s="45" t="s">
        <v>131</v>
      </c>
      <c r="D142" s="45" t="s">
        <v>175</v>
      </c>
      <c r="E142" s="162">
        <f>'FBMS-HND LEVEL TWO'!E27</f>
        <v>8</v>
      </c>
      <c r="F142" s="157">
        <f>'FBMS-HND LEVEL TWO'!F27</f>
        <v>18</v>
      </c>
      <c r="G142" s="157">
        <f>'FBMS-HND LEVEL TWO'!J27</f>
        <v>14</v>
      </c>
      <c r="H142" s="158">
        <f>'FBMS-HND LEVEL TWO'!K27</f>
        <v>40</v>
      </c>
      <c r="I142" s="163" t="str">
        <f>'FBMS-HND LEVEL TWO'!L27</f>
        <v>D</v>
      </c>
      <c r="J142" s="164">
        <f>'FBMS-HND LEVEL TWO'!E96</f>
        <v>10</v>
      </c>
      <c r="K142" s="157">
        <f>'FBMS-HND LEVEL TWO'!F96</f>
        <v>22</v>
      </c>
      <c r="L142" s="157">
        <f>'FBMS-HND LEVEL TWO'!J96</f>
        <v>32</v>
      </c>
      <c r="M142" s="157">
        <f>'FBMS-HND LEVEL TWO'!K96</f>
        <v>64</v>
      </c>
      <c r="N142" s="165" t="str">
        <f>'FBMS-HND LEVEL TWO'!L96</f>
        <v>B</v>
      </c>
      <c r="O142" s="166">
        <f>'FBMS-HND LEVEL TWO'!E165</f>
        <v>9</v>
      </c>
      <c r="P142" s="157">
        <f>'FBMS-HND LEVEL TWO'!F165</f>
        <v>27</v>
      </c>
      <c r="Q142" s="157">
        <f>'FBMS-HND LEVEL TWO'!J165</f>
        <v>40</v>
      </c>
      <c r="R142" s="157">
        <f>'FBMS-HND LEVEL TWO'!K165</f>
        <v>76</v>
      </c>
      <c r="S142" s="163" t="str">
        <f>'FBMS-HND LEVEL TWO'!L165</f>
        <v>B+</v>
      </c>
      <c r="T142" s="164">
        <f>'FBMS-HND LEVEL TWO'!E237</f>
        <v>9</v>
      </c>
      <c r="U142" s="157">
        <f>'FBMS-HND LEVEL TWO'!F237</f>
        <v>25</v>
      </c>
      <c r="V142" s="157">
        <f>'FBMS-HND LEVEL TWO'!J237</f>
        <v>52</v>
      </c>
      <c r="W142" s="157">
        <f>'FBMS-HND LEVEL TWO'!K237</f>
        <v>86</v>
      </c>
      <c r="X142" s="165" t="str">
        <f>'FBMS-HND LEVEL TWO'!L237</f>
        <v>A</v>
      </c>
      <c r="Y142" s="166">
        <f>'FBMS-HND LEVEL TWO'!E311</f>
        <v>10</v>
      </c>
      <c r="Z142" s="157">
        <f>'FBMS-HND LEVEL TWO'!F311</f>
        <v>24</v>
      </c>
      <c r="AA142" s="157">
        <f>'FBMS-HND LEVEL TWO'!J311</f>
        <v>26</v>
      </c>
      <c r="AB142" s="157">
        <f>'FBMS-HND LEVEL TWO'!K311</f>
        <v>60</v>
      </c>
      <c r="AC142" s="157" t="str">
        <f>'FBMS-HND LEVEL TWO'!L311</f>
        <v>B</v>
      </c>
      <c r="AD142" s="164">
        <f>'FBMS-HND LEVEL TWO'!E386</f>
        <v>10</v>
      </c>
      <c r="AE142" s="157">
        <f>'FBMS-HND LEVEL TWO'!F386</f>
        <v>25</v>
      </c>
      <c r="AF142" s="157">
        <f>'FBMS-HND LEVEL TWO'!J386</f>
        <v>53</v>
      </c>
      <c r="AG142" s="157">
        <f>'FBMS-HND LEVEL TWO'!K386</f>
        <v>88</v>
      </c>
      <c r="AH142" s="165" t="str">
        <f>'FBMS-HND LEVEL TWO'!L386</f>
        <v>A</v>
      </c>
      <c r="AI142" s="266">
        <f>'FBMS-HND LEVEL TWO'!E437</f>
        <v>9</v>
      </c>
      <c r="AJ142" s="258">
        <f>'FBMS-HND LEVEL TWO'!F437</f>
        <v>25</v>
      </c>
      <c r="AK142" s="258">
        <f>'FBMS-HND LEVEL TWO'!J437</f>
        <v>49</v>
      </c>
      <c r="AL142" s="259">
        <f>'FBMS-HND LEVEL TWO'!K437</f>
        <v>83</v>
      </c>
      <c r="AM142" s="267" t="str">
        <f>'FBMS-HND LEVEL TWO'!L437</f>
        <v>A</v>
      </c>
      <c r="AN142" s="268">
        <f>'FBMS-HND LEVEL TWO'!E512</f>
        <v>10</v>
      </c>
      <c r="AO142" s="258">
        <f>'FBMS-HND LEVEL TWO'!F512</f>
        <v>20</v>
      </c>
      <c r="AP142" s="258">
        <f>'FBMS-HND LEVEL TWO'!J512</f>
        <v>55</v>
      </c>
      <c r="AQ142" s="258">
        <f>'FBMS-HND LEVEL TWO'!K512</f>
        <v>85</v>
      </c>
      <c r="AR142" s="269" t="str">
        <f>'FBMS-HND LEVEL TWO'!L512</f>
        <v>A</v>
      </c>
      <c r="AS142" s="270">
        <f>'FBMS-HND LEVEL TWO'!E590</f>
        <v>10</v>
      </c>
      <c r="AT142" s="258">
        <f>'FBMS-HND LEVEL TWO'!F590</f>
        <v>24</v>
      </c>
      <c r="AU142" s="258">
        <f>'FBMS-HND LEVEL TWO'!J590</f>
        <v>52</v>
      </c>
      <c r="AV142" s="258">
        <f>'FBMS-HND LEVEL TWO'!K590</f>
        <v>86</v>
      </c>
      <c r="AW142" s="267" t="str">
        <f>'FBMS-HND LEVEL TWO'!L590</f>
        <v>A</v>
      </c>
      <c r="AX142" s="271">
        <f>'FBMS-HND LEVEL TWO'!E663</f>
        <v>9</v>
      </c>
      <c r="AY142" s="272">
        <f>'FBMS-HND LEVEL TWO'!F663</f>
        <v>23</v>
      </c>
      <c r="AZ142" s="258">
        <f>'FBMS-HND LEVEL TWO'!J663</f>
        <v>47</v>
      </c>
      <c r="BA142" s="258">
        <f>'FBMS-HND LEVEL TWO'!K663</f>
        <v>79</v>
      </c>
      <c r="BB142" s="269" t="str">
        <f>'FBMS-HND LEVEL TWO'!L663</f>
        <v>B+</v>
      </c>
      <c r="BC142" s="270">
        <f>'FBMS-HND LEVEL TWO'!E715</f>
        <v>10</v>
      </c>
      <c r="BD142" s="258">
        <f>'FBMS-HND LEVEL TWO'!F715</f>
        <v>20</v>
      </c>
      <c r="BE142" s="258">
        <f>'FBMS-HND LEVEL TWO'!J715</f>
        <v>30</v>
      </c>
      <c r="BF142" s="258">
        <f>'FBMS-HND LEVEL TWO'!K715</f>
        <v>60</v>
      </c>
      <c r="BG142" s="258" t="str">
        <f>'FBMS-HND LEVEL TWO'!L715</f>
        <v>B</v>
      </c>
      <c r="BH142" s="271">
        <f>'FBMS-HND LEVEL TWO'!E769</f>
        <v>9</v>
      </c>
      <c r="BI142" s="272">
        <f>'FBMS-HND LEVEL TWO'!F769</f>
        <v>25</v>
      </c>
      <c r="BJ142" s="258">
        <f>'FBMS-HND LEVEL TWO'!J769</f>
        <v>49</v>
      </c>
      <c r="BK142" s="258">
        <f>'FBMS-HND LEVEL TWO'!K769</f>
        <v>83</v>
      </c>
      <c r="BL142" s="269" t="str">
        <f>'FBMS-HND LEVEL TWO'!L769</f>
        <v>A</v>
      </c>
      <c r="BM142" s="268">
        <f>'FBMS-HND LEVEL TWO'!E813</f>
        <v>8</v>
      </c>
      <c r="BN142" s="258">
        <f>'FBMS-HND LEVEL TWO'!F813</f>
        <v>28</v>
      </c>
      <c r="BO142" s="258">
        <f>'FBMS-HND LEVEL TWO'!J813</f>
        <v>51</v>
      </c>
      <c r="BP142" s="258">
        <f>'FBMS-HND LEVEL TWO'!K813</f>
        <v>87</v>
      </c>
      <c r="BQ142" s="269" t="str">
        <f>'FBMS-HND LEVEL TWO'!L813</f>
        <v>A</v>
      </c>
      <c r="BR142" s="268">
        <f>'FBMS-HND LEVEL TWO'!E854</f>
        <v>10</v>
      </c>
      <c r="BS142" s="258">
        <f>'FBMS-HND LEVEL TWO'!F854</f>
        <v>18</v>
      </c>
      <c r="BT142" s="258">
        <f>'FBMS-HND LEVEL TWO'!J854</f>
        <v>30</v>
      </c>
      <c r="BU142" s="258">
        <f>'FBMS-HND LEVEL TWO'!K854</f>
        <v>58</v>
      </c>
      <c r="BV142" s="269" t="str">
        <f>'FBMS-HND LEVEL TWO'!L854</f>
        <v>C+</v>
      </c>
      <c r="BW142" s="270"/>
      <c r="BX142" s="258"/>
      <c r="BY142" s="258"/>
      <c r="BZ142" s="258"/>
      <c r="CA142" s="267"/>
      <c r="CB142" s="268"/>
      <c r="CC142" s="258"/>
      <c r="CD142" s="258"/>
      <c r="CE142" s="258"/>
      <c r="CF142" s="269"/>
      <c r="CG142" s="270"/>
      <c r="CH142" s="258"/>
      <c r="CI142" s="258"/>
      <c r="CJ142" s="258"/>
      <c r="CK142" s="258"/>
      <c r="CL142" s="268"/>
      <c r="CM142" s="258"/>
      <c r="CN142" s="258"/>
      <c r="CO142" s="258"/>
      <c r="CP142" s="269"/>
      <c r="CQ142" s="266"/>
      <c r="CR142" s="258"/>
      <c r="CS142" s="258"/>
      <c r="CT142" s="259"/>
      <c r="CU142" s="267"/>
      <c r="CV142" s="268"/>
      <c r="CW142" s="258"/>
      <c r="CX142" s="258"/>
      <c r="CY142" s="258"/>
      <c r="CZ142" s="269"/>
      <c r="DA142" s="268"/>
      <c r="DB142" s="258"/>
      <c r="DC142" s="258"/>
      <c r="DD142" s="258"/>
      <c r="DE142" s="269"/>
      <c r="DF142" s="268"/>
      <c r="DG142" s="258"/>
      <c r="DH142" s="258"/>
      <c r="DI142" s="258"/>
      <c r="DJ142" s="269"/>
      <c r="DK142" s="268"/>
      <c r="DL142" s="258"/>
      <c r="DM142" s="258"/>
      <c r="DN142" s="258"/>
      <c r="DO142" s="269"/>
      <c r="DP142" s="268"/>
      <c r="DQ142" s="258"/>
      <c r="DR142" s="258"/>
      <c r="DS142" s="258"/>
      <c r="DT142" s="269"/>
      <c r="DU142" s="268"/>
      <c r="DV142" s="258"/>
      <c r="DW142" s="258"/>
      <c r="DX142" s="258"/>
      <c r="DY142" s="269"/>
      <c r="DZ142" s="268"/>
      <c r="EA142" s="258"/>
      <c r="EB142" s="258"/>
      <c r="EC142" s="258"/>
      <c r="ED142" s="269"/>
    </row>
    <row r="143" spans="1:134" ht="13.5" customHeight="1" x14ac:dyDescent="0.3">
      <c r="A143" s="154">
        <v>17</v>
      </c>
      <c r="B143" s="60" t="s">
        <v>178</v>
      </c>
      <c r="C143" s="45" t="s">
        <v>133</v>
      </c>
      <c r="D143" s="277" t="s">
        <v>178</v>
      </c>
      <c r="E143" s="162">
        <f>'FBMS-HND LEVEL TWO'!E28</f>
        <v>8</v>
      </c>
      <c r="F143" s="157">
        <f>'FBMS-HND LEVEL TWO'!F28</f>
        <v>21</v>
      </c>
      <c r="G143" s="157">
        <f>'FBMS-HND LEVEL TWO'!J28</f>
        <v>32</v>
      </c>
      <c r="H143" s="158">
        <f>'FBMS-HND LEVEL TWO'!K28</f>
        <v>61</v>
      </c>
      <c r="I143" s="163" t="str">
        <f>'FBMS-HND LEVEL TWO'!L28</f>
        <v>B</v>
      </c>
      <c r="J143" s="164">
        <f>'FBMS-HND LEVEL TWO'!E97</f>
        <v>10</v>
      </c>
      <c r="K143" s="157">
        <f>'FBMS-HND LEVEL TWO'!F97</f>
        <v>24</v>
      </c>
      <c r="L143" s="157">
        <f>'FBMS-HND LEVEL TWO'!J97</f>
        <v>38</v>
      </c>
      <c r="M143" s="157">
        <f>'FBMS-HND LEVEL TWO'!K97</f>
        <v>72</v>
      </c>
      <c r="N143" s="165" t="str">
        <f>'FBMS-HND LEVEL TWO'!L97</f>
        <v>B+</v>
      </c>
      <c r="O143" s="166">
        <f>'FBMS-HND LEVEL TWO'!E166</f>
        <v>9</v>
      </c>
      <c r="P143" s="157">
        <f>'FBMS-HND LEVEL TWO'!F166</f>
        <v>24</v>
      </c>
      <c r="Q143" s="157">
        <f>'FBMS-HND LEVEL TWO'!J166</f>
        <v>35</v>
      </c>
      <c r="R143" s="157">
        <f>'FBMS-HND LEVEL TWO'!K166</f>
        <v>68</v>
      </c>
      <c r="S143" s="163" t="str">
        <f>'FBMS-HND LEVEL TWO'!L166</f>
        <v>B</v>
      </c>
      <c r="T143" s="164">
        <f>'FBMS-HND LEVEL TWO'!E238</f>
        <v>10</v>
      </c>
      <c r="U143" s="157">
        <f>'FBMS-HND LEVEL TWO'!F238</f>
        <v>25</v>
      </c>
      <c r="V143" s="157">
        <f>'FBMS-HND LEVEL TWO'!J238</f>
        <v>46</v>
      </c>
      <c r="W143" s="157">
        <f>'FBMS-HND LEVEL TWO'!K238</f>
        <v>81</v>
      </c>
      <c r="X143" s="165" t="str">
        <f>'FBMS-HND LEVEL TWO'!L238</f>
        <v>A</v>
      </c>
      <c r="Y143" s="166">
        <f>'FBMS-HND LEVEL TWO'!E312</f>
        <v>10</v>
      </c>
      <c r="Z143" s="157">
        <f>'FBMS-HND LEVEL TWO'!F312</f>
        <v>20</v>
      </c>
      <c r="AA143" s="157">
        <f>'FBMS-HND LEVEL TWO'!J312</f>
        <v>26</v>
      </c>
      <c r="AB143" s="157">
        <f>'FBMS-HND LEVEL TWO'!K312</f>
        <v>56</v>
      </c>
      <c r="AC143" s="157" t="str">
        <f>'FBMS-HND LEVEL TWO'!L312</f>
        <v>C+</v>
      </c>
      <c r="AD143" s="164">
        <f>'FBMS-HND LEVEL TWO'!E387</f>
        <v>10</v>
      </c>
      <c r="AE143" s="157">
        <f>'FBMS-HND LEVEL TWO'!F387</f>
        <v>23</v>
      </c>
      <c r="AF143" s="157">
        <f>'FBMS-HND LEVEL TWO'!J387</f>
        <v>36</v>
      </c>
      <c r="AG143" s="157">
        <f>'FBMS-HND LEVEL TWO'!K387</f>
        <v>69</v>
      </c>
      <c r="AH143" s="165" t="str">
        <f>'FBMS-HND LEVEL TWO'!L387</f>
        <v>B</v>
      </c>
      <c r="AI143" s="266">
        <f>'FBMS-HND LEVEL TWO'!E438</f>
        <v>10</v>
      </c>
      <c r="AJ143" s="258">
        <f>'FBMS-HND LEVEL TWO'!F438</f>
        <v>22.5</v>
      </c>
      <c r="AK143" s="258">
        <f>'FBMS-HND LEVEL TWO'!J438</f>
        <v>50</v>
      </c>
      <c r="AL143" s="259">
        <f>'FBMS-HND LEVEL TWO'!K438</f>
        <v>82.5</v>
      </c>
      <c r="AM143" s="267" t="str">
        <f>'FBMS-HND LEVEL TWO'!L438</f>
        <v>A</v>
      </c>
      <c r="AN143" s="268">
        <f>'FBMS-HND LEVEL TWO'!E513</f>
        <v>10</v>
      </c>
      <c r="AO143" s="258">
        <f>'FBMS-HND LEVEL TWO'!F513</f>
        <v>21</v>
      </c>
      <c r="AP143" s="258">
        <f>'FBMS-HND LEVEL TWO'!J513</f>
        <v>51</v>
      </c>
      <c r="AQ143" s="258">
        <f>'FBMS-HND LEVEL TWO'!K513</f>
        <v>82</v>
      </c>
      <c r="AR143" s="269" t="str">
        <f>'FBMS-HND LEVEL TWO'!L513</f>
        <v>A</v>
      </c>
      <c r="AS143" s="273">
        <f>'FBMS-HND LEVEL TWO'!E591</f>
        <v>10</v>
      </c>
      <c r="AT143" s="258">
        <f>'FBMS-HND LEVEL TWO'!F591</f>
        <v>23</v>
      </c>
      <c r="AU143" s="258">
        <f>'FBMS-HND LEVEL TWO'!J591</f>
        <v>54</v>
      </c>
      <c r="AV143" s="258">
        <f>'FBMS-HND LEVEL TWO'!K591</f>
        <v>87</v>
      </c>
      <c r="AW143" s="267" t="str">
        <f>'FBMS-HND LEVEL TWO'!L591</f>
        <v>A</v>
      </c>
      <c r="AX143" s="271">
        <f>'FBMS-HND LEVEL TWO'!E664</f>
        <v>8</v>
      </c>
      <c r="AY143" s="272">
        <f>'FBMS-HND LEVEL TWO'!F664</f>
        <v>18</v>
      </c>
      <c r="AZ143" s="258">
        <f>'FBMS-HND LEVEL TWO'!J664</f>
        <v>44</v>
      </c>
      <c r="BA143" s="258">
        <f>'FBMS-HND LEVEL TWO'!K664</f>
        <v>70</v>
      </c>
      <c r="BB143" s="269" t="str">
        <f>'FBMS-HND LEVEL TWO'!L664</f>
        <v>B+</v>
      </c>
      <c r="BC143" s="270">
        <f>'FBMS-HND LEVEL TWO'!E716</f>
        <v>10</v>
      </c>
      <c r="BD143" s="258">
        <f>'FBMS-HND LEVEL TWO'!F716</f>
        <v>21</v>
      </c>
      <c r="BE143" s="258">
        <f>'FBMS-HND LEVEL TWO'!J716</f>
        <v>35</v>
      </c>
      <c r="BF143" s="258">
        <f>'FBMS-HND LEVEL TWO'!K716</f>
        <v>66</v>
      </c>
      <c r="BG143" s="258" t="str">
        <f>'FBMS-HND LEVEL TWO'!L716</f>
        <v>B</v>
      </c>
      <c r="BH143" s="271">
        <f>'FBMS-HND LEVEL TWO'!E770</f>
        <v>8</v>
      </c>
      <c r="BI143" s="272">
        <f>'FBMS-HND LEVEL TWO'!F770</f>
        <v>20</v>
      </c>
      <c r="BJ143" s="258">
        <f>'FBMS-HND LEVEL TWO'!J770</f>
        <v>40</v>
      </c>
      <c r="BK143" s="258">
        <f>'FBMS-HND LEVEL TWO'!K770</f>
        <v>68</v>
      </c>
      <c r="BL143" s="269" t="str">
        <f>'FBMS-HND LEVEL TWO'!L770</f>
        <v>B</v>
      </c>
      <c r="BM143" s="268">
        <f>'FBMS-HND LEVEL TWO'!E814</f>
        <v>9</v>
      </c>
      <c r="BN143" s="258">
        <f>'FBMS-HND LEVEL TWO'!F814</f>
        <v>26</v>
      </c>
      <c r="BO143" s="258">
        <f>'FBMS-HND LEVEL TWO'!J814</f>
        <v>40</v>
      </c>
      <c r="BP143" s="258">
        <f>'FBMS-HND LEVEL TWO'!K814</f>
        <v>75</v>
      </c>
      <c r="BQ143" s="269" t="str">
        <f>'FBMS-HND LEVEL TWO'!L814</f>
        <v>B+</v>
      </c>
      <c r="BR143" s="268">
        <f>'FBMS-HND LEVEL TWO'!E855</f>
        <v>10</v>
      </c>
      <c r="BS143" s="258">
        <f>'FBMS-HND LEVEL TWO'!F855</f>
        <v>23</v>
      </c>
      <c r="BT143" s="258">
        <f>'FBMS-HND LEVEL TWO'!J855</f>
        <v>49</v>
      </c>
      <c r="BU143" s="258">
        <f>'FBMS-HND LEVEL TWO'!K855</f>
        <v>82</v>
      </c>
      <c r="BV143" s="269" t="str">
        <f>'FBMS-HND LEVEL TWO'!L855</f>
        <v>A</v>
      </c>
      <c r="BW143" s="270"/>
      <c r="BX143" s="258"/>
      <c r="BY143" s="258"/>
      <c r="BZ143" s="258"/>
      <c r="CA143" s="267"/>
      <c r="CB143" s="268"/>
      <c r="CC143" s="258"/>
      <c r="CD143" s="258"/>
      <c r="CE143" s="258"/>
      <c r="CF143" s="269"/>
      <c r="CG143" s="270"/>
      <c r="CH143" s="258"/>
      <c r="CI143" s="258"/>
      <c r="CJ143" s="258"/>
      <c r="CK143" s="258"/>
      <c r="CL143" s="268"/>
      <c r="CM143" s="258"/>
      <c r="CN143" s="258"/>
      <c r="CO143" s="258"/>
      <c r="CP143" s="269"/>
      <c r="CQ143" s="266"/>
      <c r="CR143" s="258"/>
      <c r="CS143" s="258"/>
      <c r="CT143" s="259"/>
      <c r="CU143" s="267"/>
      <c r="CV143" s="268"/>
      <c r="CW143" s="258"/>
      <c r="CX143" s="258"/>
      <c r="CY143" s="258"/>
      <c r="CZ143" s="269"/>
      <c r="DA143" s="268"/>
      <c r="DB143" s="258"/>
      <c r="DC143" s="258"/>
      <c r="DD143" s="258"/>
      <c r="DE143" s="269"/>
      <c r="DF143" s="268"/>
      <c r="DG143" s="258"/>
      <c r="DH143" s="258"/>
      <c r="DI143" s="258"/>
      <c r="DJ143" s="269"/>
      <c r="DK143" s="268"/>
      <c r="DL143" s="258"/>
      <c r="DM143" s="258"/>
      <c r="DN143" s="258"/>
      <c r="DO143" s="269"/>
      <c r="DP143" s="268"/>
      <c r="DQ143" s="258"/>
      <c r="DR143" s="258"/>
      <c r="DS143" s="258"/>
      <c r="DT143" s="269"/>
      <c r="DU143" s="268"/>
      <c r="DV143" s="258"/>
      <c r="DW143" s="258"/>
      <c r="DX143" s="258"/>
      <c r="DY143" s="269"/>
      <c r="DZ143" s="268"/>
      <c r="EA143" s="258"/>
      <c r="EB143" s="258"/>
      <c r="EC143" s="258"/>
      <c r="ED143" s="269"/>
    </row>
    <row r="144" spans="1:134" ht="15.75" customHeight="1" x14ac:dyDescent="0.3">
      <c r="A144" s="161">
        <v>18</v>
      </c>
      <c r="B144" s="12" t="s">
        <v>534</v>
      </c>
      <c r="C144" s="303" t="s">
        <v>363</v>
      </c>
      <c r="D144" s="45" t="s">
        <v>534</v>
      </c>
      <c r="E144" s="162">
        <f>'FBMS-HND LEVEL TWO'!E29</f>
        <v>0</v>
      </c>
      <c r="F144" s="157">
        <f>'FBMS-HND LEVEL TWO'!F29</f>
        <v>0</v>
      </c>
      <c r="G144" s="157">
        <f>'FBMS-HND LEVEL TWO'!J29</f>
        <v>11</v>
      </c>
      <c r="H144" s="158">
        <f>'FBMS-HND LEVEL TWO'!K29</f>
        <v>11</v>
      </c>
      <c r="I144" s="163" t="str">
        <f>'FBMS-HND LEVEL TWO'!L29</f>
        <v>F</v>
      </c>
      <c r="J144" s="164">
        <f>'FBMS-HND LEVEL TWO'!E98</f>
        <v>7.5</v>
      </c>
      <c r="K144" s="157">
        <f>'FBMS-HND LEVEL TWO'!F98</f>
        <v>24</v>
      </c>
      <c r="L144" s="157">
        <f>'FBMS-HND LEVEL TWO'!J98</f>
        <v>29</v>
      </c>
      <c r="M144" s="157">
        <f>'FBMS-HND LEVEL TWO'!K98</f>
        <v>60.5</v>
      </c>
      <c r="N144" s="165" t="str">
        <f>'FBMS-HND LEVEL TWO'!L98</f>
        <v>B</v>
      </c>
      <c r="O144" s="166">
        <f>'FBMS-HND LEVEL TWO'!E167</f>
        <v>7.5</v>
      </c>
      <c r="P144" s="157">
        <f>'FBMS-HND LEVEL TWO'!F167</f>
        <v>12.5</v>
      </c>
      <c r="Q144" s="157">
        <f>'FBMS-HND LEVEL TWO'!J167</f>
        <v>30</v>
      </c>
      <c r="R144" s="157">
        <f>'FBMS-HND LEVEL TWO'!K167</f>
        <v>50</v>
      </c>
      <c r="S144" s="163" t="str">
        <f>'FBMS-HND LEVEL TWO'!L167</f>
        <v>C</v>
      </c>
      <c r="T144" s="164">
        <f>'FBMS-HND LEVEL TWO'!E239</f>
        <v>4</v>
      </c>
      <c r="U144" s="157">
        <f>'FBMS-HND LEVEL TWO'!F239</f>
        <v>15</v>
      </c>
      <c r="V144" s="157">
        <f>'FBMS-HND LEVEL TWO'!J239</f>
        <v>2</v>
      </c>
      <c r="W144" s="157">
        <f>'FBMS-HND LEVEL TWO'!K239</f>
        <v>21</v>
      </c>
      <c r="X144" s="165" t="str">
        <f>'FBMS-HND LEVEL TWO'!L239</f>
        <v>F</v>
      </c>
      <c r="Y144" s="166">
        <f>'FBMS-HND LEVEL TWO'!E313</f>
        <v>1</v>
      </c>
      <c r="Z144" s="157">
        <f>'FBMS-HND LEVEL TWO'!F313</f>
        <v>0</v>
      </c>
      <c r="AA144" s="157">
        <f>'FBMS-HND LEVEL TWO'!J313</f>
        <v>29</v>
      </c>
      <c r="AB144" s="157">
        <f>'FBMS-HND LEVEL TWO'!K313</f>
        <v>30</v>
      </c>
      <c r="AC144" s="157" t="str">
        <f>'FBMS-HND LEVEL TWO'!L313</f>
        <v>F</v>
      </c>
      <c r="AD144" s="164">
        <f>'FBMS-HND LEVEL TWO'!E388</f>
        <v>8</v>
      </c>
      <c r="AE144" s="157">
        <f>'FBMS-HND LEVEL TWO'!F388</f>
        <v>20</v>
      </c>
      <c r="AF144" s="157">
        <f>'FBMS-HND LEVEL TWO'!J388</f>
        <v>12</v>
      </c>
      <c r="AG144" s="157">
        <f>'FBMS-HND LEVEL TWO'!K388</f>
        <v>40</v>
      </c>
      <c r="AH144" s="165" t="str">
        <f>'FBMS-HND LEVEL TWO'!L388</f>
        <v>D</v>
      </c>
      <c r="AI144" s="266">
        <f>'FBMS-HND LEVEL TWO'!E439</f>
        <v>0</v>
      </c>
      <c r="AJ144" s="258">
        <f>'FBMS-HND LEVEL TWO'!F439</f>
        <v>0</v>
      </c>
      <c r="AK144" s="258">
        <f>'FBMS-HND LEVEL TWO'!J439</f>
        <v>0</v>
      </c>
      <c r="AL144" s="259">
        <f>'FBMS-HND LEVEL TWO'!K439</f>
        <v>0</v>
      </c>
      <c r="AM144" s="267">
        <f>'FBMS-HND LEVEL TWO'!L439</f>
        <v>0</v>
      </c>
      <c r="AN144" s="268">
        <f>'FBMS-HND LEVEL TWO'!E514</f>
        <v>7.5</v>
      </c>
      <c r="AO144" s="258">
        <f>'FBMS-HND LEVEL TWO'!F514</f>
        <v>10</v>
      </c>
      <c r="AP144" s="258">
        <f>'FBMS-HND LEVEL TWO'!J514</f>
        <v>2</v>
      </c>
      <c r="AQ144" s="258">
        <f>'FBMS-HND LEVEL TWO'!K514</f>
        <v>19.5</v>
      </c>
      <c r="AR144" s="269" t="str">
        <f>'FBMS-HND LEVEL TWO'!L514</f>
        <v>F</v>
      </c>
      <c r="AS144" s="270">
        <f>'FBMS-HND LEVEL TWO'!E592</f>
        <v>4</v>
      </c>
      <c r="AT144" s="258">
        <f>'FBMS-HND LEVEL TWO'!F592</f>
        <v>6</v>
      </c>
      <c r="AU144" s="258">
        <f>'FBMS-HND LEVEL TWO'!J592</f>
        <v>30</v>
      </c>
      <c r="AV144" s="258">
        <f>'FBMS-HND LEVEL TWO'!K592</f>
        <v>40</v>
      </c>
      <c r="AW144" s="267" t="str">
        <f>'FBMS-HND LEVEL TWO'!L592</f>
        <v>D</v>
      </c>
      <c r="AX144" s="271">
        <f>'FBMS-HND LEVEL TWO'!E665</f>
        <v>8</v>
      </c>
      <c r="AY144" s="272">
        <f>'FBMS-HND LEVEL TWO'!F665</f>
        <v>24</v>
      </c>
      <c r="AZ144" s="258">
        <f>'FBMS-HND LEVEL TWO'!J665</f>
        <v>3</v>
      </c>
      <c r="BA144" s="258">
        <f>'FBMS-HND LEVEL TWO'!K665</f>
        <v>35</v>
      </c>
      <c r="BB144" s="269" t="str">
        <f>'FBMS-HND LEVEL TWO'!L665</f>
        <v>F</v>
      </c>
      <c r="BC144" s="270">
        <f>'FBMS-HND LEVEL TWO'!E717</f>
        <v>7.5</v>
      </c>
      <c r="BD144" s="258">
        <f>'FBMS-HND LEVEL TWO'!F717</f>
        <v>20</v>
      </c>
      <c r="BE144" s="258">
        <f>'FBMS-HND LEVEL TWO'!J717</f>
        <v>24</v>
      </c>
      <c r="BF144" s="258">
        <f>'FBMS-HND LEVEL TWO'!K717</f>
        <v>51.5</v>
      </c>
      <c r="BG144" s="258" t="str">
        <f>'FBMS-HND LEVEL TWO'!L717</f>
        <v>C</v>
      </c>
      <c r="BH144" s="271">
        <f>'FBMS-HND LEVEL TWO'!E771</f>
        <v>8</v>
      </c>
      <c r="BI144" s="272">
        <f>'FBMS-HND LEVEL TWO'!F771</f>
        <v>20</v>
      </c>
      <c r="BJ144" s="258" t="str">
        <f>'FBMS-HND LEVEL TWO'!J771</f>
        <v>ABS</v>
      </c>
      <c r="BK144" s="258">
        <f>'FBMS-HND LEVEL TWO'!K771</f>
        <v>0</v>
      </c>
      <c r="BL144" s="269">
        <f>'FBMS-HND LEVEL TWO'!L771</f>
        <v>0</v>
      </c>
      <c r="BM144" s="268">
        <f>'FBMS-HND LEVEL TWO'!E815</f>
        <v>8</v>
      </c>
      <c r="BN144" s="258">
        <f>'FBMS-HND LEVEL TWO'!F815</f>
        <v>0</v>
      </c>
      <c r="BO144" s="258">
        <f>'FBMS-HND LEVEL TWO'!J815</f>
        <v>20</v>
      </c>
      <c r="BP144" s="258">
        <f>'FBMS-HND LEVEL TWO'!K815</f>
        <v>28</v>
      </c>
      <c r="BQ144" s="269" t="str">
        <f>'FBMS-HND LEVEL TWO'!L815</f>
        <v>F</v>
      </c>
      <c r="BR144" s="268">
        <f>'FBMS-HND LEVEL TWO'!E856</f>
        <v>10</v>
      </c>
      <c r="BS144" s="258">
        <f>'FBMS-HND LEVEL TWO'!F856</f>
        <v>20</v>
      </c>
      <c r="BT144" s="258">
        <f>'FBMS-HND LEVEL TWO'!J856</f>
        <v>8</v>
      </c>
      <c r="BU144" s="258">
        <f>'FBMS-HND LEVEL TWO'!K856</f>
        <v>38</v>
      </c>
      <c r="BV144" s="269" t="str">
        <f>'FBMS-HND LEVEL TWO'!L856</f>
        <v>F</v>
      </c>
      <c r="BW144" s="270"/>
      <c r="BX144" s="258"/>
      <c r="BY144" s="258"/>
      <c r="BZ144" s="258"/>
      <c r="CA144" s="267"/>
      <c r="CB144" s="268"/>
      <c r="CC144" s="258"/>
      <c r="CD144" s="258"/>
      <c r="CE144" s="258"/>
      <c r="CF144" s="269"/>
      <c r="CG144" s="270"/>
      <c r="CH144" s="258"/>
      <c r="CI144" s="258"/>
      <c r="CJ144" s="258"/>
      <c r="CK144" s="258"/>
      <c r="CL144" s="268"/>
      <c r="CM144" s="258"/>
      <c r="CN144" s="258"/>
      <c r="CO144" s="258"/>
      <c r="CP144" s="269"/>
      <c r="CQ144" s="266"/>
      <c r="CR144" s="258"/>
      <c r="CS144" s="258"/>
      <c r="CT144" s="259"/>
      <c r="CU144" s="267"/>
      <c r="CV144" s="268"/>
      <c r="CW144" s="258"/>
      <c r="CX144" s="258"/>
      <c r="CY144" s="258"/>
      <c r="CZ144" s="269"/>
      <c r="DA144" s="268"/>
      <c r="DB144" s="258"/>
      <c r="DC144" s="258"/>
      <c r="DD144" s="258"/>
      <c r="DE144" s="269"/>
      <c r="DF144" s="268"/>
      <c r="DG144" s="258"/>
      <c r="DH144" s="258"/>
      <c r="DI144" s="258"/>
      <c r="DJ144" s="269"/>
      <c r="DK144" s="268"/>
      <c r="DL144" s="258"/>
      <c r="DM144" s="258"/>
      <c r="DN144" s="258"/>
      <c r="DO144" s="269"/>
      <c r="DP144" s="268"/>
      <c r="DQ144" s="258"/>
      <c r="DR144" s="258"/>
      <c r="DS144" s="258"/>
      <c r="DT144" s="269"/>
      <c r="DU144" s="268"/>
      <c r="DV144" s="258"/>
      <c r="DW144" s="258"/>
      <c r="DX144" s="258"/>
      <c r="DY144" s="269"/>
      <c r="DZ144" s="268"/>
      <c r="EA144" s="258"/>
      <c r="EB144" s="258"/>
      <c r="EC144" s="258"/>
      <c r="ED144" s="269"/>
    </row>
    <row r="145" spans="1:134" ht="18.75" customHeight="1" x14ac:dyDescent="0.3">
      <c r="A145" s="154">
        <v>19</v>
      </c>
      <c r="B145" s="63" t="s">
        <v>144</v>
      </c>
      <c r="C145" s="304" t="s">
        <v>137</v>
      </c>
      <c r="D145" s="389" t="s">
        <v>144</v>
      </c>
      <c r="E145" s="162">
        <f>'FBMS-HND LEVEL TWO'!E30</f>
        <v>0</v>
      </c>
      <c r="F145" s="157">
        <f>'FBMS-HND LEVEL TWO'!F30</f>
        <v>0</v>
      </c>
      <c r="G145" s="157">
        <f>'FBMS-HND LEVEL TWO'!J30</f>
        <v>33</v>
      </c>
      <c r="H145" s="158">
        <f>'FBMS-HND LEVEL TWO'!K30</f>
        <v>33</v>
      </c>
      <c r="I145" s="163" t="str">
        <f>'FBMS-HND LEVEL TWO'!L30</f>
        <v>F</v>
      </c>
      <c r="J145" s="164">
        <f>'FBMS-HND LEVEL TWO'!E99</f>
        <v>7.5</v>
      </c>
      <c r="K145" s="157">
        <f>'FBMS-HND LEVEL TWO'!F99</f>
        <v>22</v>
      </c>
      <c r="L145" s="157">
        <f>'FBMS-HND LEVEL TWO'!J99</f>
        <v>34</v>
      </c>
      <c r="M145" s="157">
        <f>'FBMS-HND LEVEL TWO'!K99</f>
        <v>63.5</v>
      </c>
      <c r="N145" s="165" t="str">
        <f>'FBMS-HND LEVEL TWO'!L99</f>
        <v>B</v>
      </c>
      <c r="O145" s="166">
        <f>'FBMS-HND LEVEL TWO'!E168</f>
        <v>9</v>
      </c>
      <c r="P145" s="157">
        <f>'FBMS-HND LEVEL TWO'!F168</f>
        <v>24</v>
      </c>
      <c r="Q145" s="157">
        <f>'FBMS-HND LEVEL TWO'!J168</f>
        <v>30</v>
      </c>
      <c r="R145" s="157">
        <f>'FBMS-HND LEVEL TWO'!K168</f>
        <v>63</v>
      </c>
      <c r="S145" s="163" t="str">
        <f>'FBMS-HND LEVEL TWO'!L168</f>
        <v>B</v>
      </c>
      <c r="T145" s="164">
        <f>'FBMS-HND LEVEL TWO'!E240</f>
        <v>8</v>
      </c>
      <c r="U145" s="157">
        <f>'FBMS-HND LEVEL TWO'!F240</f>
        <v>18</v>
      </c>
      <c r="V145" s="157">
        <f>'FBMS-HND LEVEL TWO'!J240</f>
        <v>18</v>
      </c>
      <c r="W145" s="157">
        <f>'FBMS-HND LEVEL TWO'!K240</f>
        <v>44</v>
      </c>
      <c r="X145" s="165" t="str">
        <f>'FBMS-HND LEVEL TWO'!L240</f>
        <v>D</v>
      </c>
      <c r="Y145" s="166">
        <f>'FBMS-HND LEVEL TWO'!E314</f>
        <v>8</v>
      </c>
      <c r="Z145" s="157">
        <f>'FBMS-HND LEVEL TWO'!F314</f>
        <v>17</v>
      </c>
      <c r="AA145" s="157">
        <f>'FBMS-HND LEVEL TWO'!J314</f>
        <v>31</v>
      </c>
      <c r="AB145" s="157">
        <f>'FBMS-HND LEVEL TWO'!K314</f>
        <v>56</v>
      </c>
      <c r="AC145" s="157" t="str">
        <f>'FBMS-HND LEVEL TWO'!L314</f>
        <v>C+</v>
      </c>
      <c r="AD145" s="164">
        <f>'FBMS-HND LEVEL TWO'!E389</f>
        <v>0</v>
      </c>
      <c r="AE145" s="157">
        <f>'FBMS-HND LEVEL TWO'!F389</f>
        <v>0</v>
      </c>
      <c r="AF145" s="157">
        <f>'FBMS-HND LEVEL TWO'!J389</f>
        <v>0</v>
      </c>
      <c r="AG145" s="157">
        <f>'FBMS-HND LEVEL TWO'!K389</f>
        <v>0</v>
      </c>
      <c r="AH145" s="165">
        <f>'FBMS-HND LEVEL TWO'!L389</f>
        <v>0</v>
      </c>
      <c r="AI145" s="266">
        <f>'FBMS-HND LEVEL TWO'!E440</f>
        <v>4</v>
      </c>
      <c r="AJ145" s="258">
        <f>'FBMS-HND LEVEL TWO'!F440</f>
        <v>5</v>
      </c>
      <c r="AK145" s="258">
        <f>'FBMS-HND LEVEL TWO'!J440</f>
        <v>42</v>
      </c>
      <c r="AL145" s="259">
        <f>'FBMS-HND LEVEL TWO'!K440</f>
        <v>51</v>
      </c>
      <c r="AM145" s="267" t="str">
        <f>'FBMS-HND LEVEL TWO'!L440</f>
        <v>C</v>
      </c>
      <c r="AN145" s="268">
        <f>'FBMS-HND LEVEL TWO'!E515</f>
        <v>9</v>
      </c>
      <c r="AO145" s="258">
        <f>'FBMS-HND LEVEL TWO'!F515</f>
        <v>17</v>
      </c>
      <c r="AP145" s="258">
        <f>'FBMS-HND LEVEL TWO'!J515</f>
        <v>20</v>
      </c>
      <c r="AQ145" s="258">
        <f>'FBMS-HND LEVEL TWO'!K515</f>
        <v>46</v>
      </c>
      <c r="AR145" s="269" t="str">
        <f>'FBMS-HND LEVEL TWO'!L515</f>
        <v>D+</v>
      </c>
      <c r="AS145" s="273">
        <f>'FBMS-HND LEVEL TWO'!E593</f>
        <v>7.5</v>
      </c>
      <c r="AT145" s="258">
        <f>'FBMS-HND LEVEL TWO'!F593</f>
        <v>23</v>
      </c>
      <c r="AU145" s="258">
        <f>'FBMS-HND LEVEL TWO'!J593</f>
        <v>50</v>
      </c>
      <c r="AV145" s="258">
        <f>'FBMS-HND LEVEL TWO'!K593</f>
        <v>80.5</v>
      </c>
      <c r="AW145" s="267" t="str">
        <f>'FBMS-HND LEVEL TWO'!L593</f>
        <v>A</v>
      </c>
      <c r="AX145" s="271">
        <f>'FBMS-HND LEVEL TWO'!E666</f>
        <v>5</v>
      </c>
      <c r="AY145" s="272">
        <f>'FBMS-HND LEVEL TWO'!F666</f>
        <v>11</v>
      </c>
      <c r="AZ145" s="258">
        <f>'FBMS-HND LEVEL TWO'!J666</f>
        <v>22</v>
      </c>
      <c r="BA145" s="258">
        <f>'FBMS-HND LEVEL TWO'!K666</f>
        <v>38</v>
      </c>
      <c r="BB145" s="269" t="str">
        <f>'FBMS-HND LEVEL TWO'!L666</f>
        <v>F</v>
      </c>
      <c r="BC145" s="270">
        <f>'FBMS-HND LEVEL TWO'!E718</f>
        <v>7.5</v>
      </c>
      <c r="BD145" s="258">
        <f>'FBMS-HND LEVEL TWO'!F718</f>
        <v>15</v>
      </c>
      <c r="BE145" s="258">
        <f>'FBMS-HND LEVEL TWO'!J718</f>
        <v>5</v>
      </c>
      <c r="BF145" s="258">
        <f>'FBMS-HND LEVEL TWO'!K718</f>
        <v>27.5</v>
      </c>
      <c r="BG145" s="258" t="str">
        <f>'FBMS-HND LEVEL TWO'!L718</f>
        <v>F</v>
      </c>
      <c r="BH145" s="271">
        <f>'FBMS-HND LEVEL TWO'!E772</f>
        <v>7.5</v>
      </c>
      <c r="BI145" s="272">
        <f>'FBMS-HND LEVEL TWO'!F772</f>
        <v>20</v>
      </c>
      <c r="BJ145" s="258" t="str">
        <f>'FBMS-HND LEVEL TWO'!J772</f>
        <v>ABS</v>
      </c>
      <c r="BK145" s="258">
        <f>'FBMS-HND LEVEL TWO'!K772</f>
        <v>0</v>
      </c>
      <c r="BL145" s="269">
        <f>'FBMS-HND LEVEL TWO'!L772</f>
        <v>0</v>
      </c>
      <c r="BM145" s="268">
        <f>'FBMS-HND LEVEL TWO'!E816</f>
        <v>8</v>
      </c>
      <c r="BN145" s="258">
        <f>'FBMS-HND LEVEL TWO'!F816</f>
        <v>17</v>
      </c>
      <c r="BO145" s="258">
        <f>'FBMS-HND LEVEL TWO'!J816</f>
        <v>20</v>
      </c>
      <c r="BP145" s="258">
        <f>'FBMS-HND LEVEL TWO'!K816</f>
        <v>45</v>
      </c>
      <c r="BQ145" s="269" t="str">
        <f>'FBMS-HND LEVEL TWO'!L816</f>
        <v>D+</v>
      </c>
      <c r="BR145" s="268">
        <f>'FBMS-HND LEVEL TWO'!E857</f>
        <v>10</v>
      </c>
      <c r="BS145" s="258">
        <f>'FBMS-HND LEVEL TWO'!F857</f>
        <v>23</v>
      </c>
      <c r="BT145" s="258">
        <f>'FBMS-HND LEVEL TWO'!J857</f>
        <v>20</v>
      </c>
      <c r="BU145" s="258">
        <f>'FBMS-HND LEVEL TWO'!K857</f>
        <v>53</v>
      </c>
      <c r="BV145" s="269" t="str">
        <f>'FBMS-HND LEVEL TWO'!L857</f>
        <v>C</v>
      </c>
      <c r="BW145" s="270"/>
      <c r="BX145" s="258"/>
      <c r="BY145" s="258"/>
      <c r="BZ145" s="258"/>
      <c r="CA145" s="267"/>
      <c r="CB145" s="268"/>
      <c r="CC145" s="258"/>
      <c r="CD145" s="258"/>
      <c r="CE145" s="258"/>
      <c r="CF145" s="269"/>
      <c r="CG145" s="270"/>
      <c r="CH145" s="258"/>
      <c r="CI145" s="258"/>
      <c r="CJ145" s="258"/>
      <c r="CK145" s="258"/>
      <c r="CL145" s="268"/>
      <c r="CM145" s="258"/>
      <c r="CN145" s="258"/>
      <c r="CO145" s="258"/>
      <c r="CP145" s="269"/>
      <c r="CQ145" s="266"/>
      <c r="CR145" s="258"/>
      <c r="CS145" s="258"/>
      <c r="CT145" s="259"/>
      <c r="CU145" s="267"/>
      <c r="CV145" s="268"/>
      <c r="CW145" s="258"/>
      <c r="CX145" s="258"/>
      <c r="CY145" s="258"/>
      <c r="CZ145" s="269"/>
      <c r="DA145" s="268"/>
      <c r="DB145" s="258"/>
      <c r="DC145" s="258"/>
      <c r="DD145" s="258"/>
      <c r="DE145" s="269"/>
      <c r="DF145" s="268"/>
      <c r="DG145" s="258"/>
      <c r="DH145" s="258"/>
      <c r="DI145" s="258"/>
      <c r="DJ145" s="269"/>
      <c r="DK145" s="268"/>
      <c r="DL145" s="258"/>
      <c r="DM145" s="258"/>
      <c r="DN145" s="258"/>
      <c r="DO145" s="269"/>
      <c r="DP145" s="268"/>
      <c r="DQ145" s="258"/>
      <c r="DR145" s="258"/>
      <c r="DS145" s="258"/>
      <c r="DT145" s="269"/>
      <c r="DU145" s="268"/>
      <c r="DV145" s="258"/>
      <c r="DW145" s="258"/>
      <c r="DX145" s="258"/>
      <c r="DY145" s="269"/>
      <c r="DZ145" s="268"/>
      <c r="EA145" s="258"/>
      <c r="EB145" s="258"/>
      <c r="EC145" s="258"/>
      <c r="ED145" s="269"/>
    </row>
    <row r="146" spans="1:134" ht="16.5" customHeight="1" x14ac:dyDescent="0.3">
      <c r="A146" s="161">
        <v>20</v>
      </c>
      <c r="B146" s="62" t="s">
        <v>204</v>
      </c>
      <c r="C146" s="390" t="s">
        <v>138</v>
      </c>
      <c r="D146" s="390" t="s">
        <v>204</v>
      </c>
      <c r="E146" s="162">
        <f>'FBMS-HND LEVEL TWO'!E31</f>
        <v>8</v>
      </c>
      <c r="F146" s="157">
        <f>'FBMS-HND LEVEL TWO'!F31</f>
        <v>30</v>
      </c>
      <c r="G146" s="157">
        <f>'FBMS-HND LEVEL TWO'!J31</f>
        <v>27</v>
      </c>
      <c r="H146" s="158">
        <f>'FBMS-HND LEVEL TWO'!K31</f>
        <v>65</v>
      </c>
      <c r="I146" s="163" t="str">
        <f>'FBMS-HND LEVEL TWO'!L31</f>
        <v>B</v>
      </c>
      <c r="J146" s="164">
        <f>'FBMS-HND LEVEL TWO'!E100</f>
        <v>10</v>
      </c>
      <c r="K146" s="157">
        <f>'FBMS-HND LEVEL TWO'!F100</f>
        <v>20</v>
      </c>
      <c r="L146" s="157">
        <f>'FBMS-HND LEVEL TWO'!J100</f>
        <v>33</v>
      </c>
      <c r="M146" s="157">
        <f>'FBMS-HND LEVEL TWO'!K100</f>
        <v>63</v>
      </c>
      <c r="N146" s="165" t="str">
        <f>'FBMS-HND LEVEL TWO'!L100</f>
        <v>B</v>
      </c>
      <c r="O146" s="166">
        <f>'FBMS-HND LEVEL TWO'!E169</f>
        <v>10</v>
      </c>
      <c r="P146" s="157">
        <f>'FBMS-HND LEVEL TWO'!F169</f>
        <v>21</v>
      </c>
      <c r="Q146" s="157">
        <f>'FBMS-HND LEVEL TWO'!J169</f>
        <v>40</v>
      </c>
      <c r="R146" s="157">
        <f>'FBMS-HND LEVEL TWO'!K169</f>
        <v>71</v>
      </c>
      <c r="S146" s="163" t="str">
        <f>'FBMS-HND LEVEL TWO'!L169</f>
        <v>B+</v>
      </c>
      <c r="T146" s="164">
        <f>'FBMS-HND LEVEL TWO'!E241</f>
        <v>10</v>
      </c>
      <c r="U146" s="157">
        <f>'FBMS-HND LEVEL TWO'!F241</f>
        <v>20</v>
      </c>
      <c r="V146" s="157">
        <f>'FBMS-HND LEVEL TWO'!J241</f>
        <v>36</v>
      </c>
      <c r="W146" s="157">
        <f>'FBMS-HND LEVEL TWO'!K241</f>
        <v>66</v>
      </c>
      <c r="X146" s="165" t="str">
        <f>'FBMS-HND LEVEL TWO'!L241</f>
        <v>B</v>
      </c>
      <c r="Y146" s="166">
        <f>'FBMS-HND LEVEL TWO'!E315</f>
        <v>8</v>
      </c>
      <c r="Z146" s="157">
        <f>'FBMS-HND LEVEL TWO'!F315</f>
        <v>24</v>
      </c>
      <c r="AA146" s="157">
        <f>'FBMS-HND LEVEL TWO'!J315</f>
        <v>30</v>
      </c>
      <c r="AB146" s="157">
        <f>'FBMS-HND LEVEL TWO'!K315</f>
        <v>62</v>
      </c>
      <c r="AC146" s="157" t="str">
        <f>'FBMS-HND LEVEL TWO'!L315</f>
        <v>B</v>
      </c>
      <c r="AD146" s="164">
        <f>'FBMS-HND LEVEL TWO'!E390</f>
        <v>10</v>
      </c>
      <c r="AE146" s="157">
        <f>'FBMS-HND LEVEL TWO'!F390</f>
        <v>24</v>
      </c>
      <c r="AF146" s="157">
        <f>'FBMS-HND LEVEL TWO'!J390</f>
        <v>42</v>
      </c>
      <c r="AG146" s="157">
        <f>'FBMS-HND LEVEL TWO'!K390</f>
        <v>76</v>
      </c>
      <c r="AH146" s="165" t="str">
        <f>'FBMS-HND LEVEL TWO'!L390</f>
        <v>B+</v>
      </c>
      <c r="AI146" s="266">
        <f>'FBMS-HND LEVEL TWO'!E441</f>
        <v>10</v>
      </c>
      <c r="AJ146" s="258">
        <f>'FBMS-HND LEVEL TWO'!F441</f>
        <v>19.5</v>
      </c>
      <c r="AK146" s="258">
        <f>'FBMS-HND LEVEL TWO'!J441</f>
        <v>43</v>
      </c>
      <c r="AL146" s="259">
        <f>'FBMS-HND LEVEL TWO'!K441</f>
        <v>72.5</v>
      </c>
      <c r="AM146" s="267" t="str">
        <f>'FBMS-HND LEVEL TWO'!L441</f>
        <v>B+</v>
      </c>
      <c r="AN146" s="268">
        <f>'FBMS-HND LEVEL TWO'!E516</f>
        <v>10</v>
      </c>
      <c r="AO146" s="258">
        <f>'FBMS-HND LEVEL TWO'!F516</f>
        <v>20</v>
      </c>
      <c r="AP146" s="258">
        <f>'FBMS-HND LEVEL TWO'!J516</f>
        <v>37</v>
      </c>
      <c r="AQ146" s="258">
        <f>'FBMS-HND LEVEL TWO'!K516</f>
        <v>67</v>
      </c>
      <c r="AR146" s="269" t="str">
        <f>'FBMS-HND LEVEL TWO'!L516</f>
        <v>B</v>
      </c>
      <c r="AS146" s="270">
        <f>'FBMS-HND LEVEL TWO'!E594</f>
        <v>10</v>
      </c>
      <c r="AT146" s="258">
        <f>'FBMS-HND LEVEL TWO'!F594</f>
        <v>24</v>
      </c>
      <c r="AU146" s="258">
        <f>'FBMS-HND LEVEL TWO'!J594</f>
        <v>58</v>
      </c>
      <c r="AV146" s="258">
        <f>'FBMS-HND LEVEL TWO'!K594</f>
        <v>92</v>
      </c>
      <c r="AW146" s="267" t="str">
        <f>'FBMS-HND LEVEL TWO'!L594</f>
        <v>A</v>
      </c>
      <c r="AX146" s="271">
        <f>'FBMS-HND LEVEL TWO'!E667</f>
        <v>8</v>
      </c>
      <c r="AY146" s="272">
        <f>'FBMS-HND LEVEL TWO'!F667</f>
        <v>18</v>
      </c>
      <c r="AZ146" s="258">
        <f>'FBMS-HND LEVEL TWO'!J667</f>
        <v>30</v>
      </c>
      <c r="BA146" s="258">
        <f>'FBMS-HND LEVEL TWO'!K667</f>
        <v>56</v>
      </c>
      <c r="BB146" s="269" t="str">
        <f>'FBMS-HND LEVEL TWO'!L667</f>
        <v>C+</v>
      </c>
      <c r="BC146" s="270">
        <f>'FBMS-HND LEVEL TWO'!E719</f>
        <v>10</v>
      </c>
      <c r="BD146" s="258">
        <f>'FBMS-HND LEVEL TWO'!F719</f>
        <v>16</v>
      </c>
      <c r="BE146" s="258">
        <f>'FBMS-HND LEVEL TWO'!J719</f>
        <v>34</v>
      </c>
      <c r="BF146" s="258">
        <f>'FBMS-HND LEVEL TWO'!K719</f>
        <v>60</v>
      </c>
      <c r="BG146" s="258" t="str">
        <f>'FBMS-HND LEVEL TWO'!L719</f>
        <v>B</v>
      </c>
      <c r="BH146" s="271">
        <f>'FBMS-HND LEVEL TWO'!E773</f>
        <v>10</v>
      </c>
      <c r="BI146" s="272">
        <f>'FBMS-HND LEVEL TWO'!F773</f>
        <v>25</v>
      </c>
      <c r="BJ146" s="258">
        <f>'FBMS-HND LEVEL TWO'!J773</f>
        <v>41</v>
      </c>
      <c r="BK146" s="258">
        <f>'FBMS-HND LEVEL TWO'!K773</f>
        <v>76</v>
      </c>
      <c r="BL146" s="269" t="str">
        <f>'FBMS-HND LEVEL TWO'!L773</f>
        <v>B+</v>
      </c>
      <c r="BM146" s="268">
        <f>'FBMS-HND LEVEL TWO'!E817</f>
        <v>8</v>
      </c>
      <c r="BN146" s="258">
        <f>'FBMS-HND LEVEL TWO'!F817</f>
        <v>27</v>
      </c>
      <c r="BO146" s="258">
        <f>'FBMS-HND LEVEL TWO'!J817</f>
        <v>40</v>
      </c>
      <c r="BP146" s="258">
        <f>'FBMS-HND LEVEL TWO'!K817</f>
        <v>75</v>
      </c>
      <c r="BQ146" s="269" t="str">
        <f>'FBMS-HND LEVEL TWO'!L817</f>
        <v>B+</v>
      </c>
      <c r="BR146" s="268">
        <f>'FBMS-HND LEVEL TWO'!E858</f>
        <v>10</v>
      </c>
      <c r="BS146" s="258">
        <f>'FBMS-HND LEVEL TWO'!F858</f>
        <v>21</v>
      </c>
      <c r="BT146" s="258">
        <f>'FBMS-HND LEVEL TWO'!J858</f>
        <v>42</v>
      </c>
      <c r="BU146" s="258">
        <f>'FBMS-HND LEVEL TWO'!K858</f>
        <v>73</v>
      </c>
      <c r="BV146" s="269" t="str">
        <f>'FBMS-HND LEVEL TWO'!L858</f>
        <v>B+</v>
      </c>
      <c r="BW146" s="270"/>
      <c r="BX146" s="258"/>
      <c r="BY146" s="258"/>
      <c r="BZ146" s="258"/>
      <c r="CA146" s="267"/>
      <c r="CB146" s="268"/>
      <c r="CC146" s="258"/>
      <c r="CD146" s="258"/>
      <c r="CE146" s="258"/>
      <c r="CF146" s="269"/>
      <c r="CG146" s="270"/>
      <c r="CH146" s="258"/>
      <c r="CI146" s="258"/>
      <c r="CJ146" s="258"/>
      <c r="CK146" s="258"/>
      <c r="CL146" s="268"/>
      <c r="CM146" s="258"/>
      <c r="CN146" s="258"/>
      <c r="CO146" s="258"/>
      <c r="CP146" s="269"/>
      <c r="CQ146" s="266"/>
      <c r="CR146" s="258"/>
      <c r="CS146" s="258"/>
      <c r="CT146" s="259"/>
      <c r="CU146" s="267"/>
      <c r="CV146" s="268"/>
      <c r="CW146" s="258"/>
      <c r="CX146" s="258"/>
      <c r="CY146" s="258"/>
      <c r="CZ146" s="269"/>
      <c r="DA146" s="268"/>
      <c r="DB146" s="258"/>
      <c r="DC146" s="258"/>
      <c r="DD146" s="258"/>
      <c r="DE146" s="269"/>
      <c r="DF146" s="268"/>
      <c r="DG146" s="258"/>
      <c r="DH146" s="258"/>
      <c r="DI146" s="258"/>
      <c r="DJ146" s="269"/>
      <c r="DK146" s="268"/>
      <c r="DL146" s="258"/>
      <c r="DM146" s="258"/>
      <c r="DN146" s="258"/>
      <c r="DO146" s="269"/>
      <c r="DP146" s="268"/>
      <c r="DQ146" s="258"/>
      <c r="DR146" s="258"/>
      <c r="DS146" s="258"/>
      <c r="DT146" s="269"/>
      <c r="DU146" s="268"/>
      <c r="DV146" s="258"/>
      <c r="DW146" s="258"/>
      <c r="DX146" s="258"/>
      <c r="DY146" s="269"/>
      <c r="DZ146" s="268"/>
      <c r="EA146" s="258"/>
      <c r="EB146" s="258"/>
      <c r="EC146" s="258"/>
      <c r="ED146" s="269"/>
    </row>
    <row r="147" spans="1:134" ht="15" customHeight="1" x14ac:dyDescent="0.3">
      <c r="A147" s="154">
        <v>21</v>
      </c>
      <c r="B147" s="305" t="s">
        <v>181</v>
      </c>
      <c r="C147" s="45" t="s">
        <v>139</v>
      </c>
      <c r="D147" s="305" t="s">
        <v>181</v>
      </c>
      <c r="E147" s="162">
        <f>'FBMS-HND LEVEL TWO'!E32</f>
        <v>8</v>
      </c>
      <c r="F147" s="157">
        <f>'FBMS-HND LEVEL TWO'!F32</f>
        <v>18</v>
      </c>
      <c r="G147" s="157">
        <f>'FBMS-HND LEVEL TWO'!J32</f>
        <v>27</v>
      </c>
      <c r="H147" s="158">
        <f>'FBMS-HND LEVEL TWO'!K32</f>
        <v>53</v>
      </c>
      <c r="I147" s="163" t="str">
        <f>'FBMS-HND LEVEL TWO'!L32</f>
        <v>C</v>
      </c>
      <c r="J147" s="164">
        <f>'FBMS-HND LEVEL TWO'!E101</f>
        <v>10</v>
      </c>
      <c r="K147" s="157">
        <f>'FBMS-HND LEVEL TWO'!F101</f>
        <v>21</v>
      </c>
      <c r="L147" s="157">
        <f>'FBMS-HND LEVEL TWO'!J101</f>
        <v>35</v>
      </c>
      <c r="M147" s="157">
        <f>'FBMS-HND LEVEL TWO'!K101</f>
        <v>66</v>
      </c>
      <c r="N147" s="165" t="str">
        <f>'FBMS-HND LEVEL TWO'!L101</f>
        <v>B</v>
      </c>
      <c r="O147" s="166">
        <f>'FBMS-HND LEVEL TWO'!E170</f>
        <v>10</v>
      </c>
      <c r="P147" s="157">
        <f>'FBMS-HND LEVEL TWO'!F170</f>
        <v>20</v>
      </c>
      <c r="Q147" s="157">
        <f>'FBMS-HND LEVEL TWO'!J170</f>
        <v>30</v>
      </c>
      <c r="R147" s="157">
        <f>'FBMS-HND LEVEL TWO'!K170</f>
        <v>60</v>
      </c>
      <c r="S147" s="163" t="str">
        <f>'FBMS-HND LEVEL TWO'!L170</f>
        <v>B</v>
      </c>
      <c r="T147" s="164">
        <f>'FBMS-HND LEVEL TWO'!E242</f>
        <v>10</v>
      </c>
      <c r="U147" s="157">
        <f>'FBMS-HND LEVEL TWO'!F242</f>
        <v>21</v>
      </c>
      <c r="V147" s="157">
        <f>'FBMS-HND LEVEL TWO'!J242</f>
        <v>33</v>
      </c>
      <c r="W147" s="157">
        <f>'FBMS-HND LEVEL TWO'!K242</f>
        <v>64</v>
      </c>
      <c r="X147" s="165" t="str">
        <f>'FBMS-HND LEVEL TWO'!L242</f>
        <v>B</v>
      </c>
      <c r="Y147" s="166">
        <f>'FBMS-HND LEVEL TWO'!E316</f>
        <v>10</v>
      </c>
      <c r="Z147" s="157">
        <f>'FBMS-HND LEVEL TWO'!F316</f>
        <v>18</v>
      </c>
      <c r="AA147" s="157">
        <f>'FBMS-HND LEVEL TWO'!J316</f>
        <v>28</v>
      </c>
      <c r="AB147" s="157">
        <f>'FBMS-HND LEVEL TWO'!K316</f>
        <v>56</v>
      </c>
      <c r="AC147" s="157" t="str">
        <f>'FBMS-HND LEVEL TWO'!L316</f>
        <v>C+</v>
      </c>
      <c r="AD147" s="164">
        <f>'FBMS-HND LEVEL TWO'!E391</f>
        <v>10</v>
      </c>
      <c r="AE147" s="157">
        <f>'FBMS-HND LEVEL TWO'!F391</f>
        <v>22</v>
      </c>
      <c r="AF147" s="157">
        <f>'FBMS-HND LEVEL TWO'!J391</f>
        <v>35</v>
      </c>
      <c r="AG147" s="157">
        <f>'FBMS-HND LEVEL TWO'!K391</f>
        <v>67</v>
      </c>
      <c r="AH147" s="165" t="str">
        <f>'FBMS-HND LEVEL TWO'!L391</f>
        <v>B</v>
      </c>
      <c r="AI147" s="266">
        <f>'FBMS-HND LEVEL TWO'!E442</f>
        <v>10</v>
      </c>
      <c r="AJ147" s="258">
        <f>'FBMS-HND LEVEL TWO'!F442</f>
        <v>23</v>
      </c>
      <c r="AK147" s="258">
        <f>'FBMS-HND LEVEL TWO'!J442</f>
        <v>36</v>
      </c>
      <c r="AL147" s="259">
        <f>'FBMS-HND LEVEL TWO'!K442</f>
        <v>69</v>
      </c>
      <c r="AM147" s="267" t="str">
        <f>'FBMS-HND LEVEL TWO'!L442</f>
        <v>B</v>
      </c>
      <c r="AN147" s="268">
        <f>'FBMS-HND LEVEL TWO'!E517</f>
        <v>10</v>
      </c>
      <c r="AO147" s="258">
        <f>'FBMS-HND LEVEL TWO'!F517</f>
        <v>25</v>
      </c>
      <c r="AP147" s="258">
        <f>'FBMS-HND LEVEL TWO'!J517</f>
        <v>44</v>
      </c>
      <c r="AQ147" s="258">
        <f>'FBMS-HND LEVEL TWO'!K517</f>
        <v>79</v>
      </c>
      <c r="AR147" s="269" t="str">
        <f>'FBMS-HND LEVEL TWO'!L517</f>
        <v>B+</v>
      </c>
      <c r="AS147" s="273">
        <f>'FBMS-HND LEVEL TWO'!E595</f>
        <v>10</v>
      </c>
      <c r="AT147" s="258">
        <f>'FBMS-HND LEVEL TWO'!F595</f>
        <v>23</v>
      </c>
      <c r="AU147" s="258">
        <f>'FBMS-HND LEVEL TWO'!J595</f>
        <v>41</v>
      </c>
      <c r="AV147" s="258">
        <f>'FBMS-HND LEVEL TWO'!K595</f>
        <v>74</v>
      </c>
      <c r="AW147" s="267" t="str">
        <f>'FBMS-HND LEVEL TWO'!L595</f>
        <v>B+</v>
      </c>
      <c r="AX147" s="271">
        <f>'FBMS-HND LEVEL TWO'!E668</f>
        <v>9</v>
      </c>
      <c r="AY147" s="272">
        <f>'FBMS-HND LEVEL TWO'!F668</f>
        <v>18</v>
      </c>
      <c r="AZ147" s="258">
        <f>'FBMS-HND LEVEL TWO'!J668</f>
        <v>23</v>
      </c>
      <c r="BA147" s="258">
        <f>'FBMS-HND LEVEL TWO'!K668</f>
        <v>50</v>
      </c>
      <c r="BB147" s="269" t="str">
        <f>'FBMS-HND LEVEL TWO'!L668</f>
        <v>C</v>
      </c>
      <c r="BC147" s="270">
        <f>'FBMS-HND LEVEL TWO'!E720</f>
        <v>10</v>
      </c>
      <c r="BD147" s="258">
        <f>'FBMS-HND LEVEL TWO'!F720</f>
        <v>20</v>
      </c>
      <c r="BE147" s="258">
        <f>'FBMS-HND LEVEL TWO'!J720</f>
        <v>34</v>
      </c>
      <c r="BF147" s="258">
        <f>'FBMS-HND LEVEL TWO'!K720</f>
        <v>64</v>
      </c>
      <c r="BG147" s="258" t="str">
        <f>'FBMS-HND LEVEL TWO'!L720</f>
        <v>B</v>
      </c>
      <c r="BH147" s="271">
        <f>'FBMS-HND LEVEL TWO'!E774</f>
        <v>10</v>
      </c>
      <c r="BI147" s="272">
        <f>'FBMS-HND LEVEL TWO'!F774</f>
        <v>25</v>
      </c>
      <c r="BJ147" s="258">
        <f>'FBMS-HND LEVEL TWO'!J774</f>
        <v>20</v>
      </c>
      <c r="BK147" s="258">
        <f>'FBMS-HND LEVEL TWO'!K774</f>
        <v>55</v>
      </c>
      <c r="BL147" s="269" t="str">
        <f>'FBMS-HND LEVEL TWO'!L774</f>
        <v>C+</v>
      </c>
      <c r="BM147" s="268">
        <f>'FBMS-HND LEVEL TWO'!E818</f>
        <v>10</v>
      </c>
      <c r="BN147" s="258">
        <f>'FBMS-HND LEVEL TWO'!F818</f>
        <v>25</v>
      </c>
      <c r="BO147" s="258">
        <f>'FBMS-HND LEVEL TWO'!J818</f>
        <v>32</v>
      </c>
      <c r="BP147" s="258">
        <f>'FBMS-HND LEVEL TWO'!K818</f>
        <v>67</v>
      </c>
      <c r="BQ147" s="269" t="str">
        <f>'FBMS-HND LEVEL TWO'!L818</f>
        <v>B</v>
      </c>
      <c r="BR147" s="268">
        <f>'FBMS-HND LEVEL TWO'!E859</f>
        <v>10</v>
      </c>
      <c r="BS147" s="258">
        <f>'FBMS-HND LEVEL TWO'!F859</f>
        <v>23</v>
      </c>
      <c r="BT147" s="258">
        <f>'FBMS-HND LEVEL TWO'!J859</f>
        <v>18</v>
      </c>
      <c r="BU147" s="258">
        <f>'FBMS-HND LEVEL TWO'!K859</f>
        <v>51</v>
      </c>
      <c r="BV147" s="269" t="str">
        <f>'FBMS-HND LEVEL TWO'!L859</f>
        <v>C</v>
      </c>
      <c r="BW147" s="270"/>
      <c r="BX147" s="258"/>
      <c r="BY147" s="258"/>
      <c r="BZ147" s="258"/>
      <c r="CA147" s="267"/>
      <c r="CB147" s="268"/>
      <c r="CC147" s="258"/>
      <c r="CD147" s="258"/>
      <c r="CE147" s="258"/>
      <c r="CF147" s="269"/>
      <c r="CG147" s="270"/>
      <c r="CH147" s="258"/>
      <c r="CI147" s="258"/>
      <c r="CJ147" s="258"/>
      <c r="CK147" s="258"/>
      <c r="CL147" s="268"/>
      <c r="CM147" s="258"/>
      <c r="CN147" s="258"/>
      <c r="CO147" s="258"/>
      <c r="CP147" s="269"/>
      <c r="CQ147" s="266"/>
      <c r="CR147" s="258"/>
      <c r="CS147" s="258"/>
      <c r="CT147" s="259"/>
      <c r="CU147" s="267"/>
      <c r="CV147" s="268"/>
      <c r="CW147" s="258"/>
      <c r="CX147" s="258"/>
      <c r="CY147" s="258"/>
      <c r="CZ147" s="269"/>
      <c r="DA147" s="268"/>
      <c r="DB147" s="258"/>
      <c r="DC147" s="258"/>
      <c r="DD147" s="258"/>
      <c r="DE147" s="269"/>
      <c r="DF147" s="268"/>
      <c r="DG147" s="258"/>
      <c r="DH147" s="258"/>
      <c r="DI147" s="258"/>
      <c r="DJ147" s="269"/>
      <c r="DK147" s="268"/>
      <c r="DL147" s="258"/>
      <c r="DM147" s="258"/>
      <c r="DN147" s="258"/>
      <c r="DO147" s="269"/>
      <c r="DP147" s="268"/>
      <c r="DQ147" s="258"/>
      <c r="DR147" s="258"/>
      <c r="DS147" s="258"/>
      <c r="DT147" s="269"/>
      <c r="DU147" s="268"/>
      <c r="DV147" s="258"/>
      <c r="DW147" s="258"/>
      <c r="DX147" s="258"/>
      <c r="DY147" s="269"/>
      <c r="DZ147" s="268"/>
      <c r="EA147" s="258"/>
      <c r="EB147" s="258"/>
      <c r="EC147" s="258"/>
      <c r="ED147" s="269"/>
    </row>
    <row r="148" spans="1:134" ht="15" customHeight="1" x14ac:dyDescent="0.3">
      <c r="A148" s="161">
        <v>22</v>
      </c>
      <c r="B148" s="306"/>
      <c r="C148" s="45" t="s">
        <v>141</v>
      </c>
      <c r="D148" s="391" t="s">
        <v>201</v>
      </c>
      <c r="E148" s="162">
        <f>'FBMS-HND LEVEL TWO'!E33</f>
        <v>8</v>
      </c>
      <c r="F148" s="157">
        <f>'FBMS-HND LEVEL TWO'!F33</f>
        <v>19</v>
      </c>
      <c r="G148" s="157">
        <f>'FBMS-HND LEVEL TWO'!J33</f>
        <v>33</v>
      </c>
      <c r="H148" s="158">
        <f>'FBMS-HND LEVEL TWO'!K33</f>
        <v>60</v>
      </c>
      <c r="I148" s="163" t="str">
        <f>'FBMS-HND LEVEL TWO'!L33</f>
        <v>B</v>
      </c>
      <c r="J148" s="164">
        <f>'FBMS-HND LEVEL TWO'!E102</f>
        <v>8</v>
      </c>
      <c r="K148" s="157">
        <f>'FBMS-HND LEVEL TWO'!F102</f>
        <v>23</v>
      </c>
      <c r="L148" s="157">
        <f>'FBMS-HND LEVEL TWO'!J102</f>
        <v>43</v>
      </c>
      <c r="M148" s="157">
        <f>'FBMS-HND LEVEL TWO'!K102</f>
        <v>74</v>
      </c>
      <c r="N148" s="165" t="str">
        <f>'FBMS-HND LEVEL TWO'!L102</f>
        <v>B+</v>
      </c>
      <c r="O148" s="166">
        <f>'FBMS-HND LEVEL TWO'!E171</f>
        <v>8</v>
      </c>
      <c r="P148" s="157">
        <f>'FBMS-HND LEVEL TWO'!F171</f>
        <v>21</v>
      </c>
      <c r="Q148" s="157">
        <f>'FBMS-HND LEVEL TWO'!J171</f>
        <v>30</v>
      </c>
      <c r="R148" s="157">
        <f>'FBMS-HND LEVEL TWO'!K171</f>
        <v>59</v>
      </c>
      <c r="S148" s="163" t="str">
        <f>'FBMS-HND LEVEL TWO'!L171</f>
        <v>C+</v>
      </c>
      <c r="T148" s="164">
        <f>'FBMS-HND LEVEL TWO'!E243</f>
        <v>10</v>
      </c>
      <c r="U148" s="157">
        <f>'FBMS-HND LEVEL TWO'!F243</f>
        <v>18</v>
      </c>
      <c r="V148" s="157">
        <f>'FBMS-HND LEVEL TWO'!J243</f>
        <v>40</v>
      </c>
      <c r="W148" s="157">
        <f>'FBMS-HND LEVEL TWO'!K243</f>
        <v>68</v>
      </c>
      <c r="X148" s="165" t="str">
        <f>'FBMS-HND LEVEL TWO'!L243</f>
        <v>B</v>
      </c>
      <c r="Y148" s="166">
        <f>'FBMS-HND LEVEL TWO'!E317</f>
        <v>9</v>
      </c>
      <c r="Z148" s="157">
        <f>'FBMS-HND LEVEL TWO'!F317</f>
        <v>23</v>
      </c>
      <c r="AA148" s="157">
        <f>'FBMS-HND LEVEL TWO'!J317</f>
        <v>28</v>
      </c>
      <c r="AB148" s="157">
        <f>'FBMS-HND LEVEL TWO'!K317</f>
        <v>60</v>
      </c>
      <c r="AC148" s="157" t="str">
        <f>'FBMS-HND LEVEL TWO'!L317</f>
        <v>B</v>
      </c>
      <c r="AD148" s="164">
        <f>'FBMS-HND LEVEL TWO'!E392</f>
        <v>10</v>
      </c>
      <c r="AE148" s="157">
        <f>'FBMS-HND LEVEL TWO'!F392</f>
        <v>20</v>
      </c>
      <c r="AF148" s="157">
        <f>'FBMS-HND LEVEL TWO'!J392</f>
        <v>30</v>
      </c>
      <c r="AG148" s="157">
        <f>'FBMS-HND LEVEL TWO'!K392</f>
        <v>60</v>
      </c>
      <c r="AH148" s="165" t="str">
        <f>'FBMS-HND LEVEL TWO'!L392</f>
        <v>B</v>
      </c>
      <c r="AI148" s="266">
        <f>'FBMS-HND LEVEL TWO'!E443</f>
        <v>10</v>
      </c>
      <c r="AJ148" s="258">
        <f>'FBMS-HND LEVEL TWO'!F443</f>
        <v>26.5</v>
      </c>
      <c r="AK148" s="258">
        <f>'FBMS-HND LEVEL TWO'!J443</f>
        <v>46</v>
      </c>
      <c r="AL148" s="259">
        <f>'FBMS-HND LEVEL TWO'!K443</f>
        <v>82.5</v>
      </c>
      <c r="AM148" s="267" t="str">
        <f>'FBMS-HND LEVEL TWO'!L443</f>
        <v>A</v>
      </c>
      <c r="AN148" s="268">
        <f>'FBMS-HND LEVEL TWO'!E518</f>
        <v>10</v>
      </c>
      <c r="AO148" s="258">
        <f>'FBMS-HND LEVEL TWO'!F518</f>
        <v>16</v>
      </c>
      <c r="AP148" s="258">
        <f>'FBMS-HND LEVEL TWO'!J518</f>
        <v>26</v>
      </c>
      <c r="AQ148" s="258">
        <f>'FBMS-HND LEVEL TWO'!K518</f>
        <v>52</v>
      </c>
      <c r="AR148" s="269" t="str">
        <f>'FBMS-HND LEVEL TWO'!L518</f>
        <v>C</v>
      </c>
      <c r="AS148" s="270">
        <f>'FBMS-HND LEVEL TWO'!E596</f>
        <v>10</v>
      </c>
      <c r="AT148" s="258">
        <f>'FBMS-HND LEVEL TWO'!F596</f>
        <v>25</v>
      </c>
      <c r="AU148" s="258">
        <f>'FBMS-HND LEVEL TWO'!J596</f>
        <v>44</v>
      </c>
      <c r="AV148" s="258">
        <f>'FBMS-HND LEVEL TWO'!K596</f>
        <v>79</v>
      </c>
      <c r="AW148" s="267" t="str">
        <f>'FBMS-HND LEVEL TWO'!L596</f>
        <v>B+</v>
      </c>
      <c r="AX148" s="271">
        <f>'FBMS-HND LEVEL TWO'!E669</f>
        <v>8</v>
      </c>
      <c r="AY148" s="272">
        <f>'FBMS-HND LEVEL TWO'!F669</f>
        <v>19</v>
      </c>
      <c r="AZ148" s="258">
        <f>'FBMS-HND LEVEL TWO'!J669</f>
        <v>33</v>
      </c>
      <c r="BA148" s="258">
        <f>'FBMS-HND LEVEL TWO'!K669</f>
        <v>60</v>
      </c>
      <c r="BB148" s="269" t="str">
        <f>'FBMS-HND LEVEL TWO'!L669</f>
        <v>B</v>
      </c>
      <c r="BC148" s="270">
        <f>'FBMS-HND LEVEL TWO'!E721</f>
        <v>10</v>
      </c>
      <c r="BD148" s="258">
        <f>'FBMS-HND LEVEL TWO'!F721</f>
        <v>17</v>
      </c>
      <c r="BE148" s="258">
        <f>'FBMS-HND LEVEL TWO'!J721</f>
        <v>29</v>
      </c>
      <c r="BF148" s="258">
        <f>'FBMS-HND LEVEL TWO'!K721</f>
        <v>56</v>
      </c>
      <c r="BG148" s="258" t="str">
        <f>'FBMS-HND LEVEL TWO'!L721</f>
        <v>C+</v>
      </c>
      <c r="BH148" s="271">
        <f>'FBMS-HND LEVEL TWO'!E775</f>
        <v>9</v>
      </c>
      <c r="BI148" s="272">
        <f>'FBMS-HND LEVEL TWO'!F775</f>
        <v>24</v>
      </c>
      <c r="BJ148" s="258">
        <f>'FBMS-HND LEVEL TWO'!J775</f>
        <v>20</v>
      </c>
      <c r="BK148" s="258">
        <f>'FBMS-HND LEVEL TWO'!K775</f>
        <v>53</v>
      </c>
      <c r="BL148" s="269" t="str">
        <f>'FBMS-HND LEVEL TWO'!L775</f>
        <v>C</v>
      </c>
      <c r="BM148" s="268">
        <f>'FBMS-HND LEVEL TWO'!E819</f>
        <v>8</v>
      </c>
      <c r="BN148" s="258">
        <f>'FBMS-HND LEVEL TWO'!F819</f>
        <v>27</v>
      </c>
      <c r="BO148" s="258">
        <f>'FBMS-HND LEVEL TWO'!J819</f>
        <v>50</v>
      </c>
      <c r="BP148" s="258">
        <f>'FBMS-HND LEVEL TWO'!K819</f>
        <v>85</v>
      </c>
      <c r="BQ148" s="269" t="str">
        <f>'FBMS-HND LEVEL TWO'!L819</f>
        <v>A</v>
      </c>
      <c r="BR148" s="268">
        <f>'FBMS-HND LEVEL TWO'!E860</f>
        <v>10</v>
      </c>
      <c r="BS148" s="258">
        <f>'FBMS-HND LEVEL TWO'!F860</f>
        <v>25</v>
      </c>
      <c r="BT148" s="258">
        <f>'FBMS-HND LEVEL TWO'!J860</f>
        <v>13</v>
      </c>
      <c r="BU148" s="258">
        <f>'FBMS-HND LEVEL TWO'!K860</f>
        <v>50</v>
      </c>
      <c r="BV148" s="269" t="str">
        <f>'FBMS-HND LEVEL TWO'!L860</f>
        <v>C</v>
      </c>
      <c r="BW148" s="270"/>
      <c r="BX148" s="258"/>
      <c r="BY148" s="258"/>
      <c r="BZ148" s="258"/>
      <c r="CA148" s="267"/>
      <c r="CB148" s="268"/>
      <c r="CC148" s="258"/>
      <c r="CD148" s="272"/>
      <c r="CE148" s="258"/>
      <c r="CF148" s="269"/>
      <c r="CG148" s="270"/>
      <c r="CH148" s="258"/>
      <c r="CI148" s="258"/>
      <c r="CJ148" s="258"/>
      <c r="CK148" s="258"/>
      <c r="CL148" s="268"/>
      <c r="CM148" s="258"/>
      <c r="CN148" s="258"/>
      <c r="CO148" s="258"/>
      <c r="CP148" s="269"/>
      <c r="CQ148" s="266"/>
      <c r="CR148" s="258"/>
      <c r="CS148" s="258"/>
      <c r="CT148" s="259"/>
      <c r="CU148" s="267"/>
      <c r="CV148" s="268"/>
      <c r="CW148" s="258"/>
      <c r="CX148" s="258"/>
      <c r="CY148" s="258"/>
      <c r="CZ148" s="269"/>
      <c r="DA148" s="268"/>
      <c r="DB148" s="258"/>
      <c r="DC148" s="258"/>
      <c r="DD148" s="258"/>
      <c r="DE148" s="269"/>
      <c r="DF148" s="268"/>
      <c r="DG148" s="258"/>
      <c r="DH148" s="258"/>
      <c r="DI148" s="258"/>
      <c r="DJ148" s="269"/>
      <c r="DK148" s="268"/>
      <c r="DL148" s="258"/>
      <c r="DM148" s="258"/>
      <c r="DN148" s="258"/>
      <c r="DO148" s="269"/>
      <c r="DP148" s="268"/>
      <c r="DQ148" s="258"/>
      <c r="DR148" s="258"/>
      <c r="DS148" s="258"/>
      <c r="DT148" s="269"/>
      <c r="DU148" s="268"/>
      <c r="DV148" s="258"/>
      <c r="DW148" s="258"/>
      <c r="DX148" s="258"/>
      <c r="DY148" s="269"/>
      <c r="DZ148" s="268"/>
      <c r="EA148" s="258"/>
      <c r="EB148" s="258"/>
      <c r="EC148" s="258"/>
      <c r="ED148" s="269"/>
    </row>
    <row r="149" spans="1:134" ht="16.5" customHeight="1" x14ac:dyDescent="0.3">
      <c r="A149" s="154">
        <v>23</v>
      </c>
      <c r="B149" s="12" t="s">
        <v>176</v>
      </c>
      <c r="C149" s="45" t="s">
        <v>481</v>
      </c>
      <c r="D149" s="45" t="s">
        <v>176</v>
      </c>
      <c r="E149" s="162">
        <f>'FBMS-HND LEVEL TWO'!E34</f>
        <v>8</v>
      </c>
      <c r="F149" s="157">
        <f>'FBMS-HND LEVEL TWO'!F34</f>
        <v>18</v>
      </c>
      <c r="G149" s="157">
        <f>'FBMS-HND LEVEL TWO'!J34</f>
        <v>26</v>
      </c>
      <c r="H149" s="158">
        <f>'FBMS-HND LEVEL TWO'!K34</f>
        <v>52</v>
      </c>
      <c r="I149" s="163" t="str">
        <f>'FBMS-HND LEVEL TWO'!L34</f>
        <v>C</v>
      </c>
      <c r="J149" s="164">
        <f>'FBMS-HND LEVEL TWO'!E103</f>
        <v>10</v>
      </c>
      <c r="K149" s="157">
        <f>'FBMS-HND LEVEL TWO'!F103</f>
        <v>20</v>
      </c>
      <c r="L149" s="157">
        <f>'FBMS-HND LEVEL TWO'!J103</f>
        <v>29</v>
      </c>
      <c r="M149" s="157">
        <f>'FBMS-HND LEVEL TWO'!K103</f>
        <v>59</v>
      </c>
      <c r="N149" s="165" t="str">
        <f>'FBMS-HND LEVEL TWO'!L103</f>
        <v>C+</v>
      </c>
      <c r="O149" s="166">
        <f>'FBMS-HND LEVEL TWO'!E172</f>
        <v>9</v>
      </c>
      <c r="P149" s="157">
        <f>'FBMS-HND LEVEL TWO'!F172</f>
        <v>24</v>
      </c>
      <c r="Q149" s="157">
        <f>'FBMS-HND LEVEL TWO'!J172</f>
        <v>42</v>
      </c>
      <c r="R149" s="157">
        <f>'FBMS-HND LEVEL TWO'!K172</f>
        <v>75</v>
      </c>
      <c r="S149" s="163" t="str">
        <f>'FBMS-HND LEVEL TWO'!L172</f>
        <v>B+</v>
      </c>
      <c r="T149" s="164">
        <f>'FBMS-HND LEVEL TWO'!E244</f>
        <v>8</v>
      </c>
      <c r="U149" s="157">
        <f>'FBMS-HND LEVEL TWO'!F244</f>
        <v>18</v>
      </c>
      <c r="V149" s="157">
        <f>'FBMS-HND LEVEL TWO'!J244</f>
        <v>34</v>
      </c>
      <c r="W149" s="157">
        <f>'FBMS-HND LEVEL TWO'!K244</f>
        <v>60</v>
      </c>
      <c r="X149" s="165" t="str">
        <f>'FBMS-HND LEVEL TWO'!L244</f>
        <v>B</v>
      </c>
      <c r="Y149" s="166">
        <f>'FBMS-HND LEVEL TWO'!E318</f>
        <v>10</v>
      </c>
      <c r="Z149" s="157">
        <f>'FBMS-HND LEVEL TWO'!F318</f>
        <v>26</v>
      </c>
      <c r="AA149" s="157">
        <f>'FBMS-HND LEVEL TWO'!J318</f>
        <v>26</v>
      </c>
      <c r="AB149" s="157">
        <f>'FBMS-HND LEVEL TWO'!K318</f>
        <v>62</v>
      </c>
      <c r="AC149" s="157" t="str">
        <f>'FBMS-HND LEVEL TWO'!L318</f>
        <v>B</v>
      </c>
      <c r="AD149" s="164">
        <f>'FBMS-HND LEVEL TWO'!E393</f>
        <v>8</v>
      </c>
      <c r="AE149" s="157">
        <f>'FBMS-HND LEVEL TWO'!F393</f>
        <v>20</v>
      </c>
      <c r="AF149" s="157">
        <f>'FBMS-HND LEVEL TWO'!J393</f>
        <v>6</v>
      </c>
      <c r="AG149" s="157">
        <f>'FBMS-HND LEVEL TWO'!K393</f>
        <v>34</v>
      </c>
      <c r="AH149" s="165" t="str">
        <f>'FBMS-HND LEVEL TWO'!L393</f>
        <v>F</v>
      </c>
      <c r="AI149" s="266">
        <f>'FBMS-HND LEVEL TWO'!E444</f>
        <v>9</v>
      </c>
      <c r="AJ149" s="258">
        <f>'FBMS-HND LEVEL TWO'!F444</f>
        <v>16</v>
      </c>
      <c r="AK149" s="258">
        <f>'FBMS-HND LEVEL TWO'!J444</f>
        <v>32</v>
      </c>
      <c r="AL149" s="259">
        <f>'FBMS-HND LEVEL TWO'!K444</f>
        <v>57</v>
      </c>
      <c r="AM149" s="267" t="str">
        <f>'FBMS-HND LEVEL TWO'!L444</f>
        <v>C+</v>
      </c>
      <c r="AN149" s="268">
        <f>'FBMS-HND LEVEL TWO'!E519</f>
        <v>9</v>
      </c>
      <c r="AO149" s="258">
        <f>'FBMS-HND LEVEL TWO'!F519</f>
        <v>17</v>
      </c>
      <c r="AP149" s="258">
        <f>'FBMS-HND LEVEL TWO'!J519</f>
        <v>31</v>
      </c>
      <c r="AQ149" s="258">
        <f>'FBMS-HND LEVEL TWO'!K519</f>
        <v>57</v>
      </c>
      <c r="AR149" s="269" t="str">
        <f>'FBMS-HND LEVEL TWO'!L519</f>
        <v>C+</v>
      </c>
      <c r="AS149" s="270">
        <f>'FBMS-HND LEVEL TWO'!E597</f>
        <v>8</v>
      </c>
      <c r="AT149" s="258">
        <f>'FBMS-HND LEVEL TWO'!F597</f>
        <v>20</v>
      </c>
      <c r="AU149" s="258">
        <f>'FBMS-HND LEVEL TWO'!J597</f>
        <v>43</v>
      </c>
      <c r="AV149" s="258">
        <f>'FBMS-HND LEVEL TWO'!K597</f>
        <v>71</v>
      </c>
      <c r="AW149" s="267" t="str">
        <f>'FBMS-HND LEVEL TWO'!L597</f>
        <v>B+</v>
      </c>
      <c r="AX149" s="271">
        <f>'FBMS-HND LEVEL TWO'!E670</f>
        <v>8</v>
      </c>
      <c r="AY149" s="272">
        <f>'FBMS-HND LEVEL TWO'!F670</f>
        <v>13</v>
      </c>
      <c r="AZ149" s="258">
        <f>'FBMS-HND LEVEL TWO'!J670</f>
        <v>36</v>
      </c>
      <c r="BA149" s="258">
        <f>'FBMS-HND LEVEL TWO'!K670</f>
        <v>57</v>
      </c>
      <c r="BB149" s="269" t="str">
        <f>'FBMS-HND LEVEL TWO'!L670</f>
        <v>C+</v>
      </c>
      <c r="BC149" s="270">
        <f>'FBMS-HND LEVEL TWO'!E722</f>
        <v>8</v>
      </c>
      <c r="BD149" s="258">
        <f>'FBMS-HND LEVEL TWO'!F722</f>
        <v>16</v>
      </c>
      <c r="BE149" s="258">
        <f>'FBMS-HND LEVEL TWO'!J722</f>
        <v>17</v>
      </c>
      <c r="BF149" s="258">
        <f>'FBMS-HND LEVEL TWO'!K722</f>
        <v>41</v>
      </c>
      <c r="BG149" s="258" t="str">
        <f>'FBMS-HND LEVEL TWO'!L722</f>
        <v>D</v>
      </c>
      <c r="BH149" s="271">
        <f>'FBMS-HND LEVEL TWO'!E776</f>
        <v>7.5</v>
      </c>
      <c r="BI149" s="272">
        <f>'FBMS-HND LEVEL TWO'!F776</f>
        <v>20</v>
      </c>
      <c r="BJ149" s="258">
        <f>'FBMS-HND LEVEL TWO'!J776</f>
        <v>9</v>
      </c>
      <c r="BK149" s="258">
        <f>'FBMS-HND LEVEL TWO'!K776</f>
        <v>36.5</v>
      </c>
      <c r="BL149" s="269" t="str">
        <f>'FBMS-HND LEVEL TWO'!L776</f>
        <v>F</v>
      </c>
      <c r="BM149" s="268">
        <f>'FBMS-HND LEVEL TWO'!E820</f>
        <v>7.5</v>
      </c>
      <c r="BN149" s="258">
        <f>'FBMS-HND LEVEL TWO'!F820</f>
        <v>12</v>
      </c>
      <c r="BO149" s="258">
        <f>'FBMS-HND LEVEL TWO'!J820</f>
        <v>45</v>
      </c>
      <c r="BP149" s="258">
        <f>'FBMS-HND LEVEL TWO'!K820</f>
        <v>64.5</v>
      </c>
      <c r="BQ149" s="269" t="str">
        <f>'FBMS-HND LEVEL TWO'!L820</f>
        <v>B</v>
      </c>
      <c r="BR149" s="268">
        <f>'FBMS-HND LEVEL TWO'!E861</f>
        <v>8</v>
      </c>
      <c r="BS149" s="258">
        <f>'FBMS-HND LEVEL TWO'!F861</f>
        <v>20</v>
      </c>
      <c r="BT149" s="258">
        <f>'FBMS-HND LEVEL TWO'!J861</f>
        <v>15</v>
      </c>
      <c r="BU149" s="258">
        <f>'FBMS-HND LEVEL TWO'!K861</f>
        <v>43</v>
      </c>
      <c r="BV149" s="269" t="str">
        <f>'FBMS-HND LEVEL TWO'!L861</f>
        <v>D</v>
      </c>
      <c r="BW149" s="270"/>
      <c r="BX149" s="258"/>
      <c r="BY149" s="258"/>
      <c r="BZ149" s="258"/>
      <c r="CA149" s="267"/>
      <c r="CB149" s="268"/>
      <c r="CC149" s="258"/>
      <c r="CD149" s="258"/>
      <c r="CE149" s="258"/>
      <c r="CF149" s="269"/>
      <c r="CG149" s="270"/>
      <c r="CH149" s="258"/>
      <c r="CI149" s="258"/>
      <c r="CJ149" s="258"/>
      <c r="CK149" s="258"/>
      <c r="CL149" s="268"/>
      <c r="CM149" s="258"/>
      <c r="CN149" s="258"/>
      <c r="CO149" s="258"/>
      <c r="CP149" s="269"/>
      <c r="CQ149" s="266"/>
      <c r="CR149" s="258"/>
      <c r="CS149" s="258"/>
      <c r="CT149" s="259"/>
      <c r="CU149" s="267"/>
      <c r="CV149" s="268"/>
      <c r="CW149" s="258"/>
      <c r="CX149" s="258"/>
      <c r="CY149" s="258"/>
      <c r="CZ149" s="269"/>
      <c r="DA149" s="268"/>
      <c r="DB149" s="272"/>
      <c r="DC149" s="258"/>
      <c r="DD149" s="272"/>
      <c r="DE149" s="269"/>
      <c r="DF149" s="268"/>
      <c r="DG149" s="258"/>
      <c r="DH149" s="258"/>
      <c r="DI149" s="258"/>
      <c r="DJ149" s="269"/>
      <c r="DK149" s="268"/>
      <c r="DL149" s="258"/>
      <c r="DM149" s="258"/>
      <c r="DN149" s="258"/>
      <c r="DO149" s="269"/>
      <c r="DP149" s="268"/>
      <c r="DQ149" s="258"/>
      <c r="DR149" s="258"/>
      <c r="DS149" s="258"/>
      <c r="DT149" s="269"/>
      <c r="DU149" s="268"/>
      <c r="DV149" s="258"/>
      <c r="DW149" s="258"/>
      <c r="DX149" s="258"/>
      <c r="DY149" s="269"/>
      <c r="DZ149" s="268"/>
      <c r="EA149" s="258"/>
      <c r="EB149" s="258"/>
      <c r="EC149" s="258"/>
      <c r="ED149" s="269"/>
    </row>
    <row r="150" spans="1:134" s="340" customFormat="1" ht="15.75" customHeight="1" x14ac:dyDescent="0.3">
      <c r="A150" s="339">
        <v>24</v>
      </c>
      <c r="B150" s="411" t="s">
        <v>148</v>
      </c>
      <c r="C150" s="368" t="s">
        <v>96</v>
      </c>
      <c r="D150" s="368" t="s">
        <v>148</v>
      </c>
      <c r="E150" s="412">
        <f>'FBMS-HND LEVEL TWO'!E35</f>
        <v>8</v>
      </c>
      <c r="F150" s="341">
        <f>'FBMS-HND LEVEL TWO'!F35</f>
        <v>16</v>
      </c>
      <c r="G150" s="341">
        <f>'FBMS-HND LEVEL TWO'!J35</f>
        <v>16</v>
      </c>
      <c r="H150" s="341">
        <f>'FBMS-HND LEVEL TWO'!K35</f>
        <v>40</v>
      </c>
      <c r="I150" s="341" t="str">
        <f>'FBMS-HND LEVEL TWO'!L35</f>
        <v>D</v>
      </c>
      <c r="J150" s="341">
        <f>'FBMS-HND LEVEL TWO'!E104</f>
        <v>10</v>
      </c>
      <c r="K150" s="341">
        <f>'FBMS-HND LEVEL TWO'!F104</f>
        <v>16</v>
      </c>
      <c r="L150" s="341">
        <f>'FBMS-HND LEVEL TWO'!J104</f>
        <v>18</v>
      </c>
      <c r="M150" s="341">
        <f>'FBMS-HND LEVEL TWO'!K104</f>
        <v>44</v>
      </c>
      <c r="N150" s="341" t="str">
        <f>'FBMS-HND LEVEL TWO'!L104</f>
        <v>D</v>
      </c>
      <c r="O150" s="341">
        <f>'FBMS-HND LEVEL TWO'!E173</f>
        <v>10</v>
      </c>
      <c r="P150" s="341">
        <f>'FBMS-HND LEVEL TWO'!F173</f>
        <v>21</v>
      </c>
      <c r="Q150" s="341">
        <f>'FBMS-HND LEVEL TWO'!J173</f>
        <v>36</v>
      </c>
      <c r="R150" s="341">
        <f>'FBMS-HND LEVEL TWO'!K173</f>
        <v>67</v>
      </c>
      <c r="S150" s="341" t="str">
        <f>'FBMS-HND LEVEL TWO'!L173</f>
        <v>B</v>
      </c>
      <c r="T150" s="341">
        <f>'FBMS-HND LEVEL TWO'!E245</f>
        <v>10</v>
      </c>
      <c r="U150" s="341">
        <f>'FBMS-HND LEVEL TWO'!F245</f>
        <v>20</v>
      </c>
      <c r="V150" s="341">
        <f>'FBMS-HND LEVEL TWO'!J245</f>
        <v>38</v>
      </c>
      <c r="W150" s="341">
        <f>'FBMS-HND LEVEL TWO'!K245</f>
        <v>68</v>
      </c>
      <c r="X150" s="341" t="str">
        <f>'FBMS-HND LEVEL TWO'!L245</f>
        <v>B</v>
      </c>
      <c r="Y150" s="341">
        <f>'FBMS-HND LEVEL TWO'!E319</f>
        <v>10</v>
      </c>
      <c r="Z150" s="341">
        <f>'FBMS-HND LEVEL TWO'!F319</f>
        <v>15</v>
      </c>
      <c r="AA150" s="341">
        <f>'FBMS-HND LEVEL TWO'!J319</f>
        <v>25</v>
      </c>
      <c r="AB150" s="341">
        <f>'FBMS-HND LEVEL TWO'!K319</f>
        <v>50</v>
      </c>
      <c r="AC150" s="341" t="str">
        <f>'FBMS-HND LEVEL TWO'!L319</f>
        <v>C</v>
      </c>
      <c r="AD150" s="341"/>
      <c r="AE150" s="341"/>
      <c r="AF150" s="341"/>
      <c r="AG150" s="341"/>
      <c r="AH150" s="341"/>
      <c r="AI150" s="342">
        <f>'FBMS-HND LEVEL TWO'!E445</f>
        <v>9</v>
      </c>
      <c r="AJ150" s="342">
        <f>'FBMS-HND LEVEL TWO'!F445</f>
        <v>23</v>
      </c>
      <c r="AK150" s="342">
        <f>'FBMS-HND LEVEL TWO'!J445</f>
        <v>29</v>
      </c>
      <c r="AL150" s="342">
        <f>'FBMS-HND LEVEL TWO'!K445</f>
        <v>61</v>
      </c>
      <c r="AM150" s="342" t="str">
        <f>'FBMS-HND LEVEL TWO'!L445</f>
        <v>B</v>
      </c>
      <c r="AN150" s="342">
        <f>'FBMS-HND LEVEL TWO'!E520</f>
        <v>10</v>
      </c>
      <c r="AO150" s="342">
        <f>'FBMS-HND LEVEL TWO'!F520</f>
        <v>17</v>
      </c>
      <c r="AP150" s="342">
        <f>'FBMS-HND LEVEL TWO'!J520</f>
        <v>15</v>
      </c>
      <c r="AQ150" s="342">
        <f>'FBMS-HND LEVEL TWO'!K520</f>
        <v>42</v>
      </c>
      <c r="AR150" s="342" t="str">
        <f>'FBMS-HND LEVEL TWO'!L520</f>
        <v>D</v>
      </c>
      <c r="AS150" s="342">
        <f>'FBMS-HND LEVEL TWO'!E598</f>
        <v>10</v>
      </c>
      <c r="AT150" s="342">
        <f>'FBMS-HND LEVEL TWO'!F598</f>
        <v>21</v>
      </c>
      <c r="AU150" s="342">
        <f>'FBMS-HND LEVEL TWO'!J598</f>
        <v>29</v>
      </c>
      <c r="AV150" s="342">
        <f>'FBMS-HND LEVEL TWO'!K598</f>
        <v>60</v>
      </c>
      <c r="AW150" s="342" t="str">
        <f>'FBMS-HND LEVEL TWO'!L598</f>
        <v>B</v>
      </c>
      <c r="AX150" s="343">
        <f>'FBMS-HND LEVEL TWO'!E671</f>
        <v>8</v>
      </c>
      <c r="AY150" s="342">
        <f>'FBMS-HND LEVEL TWO'!F671</f>
        <v>17</v>
      </c>
      <c r="AZ150" s="342">
        <f>'FBMS-HND LEVEL TWO'!J671</f>
        <v>18</v>
      </c>
      <c r="BA150" s="342">
        <f>'FBMS-HND LEVEL TWO'!K671</f>
        <v>43</v>
      </c>
      <c r="BB150" s="342" t="str">
        <f>'FBMS-HND LEVEL TWO'!L671</f>
        <v>D</v>
      </c>
      <c r="BC150" s="342">
        <f>'FBMS-HND LEVEL TWO'!E723</f>
        <v>10</v>
      </c>
      <c r="BD150" s="342">
        <f>'FBMS-HND LEVEL TWO'!F723</f>
        <v>15</v>
      </c>
      <c r="BE150" s="342">
        <f>'FBMS-HND LEVEL TWO'!J723</f>
        <v>10</v>
      </c>
      <c r="BF150" s="342">
        <f>'FBMS-HND LEVEL TWO'!K723</f>
        <v>35</v>
      </c>
      <c r="BG150" s="342" t="str">
        <f>'FBMS-HND LEVEL TWO'!L723</f>
        <v>F</v>
      </c>
      <c r="BH150" s="343"/>
      <c r="BI150" s="343"/>
      <c r="BJ150" s="342"/>
      <c r="BK150" s="342"/>
      <c r="BL150" s="342"/>
      <c r="BM150" s="342"/>
      <c r="BN150" s="342"/>
      <c r="BO150" s="342"/>
      <c r="BP150" s="342"/>
      <c r="BQ150" s="342"/>
      <c r="BR150" s="342">
        <f>'FBMS-HND LEVEL TWO'!E862</f>
        <v>10</v>
      </c>
      <c r="BS150" s="342">
        <f>'FBMS-HND LEVEL TWO'!F862</f>
        <v>24</v>
      </c>
      <c r="BT150" s="342">
        <f>'FBMS-HND LEVEL TWO'!J862</f>
        <v>24</v>
      </c>
      <c r="BU150" s="342">
        <f>'FBMS-HND LEVEL TWO'!K862</f>
        <v>58</v>
      </c>
      <c r="BV150" s="342" t="str">
        <f>'FBMS-HND LEVEL TWO'!L862</f>
        <v>C+</v>
      </c>
      <c r="BW150" s="342">
        <f>'FBMS-HND LEVEL TWO'!E895</f>
        <v>9</v>
      </c>
      <c r="BX150" s="342">
        <f>'FBMS-HND LEVEL TWO'!F895</f>
        <v>21</v>
      </c>
      <c r="BY150" s="342">
        <f>'FBMS-HND LEVEL TWO'!J895</f>
        <v>13</v>
      </c>
      <c r="BZ150" s="342">
        <f>'FBMS-HND LEVEL TWO'!K895</f>
        <v>43</v>
      </c>
      <c r="CA150" s="342" t="str">
        <f>'FBMS-HND LEVEL TWO'!L895</f>
        <v>D</v>
      </c>
      <c r="CB150" s="342">
        <f>'FBMS-HND LEVEL TWO'!E930</f>
        <v>9</v>
      </c>
      <c r="CC150" s="342">
        <f>'FBMS-HND LEVEL TWO'!F930</f>
        <v>23</v>
      </c>
      <c r="CD150" s="342">
        <f>'FBMS-HND LEVEL TWO'!J930</f>
        <v>37</v>
      </c>
      <c r="CE150" s="342">
        <f>'FBMS-HND LEVEL TWO'!K930</f>
        <v>69</v>
      </c>
      <c r="CF150" s="342" t="str">
        <f>'FBMS-HND LEVEL TWO'!L930</f>
        <v>B</v>
      </c>
      <c r="CG150" s="342">
        <f>'FBMS-HND LEVEL TWO'!E963</f>
        <v>9</v>
      </c>
      <c r="CH150" s="342">
        <f>'FBMS-HND LEVEL TWO'!F963</f>
        <v>15</v>
      </c>
      <c r="CI150" s="342">
        <f>'FBMS-HND LEVEL TWO'!J963</f>
        <v>24</v>
      </c>
      <c r="CJ150" s="342">
        <f>'FBMS-HND LEVEL TWO'!K963</f>
        <v>50</v>
      </c>
      <c r="CK150" s="342" t="str">
        <f>'FBMS-HND LEVEL TWO'!L963</f>
        <v>C</v>
      </c>
      <c r="CL150" s="342"/>
      <c r="CM150" s="342"/>
      <c r="CN150" s="342"/>
      <c r="CO150" s="342"/>
      <c r="CP150" s="342"/>
      <c r="CQ150" s="342"/>
      <c r="CR150" s="342"/>
      <c r="CS150" s="342"/>
      <c r="CT150" s="342"/>
      <c r="CU150" s="342"/>
      <c r="CV150" s="342"/>
      <c r="CW150" s="342"/>
      <c r="CX150" s="342"/>
      <c r="CY150" s="342"/>
      <c r="CZ150" s="342"/>
      <c r="DA150" s="342"/>
      <c r="DB150" s="342"/>
      <c r="DC150" s="342"/>
      <c r="DD150" s="342"/>
      <c r="DE150" s="342"/>
      <c r="DF150" s="342"/>
      <c r="DG150" s="342"/>
      <c r="DH150" s="342"/>
      <c r="DI150" s="342"/>
      <c r="DJ150" s="342"/>
      <c r="DK150" s="342"/>
      <c r="DL150" s="342"/>
      <c r="DM150" s="342"/>
      <c r="DN150" s="342"/>
      <c r="DO150" s="342"/>
      <c r="DP150" s="342"/>
      <c r="DQ150" s="342"/>
      <c r="DR150" s="342"/>
      <c r="DS150" s="342"/>
      <c r="DT150" s="342"/>
      <c r="DU150" s="342"/>
      <c r="DV150" s="342"/>
      <c r="DW150" s="342"/>
      <c r="DX150" s="342"/>
      <c r="DY150" s="342"/>
      <c r="DZ150" s="342"/>
      <c r="EA150" s="342"/>
      <c r="EB150" s="342"/>
      <c r="EC150" s="342"/>
      <c r="ED150" s="342"/>
    </row>
    <row r="151" spans="1:134" ht="13.5" customHeight="1" x14ac:dyDescent="0.3">
      <c r="A151" s="154">
        <v>25</v>
      </c>
      <c r="B151" s="12" t="s">
        <v>153</v>
      </c>
      <c r="C151" s="12" t="s">
        <v>101</v>
      </c>
      <c r="D151" s="12" t="s">
        <v>153</v>
      </c>
      <c r="E151" s="162">
        <f>'FBMS-HND LEVEL TWO'!E36</f>
        <v>8</v>
      </c>
      <c r="F151" s="157">
        <f>'FBMS-HND LEVEL TWO'!F36</f>
        <v>20</v>
      </c>
      <c r="G151" s="157">
        <f>'FBMS-HND LEVEL TWO'!J36</f>
        <v>34</v>
      </c>
      <c r="H151" s="158">
        <f>'FBMS-HND LEVEL TWO'!K36</f>
        <v>62</v>
      </c>
      <c r="I151" s="163" t="str">
        <f>'FBMS-HND LEVEL TWO'!L36</f>
        <v>B</v>
      </c>
      <c r="J151" s="164">
        <f>'FBMS-HND LEVEL TWO'!E105</f>
        <v>7.5</v>
      </c>
      <c r="K151" s="157">
        <f>'FBMS-HND LEVEL TWO'!F105</f>
        <v>24</v>
      </c>
      <c r="L151" s="157">
        <f>'FBMS-HND LEVEL TWO'!J105</f>
        <v>37</v>
      </c>
      <c r="M151" s="157">
        <f>'FBMS-HND LEVEL TWO'!K105</f>
        <v>68.5</v>
      </c>
      <c r="N151" s="165" t="str">
        <f>'FBMS-HND LEVEL TWO'!L105</f>
        <v>B</v>
      </c>
      <c r="O151" s="166">
        <f>'FBMS-HND LEVEL TWO'!E174</f>
        <v>7.5</v>
      </c>
      <c r="P151" s="157">
        <f>'FBMS-HND LEVEL TWO'!F174</f>
        <v>15</v>
      </c>
      <c r="Q151" s="157">
        <f>'FBMS-HND LEVEL TWO'!J174</f>
        <v>35</v>
      </c>
      <c r="R151" s="157">
        <f>'FBMS-HND LEVEL TWO'!K174</f>
        <v>57.5</v>
      </c>
      <c r="S151" s="163" t="str">
        <f>'FBMS-HND LEVEL TWO'!L174</f>
        <v>C+</v>
      </c>
      <c r="T151" s="164">
        <f>'FBMS-HND LEVEL TWO'!E246</f>
        <v>6</v>
      </c>
      <c r="U151" s="157">
        <f>'FBMS-HND LEVEL TWO'!F246</f>
        <v>20</v>
      </c>
      <c r="V151" s="157">
        <f>'FBMS-HND LEVEL TWO'!J246</f>
        <v>14</v>
      </c>
      <c r="W151" s="157">
        <f>'FBMS-HND LEVEL TWO'!K246</f>
        <v>40</v>
      </c>
      <c r="X151" s="165" t="str">
        <f>'FBMS-HND LEVEL TWO'!L246</f>
        <v>D</v>
      </c>
      <c r="Y151" s="166">
        <f>'FBMS-HND LEVEL TWO'!E320</f>
        <v>8</v>
      </c>
      <c r="Z151" s="157">
        <f>'FBMS-HND LEVEL TWO'!F320</f>
        <v>22</v>
      </c>
      <c r="AA151" s="157">
        <f>'FBMS-HND LEVEL TWO'!J320</f>
        <v>32</v>
      </c>
      <c r="AB151" s="157">
        <f>'FBMS-HND LEVEL TWO'!K320</f>
        <v>62</v>
      </c>
      <c r="AC151" s="157" t="str">
        <f>'FBMS-HND LEVEL TWO'!L320</f>
        <v>B</v>
      </c>
      <c r="AD151" s="164"/>
      <c r="AE151" s="157"/>
      <c r="AF151" s="157"/>
      <c r="AG151" s="157"/>
      <c r="AH151" s="165"/>
      <c r="AI151" s="266">
        <f>'FBMS-HND LEVEL TWO'!E446</f>
        <v>2</v>
      </c>
      <c r="AJ151" s="258">
        <f>'FBMS-HND LEVEL TWO'!F446</f>
        <v>19</v>
      </c>
      <c r="AK151" s="258">
        <f>'FBMS-HND LEVEL TWO'!J446</f>
        <v>39</v>
      </c>
      <c r="AL151" s="259">
        <f>'FBMS-HND LEVEL TWO'!K446</f>
        <v>60</v>
      </c>
      <c r="AM151" s="267" t="str">
        <f>'FBMS-HND LEVEL TWO'!L446</f>
        <v>B</v>
      </c>
      <c r="AN151" s="268">
        <f>'FBMS-HND LEVEL TWO'!E521</f>
        <v>9</v>
      </c>
      <c r="AO151" s="258">
        <f>'FBMS-HND LEVEL TWO'!F521</f>
        <v>17</v>
      </c>
      <c r="AP151" s="258">
        <f>'FBMS-HND LEVEL TWO'!J521</f>
        <v>19</v>
      </c>
      <c r="AQ151" s="258">
        <f>'FBMS-HND LEVEL TWO'!K521</f>
        <v>45</v>
      </c>
      <c r="AR151" s="269" t="str">
        <f>'FBMS-HND LEVEL TWO'!L521</f>
        <v>D+</v>
      </c>
      <c r="AS151" s="270">
        <f>'FBMS-HND LEVEL TWO'!E599</f>
        <v>8</v>
      </c>
      <c r="AT151" s="258">
        <f>'FBMS-HND LEVEL TWO'!F599</f>
        <v>12</v>
      </c>
      <c r="AU151" s="258">
        <f>'FBMS-HND LEVEL TWO'!J599</f>
        <v>36</v>
      </c>
      <c r="AV151" s="258">
        <f>'FBMS-HND LEVEL TWO'!K599</f>
        <v>56</v>
      </c>
      <c r="AW151" s="267" t="str">
        <f>'FBMS-HND LEVEL TWO'!L599</f>
        <v>C+</v>
      </c>
      <c r="AX151" s="271">
        <f>'FBMS-HND LEVEL TWO'!E672</f>
        <v>7.5</v>
      </c>
      <c r="AY151" s="258">
        <f>'FBMS-HND LEVEL TWO'!F672</f>
        <v>21</v>
      </c>
      <c r="AZ151" s="258">
        <f>'FBMS-HND LEVEL TWO'!J672</f>
        <v>31</v>
      </c>
      <c r="BA151" s="258">
        <f>'FBMS-HND LEVEL TWO'!K672</f>
        <v>59.5</v>
      </c>
      <c r="BB151" s="269" t="str">
        <f>'FBMS-HND LEVEL TWO'!L672</f>
        <v>C+</v>
      </c>
      <c r="BC151" s="270">
        <f>'FBMS-HND LEVEL TWO'!E724</f>
        <v>9</v>
      </c>
      <c r="BD151" s="258">
        <f>'FBMS-HND LEVEL TWO'!F724</f>
        <v>15</v>
      </c>
      <c r="BE151" s="258">
        <f>'FBMS-HND LEVEL TWO'!J724</f>
        <v>44</v>
      </c>
      <c r="BF151" s="258">
        <f>'FBMS-HND LEVEL TWO'!K724</f>
        <v>68</v>
      </c>
      <c r="BG151" s="258" t="str">
        <f>'FBMS-HND LEVEL TWO'!L724</f>
        <v>B</v>
      </c>
      <c r="BH151" s="271"/>
      <c r="BI151" s="272"/>
      <c r="BJ151" s="258"/>
      <c r="BK151" s="258"/>
      <c r="BL151" s="269"/>
      <c r="BM151" s="268"/>
      <c r="BN151" s="258"/>
      <c r="BO151" s="258"/>
      <c r="BP151" s="258"/>
      <c r="BQ151" s="269"/>
      <c r="BR151" s="268">
        <f>'FBMS-HND LEVEL TWO'!E863</f>
        <v>8</v>
      </c>
      <c r="BS151" s="258">
        <f>'FBMS-HND LEVEL TWO'!F863</f>
        <v>22</v>
      </c>
      <c r="BT151" s="258">
        <f>'FBMS-HND LEVEL TWO'!J863</f>
        <v>29</v>
      </c>
      <c r="BU151" s="258">
        <f>'FBMS-HND LEVEL TWO'!K863</f>
        <v>59</v>
      </c>
      <c r="BV151" s="269" t="str">
        <f>'FBMS-HND LEVEL TWO'!L863</f>
        <v>C+</v>
      </c>
      <c r="BW151" s="270">
        <f>'FBMS-HND LEVEL TWO'!E896</f>
        <v>8</v>
      </c>
      <c r="BX151" s="258">
        <f>'FBMS-HND LEVEL TWO'!F896</f>
        <v>24</v>
      </c>
      <c r="BY151" s="258">
        <f>'FBMS-HND LEVEL TWO'!J896</f>
        <v>37</v>
      </c>
      <c r="BZ151" s="258">
        <f>'FBMS-HND LEVEL TWO'!K896</f>
        <v>69</v>
      </c>
      <c r="CA151" s="267" t="str">
        <f>'FBMS-HND LEVEL TWO'!L896</f>
        <v>B</v>
      </c>
      <c r="CB151" s="268">
        <f>'FBMS-HND LEVEL TWO'!E931</f>
        <v>8</v>
      </c>
      <c r="CC151" s="258">
        <f>'FBMS-HND LEVEL TWO'!F931</f>
        <v>23</v>
      </c>
      <c r="CD151" s="258">
        <f>'FBMS-HND LEVEL TWO'!J931</f>
        <v>33</v>
      </c>
      <c r="CE151" s="258">
        <f>'FBMS-HND LEVEL TWO'!K931</f>
        <v>64</v>
      </c>
      <c r="CF151" s="269" t="str">
        <f>'FBMS-HND LEVEL TWO'!L931</f>
        <v>B</v>
      </c>
      <c r="CG151" s="270">
        <f>'FBMS-HND LEVEL TWO'!E964</f>
        <v>8</v>
      </c>
      <c r="CH151" s="258">
        <f>'FBMS-HND LEVEL TWO'!F964</f>
        <v>20</v>
      </c>
      <c r="CI151" s="258">
        <f>'FBMS-HND LEVEL TWO'!J964</f>
        <v>36</v>
      </c>
      <c r="CJ151" s="258">
        <f>'FBMS-HND LEVEL TWO'!K964</f>
        <v>64</v>
      </c>
      <c r="CK151" s="258" t="str">
        <f>'FBMS-HND LEVEL TWO'!L964</f>
        <v>B</v>
      </c>
      <c r="CL151" s="268"/>
      <c r="CM151" s="258"/>
      <c r="CN151" s="258"/>
      <c r="CO151" s="258"/>
      <c r="CP151" s="269"/>
      <c r="CQ151" s="266"/>
      <c r="CR151" s="258"/>
      <c r="CS151" s="258"/>
      <c r="CT151" s="259"/>
      <c r="CU151" s="267"/>
      <c r="CV151" s="268"/>
      <c r="CW151" s="258"/>
      <c r="CX151" s="258"/>
      <c r="CY151" s="258"/>
      <c r="CZ151" s="269"/>
      <c r="DA151" s="268"/>
      <c r="DB151" s="258"/>
      <c r="DC151" s="258"/>
      <c r="DD151" s="258"/>
      <c r="DE151" s="269"/>
      <c r="DF151" s="268"/>
      <c r="DG151" s="258"/>
      <c r="DH151" s="258"/>
      <c r="DI151" s="258"/>
      <c r="DJ151" s="269"/>
      <c r="DK151" s="268"/>
      <c r="DL151" s="258"/>
      <c r="DM151" s="258"/>
      <c r="DN151" s="258"/>
      <c r="DO151" s="269"/>
      <c r="DP151" s="268"/>
      <c r="DQ151" s="258"/>
      <c r="DR151" s="258"/>
      <c r="DS151" s="258"/>
      <c r="DT151" s="269"/>
      <c r="DU151" s="268"/>
      <c r="DV151" s="258"/>
      <c r="DW151" s="258"/>
      <c r="DX151" s="258"/>
      <c r="DY151" s="269"/>
      <c r="DZ151" s="268"/>
      <c r="EA151" s="258"/>
      <c r="EB151" s="258"/>
      <c r="EC151" s="258"/>
      <c r="ED151" s="269"/>
    </row>
    <row r="152" spans="1:134" ht="15.75" customHeight="1" x14ac:dyDescent="0.3">
      <c r="A152" s="161">
        <v>26</v>
      </c>
      <c r="B152" s="12" t="s">
        <v>154</v>
      </c>
      <c r="C152" s="12" t="s">
        <v>102</v>
      </c>
      <c r="D152" s="12" t="s">
        <v>154</v>
      </c>
      <c r="E152" s="162">
        <f>'FBMS-HND LEVEL TWO'!E37</f>
        <v>8</v>
      </c>
      <c r="F152" s="157">
        <f>'FBMS-HND LEVEL TWO'!F37</f>
        <v>22</v>
      </c>
      <c r="G152" s="157">
        <f>'FBMS-HND LEVEL TWO'!J37</f>
        <v>28</v>
      </c>
      <c r="H152" s="158">
        <f>'FBMS-HND LEVEL TWO'!K37</f>
        <v>58</v>
      </c>
      <c r="I152" s="163" t="str">
        <f>'FBMS-HND LEVEL TWO'!L37</f>
        <v>C+</v>
      </c>
      <c r="J152" s="164">
        <f>'FBMS-HND LEVEL TWO'!E106</f>
        <v>7.5</v>
      </c>
      <c r="K152" s="157">
        <f>'FBMS-HND LEVEL TWO'!F106</f>
        <v>20</v>
      </c>
      <c r="L152" s="157">
        <f>'FBMS-HND LEVEL TWO'!J106</f>
        <v>36</v>
      </c>
      <c r="M152" s="157">
        <f>'FBMS-HND LEVEL TWO'!K106</f>
        <v>63.5</v>
      </c>
      <c r="N152" s="165" t="str">
        <f>'FBMS-HND LEVEL TWO'!L106</f>
        <v>B</v>
      </c>
      <c r="O152" s="166">
        <f>'FBMS-HND LEVEL TWO'!E175</f>
        <v>8</v>
      </c>
      <c r="P152" s="157">
        <f>'FBMS-HND LEVEL TWO'!F175</f>
        <v>24</v>
      </c>
      <c r="Q152" s="157">
        <f>'FBMS-HND LEVEL TWO'!J175</f>
        <v>30</v>
      </c>
      <c r="R152" s="157">
        <f>'FBMS-HND LEVEL TWO'!K175</f>
        <v>62</v>
      </c>
      <c r="S152" s="163" t="str">
        <f>'FBMS-HND LEVEL TWO'!L175</f>
        <v>B</v>
      </c>
      <c r="T152" s="164">
        <f>'FBMS-HND LEVEL TWO'!E247</f>
        <v>8</v>
      </c>
      <c r="U152" s="157">
        <f>'FBMS-HND LEVEL TWO'!F247</f>
        <v>20</v>
      </c>
      <c r="V152" s="157">
        <f>'FBMS-HND LEVEL TWO'!J247</f>
        <v>4</v>
      </c>
      <c r="W152" s="157">
        <f>'FBMS-HND LEVEL TWO'!K247</f>
        <v>32</v>
      </c>
      <c r="X152" s="165" t="str">
        <f>'FBMS-HND LEVEL TWO'!L247</f>
        <v>F</v>
      </c>
      <c r="Y152" s="166">
        <f>'FBMS-HND LEVEL TWO'!E321</f>
        <v>8</v>
      </c>
      <c r="Z152" s="157">
        <f>'FBMS-HND LEVEL TWO'!F321</f>
        <v>20</v>
      </c>
      <c r="AA152" s="157">
        <f>'FBMS-HND LEVEL TWO'!J321</f>
        <v>19</v>
      </c>
      <c r="AB152" s="157">
        <f>'FBMS-HND LEVEL TWO'!K321</f>
        <v>47</v>
      </c>
      <c r="AC152" s="157" t="str">
        <f>'FBMS-HND LEVEL TWO'!L321</f>
        <v>D+</v>
      </c>
      <c r="AD152" s="164"/>
      <c r="AE152" s="157"/>
      <c r="AF152" s="157"/>
      <c r="AG152" s="157"/>
      <c r="AH152" s="165"/>
      <c r="AI152" s="266">
        <f>'FBMS-HND LEVEL TWO'!E447</f>
        <v>9</v>
      </c>
      <c r="AJ152" s="258">
        <f>'FBMS-HND LEVEL TWO'!F447</f>
        <v>27.5</v>
      </c>
      <c r="AK152" s="258">
        <f>'FBMS-HND LEVEL TWO'!J447</f>
        <v>38</v>
      </c>
      <c r="AL152" s="259">
        <f>'FBMS-HND LEVEL TWO'!K447</f>
        <v>74.5</v>
      </c>
      <c r="AM152" s="267" t="str">
        <f>'FBMS-HND LEVEL TWO'!L447</f>
        <v>B+</v>
      </c>
      <c r="AN152" s="268">
        <f>'FBMS-HND LEVEL TWO'!E522</f>
        <v>10</v>
      </c>
      <c r="AO152" s="258">
        <f>'FBMS-HND LEVEL TWO'!F522</f>
        <v>20</v>
      </c>
      <c r="AP152" s="258">
        <f>'FBMS-HND LEVEL TWO'!J522</f>
        <v>31</v>
      </c>
      <c r="AQ152" s="258">
        <f>'FBMS-HND LEVEL TWO'!K522</f>
        <v>61</v>
      </c>
      <c r="AR152" s="269" t="str">
        <f>'FBMS-HND LEVEL TWO'!L522</f>
        <v>B</v>
      </c>
      <c r="AS152" s="270">
        <f>'FBMS-HND LEVEL TWO'!E600</f>
        <v>8</v>
      </c>
      <c r="AT152" s="258">
        <f>'FBMS-HND LEVEL TWO'!F600</f>
        <v>5.25</v>
      </c>
      <c r="AU152" s="258">
        <f>'FBMS-HND LEVEL TWO'!J600</f>
        <v>20</v>
      </c>
      <c r="AV152" s="258">
        <f>'FBMS-HND LEVEL TWO'!K600</f>
        <v>33.25</v>
      </c>
      <c r="AW152" s="267" t="str">
        <f>'FBMS-HND LEVEL TWO'!L600</f>
        <v>F</v>
      </c>
      <c r="AX152" s="271">
        <f>'FBMS-HND LEVEL TWO'!E673</f>
        <v>7.5</v>
      </c>
      <c r="AY152" s="258">
        <f>'FBMS-HND LEVEL TWO'!F673</f>
        <v>11</v>
      </c>
      <c r="AZ152" s="258">
        <f>'FBMS-HND LEVEL TWO'!J673</f>
        <v>10</v>
      </c>
      <c r="BA152" s="258">
        <f>'FBMS-HND LEVEL TWO'!K673</f>
        <v>28.5</v>
      </c>
      <c r="BB152" s="269" t="str">
        <f>'FBMS-HND LEVEL TWO'!L673</f>
        <v>F</v>
      </c>
      <c r="BC152" s="270">
        <f>'FBMS-HND LEVEL TWO'!E725</f>
        <v>7.5</v>
      </c>
      <c r="BD152" s="258">
        <f>'FBMS-HND LEVEL TWO'!F725</f>
        <v>0</v>
      </c>
      <c r="BE152" s="258" t="str">
        <f>'FBMS-HND LEVEL TWO'!J725</f>
        <v>ABS</v>
      </c>
      <c r="BF152" s="258">
        <f>'FBMS-HND LEVEL TWO'!K725</f>
        <v>0</v>
      </c>
      <c r="BG152" s="258">
        <f>'FBMS-HND LEVEL TWO'!L725</f>
        <v>0</v>
      </c>
      <c r="BH152" s="271"/>
      <c r="BI152" s="272"/>
      <c r="BJ152" s="258"/>
      <c r="BK152" s="258"/>
      <c r="BL152" s="269"/>
      <c r="BM152" s="268"/>
      <c r="BN152" s="258"/>
      <c r="BO152" s="258"/>
      <c r="BP152" s="258"/>
      <c r="BQ152" s="269"/>
      <c r="BR152" s="268">
        <f>'FBMS-HND LEVEL TWO'!E864</f>
        <v>9</v>
      </c>
      <c r="BS152" s="258">
        <f>'FBMS-HND LEVEL TWO'!F864</f>
        <v>23</v>
      </c>
      <c r="BT152" s="258">
        <f>'FBMS-HND LEVEL TWO'!J864</f>
        <v>18</v>
      </c>
      <c r="BU152" s="258">
        <f>'FBMS-HND LEVEL TWO'!K864</f>
        <v>50</v>
      </c>
      <c r="BV152" s="269" t="str">
        <f>'FBMS-HND LEVEL TWO'!L864</f>
        <v>C</v>
      </c>
      <c r="BW152" s="270">
        <f>'FBMS-HND LEVEL TWO'!E897</f>
        <v>9</v>
      </c>
      <c r="BX152" s="258">
        <f>'FBMS-HND LEVEL TWO'!F897</f>
        <v>23</v>
      </c>
      <c r="BY152" s="258">
        <f>'FBMS-HND LEVEL TWO'!J897</f>
        <v>33</v>
      </c>
      <c r="BZ152" s="258">
        <f>'FBMS-HND LEVEL TWO'!K897</f>
        <v>65</v>
      </c>
      <c r="CA152" s="267" t="str">
        <f>'FBMS-HND LEVEL TWO'!L897</f>
        <v>B</v>
      </c>
      <c r="CB152" s="268">
        <f>'FBMS-HND LEVEL TWO'!E932</f>
        <v>9</v>
      </c>
      <c r="CC152" s="258">
        <f>'FBMS-HND LEVEL TWO'!F932</f>
        <v>24</v>
      </c>
      <c r="CD152" s="258">
        <f>'FBMS-HND LEVEL TWO'!J932</f>
        <v>34</v>
      </c>
      <c r="CE152" s="258">
        <f>'FBMS-HND LEVEL TWO'!K932</f>
        <v>67</v>
      </c>
      <c r="CF152" s="269" t="str">
        <f>'FBMS-HND LEVEL TWO'!L932</f>
        <v>B</v>
      </c>
      <c r="CG152" s="270">
        <f>'FBMS-HND LEVEL TWO'!E965</f>
        <v>9</v>
      </c>
      <c r="CH152" s="258">
        <f>'FBMS-HND LEVEL TWO'!F965</f>
        <v>20</v>
      </c>
      <c r="CI152" s="258">
        <f>'FBMS-HND LEVEL TWO'!J965</f>
        <v>26</v>
      </c>
      <c r="CJ152" s="258">
        <f>'FBMS-HND LEVEL TWO'!K965</f>
        <v>55</v>
      </c>
      <c r="CK152" s="258" t="str">
        <f>'FBMS-HND LEVEL TWO'!L965</f>
        <v>C+</v>
      </c>
      <c r="CL152" s="268"/>
      <c r="CM152" s="258"/>
      <c r="CN152" s="258"/>
      <c r="CO152" s="258"/>
      <c r="CP152" s="269"/>
      <c r="CQ152" s="266"/>
      <c r="CR152" s="258"/>
      <c r="CS152" s="258"/>
      <c r="CT152" s="259"/>
      <c r="CU152" s="267"/>
      <c r="CV152" s="268"/>
      <c r="CW152" s="258"/>
      <c r="CX152" s="258"/>
      <c r="CY152" s="258"/>
      <c r="CZ152" s="269"/>
      <c r="DA152" s="268"/>
      <c r="DB152" s="258"/>
      <c r="DC152" s="258"/>
      <c r="DD152" s="258"/>
      <c r="DE152" s="269"/>
      <c r="DF152" s="268"/>
      <c r="DG152" s="258"/>
      <c r="DH152" s="258"/>
      <c r="DI152" s="258"/>
      <c r="DJ152" s="269"/>
      <c r="DK152" s="268"/>
      <c r="DL152" s="258"/>
      <c r="DM152" s="258"/>
      <c r="DN152" s="258"/>
      <c r="DO152" s="269"/>
      <c r="DP152" s="268"/>
      <c r="DQ152" s="258"/>
      <c r="DR152" s="258"/>
      <c r="DS152" s="258"/>
      <c r="DT152" s="269"/>
      <c r="DU152" s="268"/>
      <c r="DV152" s="258"/>
      <c r="DW152" s="258"/>
      <c r="DX152" s="258"/>
      <c r="DY152" s="269"/>
      <c r="DZ152" s="268"/>
      <c r="EA152" s="258"/>
      <c r="EB152" s="258"/>
      <c r="EC152" s="258"/>
      <c r="ED152" s="269"/>
    </row>
    <row r="153" spans="1:134" ht="15.75" customHeight="1" x14ac:dyDescent="0.3">
      <c r="A153" s="154">
        <v>27</v>
      </c>
      <c r="B153" s="12" t="s">
        <v>162</v>
      </c>
      <c r="C153" s="12" t="s">
        <v>112</v>
      </c>
      <c r="D153" s="12" t="s">
        <v>162</v>
      </c>
      <c r="E153" s="162">
        <f>'FBMS-HND LEVEL TWO'!E38</f>
        <v>8</v>
      </c>
      <c r="F153" s="157">
        <f>'FBMS-HND LEVEL TWO'!F38</f>
        <v>28</v>
      </c>
      <c r="G153" s="157">
        <f>'FBMS-HND LEVEL TWO'!J38</f>
        <v>14</v>
      </c>
      <c r="H153" s="158">
        <f>'FBMS-HND LEVEL TWO'!K38</f>
        <v>50</v>
      </c>
      <c r="I153" s="163" t="str">
        <f>'FBMS-HND LEVEL TWO'!L38</f>
        <v>C</v>
      </c>
      <c r="J153" s="164">
        <f>'FBMS-HND LEVEL TWO'!E107</f>
        <v>8</v>
      </c>
      <c r="K153" s="157">
        <f>'FBMS-HND LEVEL TWO'!F107</f>
        <v>23</v>
      </c>
      <c r="L153" s="157">
        <f>'FBMS-HND LEVEL TWO'!J107</f>
        <v>39</v>
      </c>
      <c r="M153" s="157">
        <f>'FBMS-HND LEVEL TWO'!K107</f>
        <v>70</v>
      </c>
      <c r="N153" s="165" t="str">
        <f>'FBMS-HND LEVEL TWO'!L107</f>
        <v>B+</v>
      </c>
      <c r="O153" s="166">
        <f>'FBMS-HND LEVEL TWO'!E176</f>
        <v>7.5</v>
      </c>
      <c r="P153" s="157">
        <f>'FBMS-HND LEVEL TWO'!F176</f>
        <v>21</v>
      </c>
      <c r="Q153" s="157">
        <f>'FBMS-HND LEVEL TWO'!J176</f>
        <v>40</v>
      </c>
      <c r="R153" s="157">
        <f>'FBMS-HND LEVEL TWO'!K176</f>
        <v>68.5</v>
      </c>
      <c r="S153" s="163" t="str">
        <f>'FBMS-HND LEVEL TWO'!L176</f>
        <v>B</v>
      </c>
      <c r="T153" s="164">
        <f>'FBMS-HND LEVEL TWO'!E248</f>
        <v>8</v>
      </c>
      <c r="U153" s="157">
        <f>'FBMS-HND LEVEL TWO'!F248</f>
        <v>24</v>
      </c>
      <c r="V153" s="157">
        <f>'FBMS-HND LEVEL TWO'!J248</f>
        <v>32</v>
      </c>
      <c r="W153" s="157">
        <f>'FBMS-HND LEVEL TWO'!K248</f>
        <v>64</v>
      </c>
      <c r="X153" s="165" t="str">
        <f>'FBMS-HND LEVEL TWO'!L248</f>
        <v>B</v>
      </c>
      <c r="Y153" s="166">
        <f>'FBMS-HND LEVEL TWO'!E322</f>
        <v>4</v>
      </c>
      <c r="Z153" s="157">
        <f>'FBMS-HND LEVEL TWO'!F322</f>
        <v>19</v>
      </c>
      <c r="AA153" s="157">
        <f>'FBMS-HND LEVEL TWO'!J322</f>
        <v>35</v>
      </c>
      <c r="AB153" s="157">
        <f>'FBMS-HND LEVEL TWO'!K322</f>
        <v>58</v>
      </c>
      <c r="AC153" s="157" t="str">
        <f>'FBMS-HND LEVEL TWO'!L322</f>
        <v>C+</v>
      </c>
      <c r="AD153" s="164"/>
      <c r="AE153" s="157"/>
      <c r="AF153" s="157"/>
      <c r="AG153" s="157"/>
      <c r="AH153" s="165"/>
      <c r="AI153" s="266">
        <f>'FBMS-HND LEVEL TWO'!E448</f>
        <v>9</v>
      </c>
      <c r="AJ153" s="258">
        <f>'FBMS-HND LEVEL TWO'!F448</f>
        <v>22</v>
      </c>
      <c r="AK153" s="258">
        <f>'FBMS-HND LEVEL TWO'!J448</f>
        <v>20</v>
      </c>
      <c r="AL153" s="259">
        <f>'FBMS-HND LEVEL TWO'!K448</f>
        <v>51</v>
      </c>
      <c r="AM153" s="267" t="str">
        <f>'FBMS-HND LEVEL TWO'!L448</f>
        <v>C</v>
      </c>
      <c r="AN153" s="268">
        <f>'FBMS-HND LEVEL TWO'!E523</f>
        <v>9</v>
      </c>
      <c r="AO153" s="258">
        <f>'FBMS-HND LEVEL TWO'!F523</f>
        <v>21</v>
      </c>
      <c r="AP153" s="258">
        <f>'FBMS-HND LEVEL TWO'!J523</f>
        <v>13</v>
      </c>
      <c r="AQ153" s="258">
        <f>'FBMS-HND LEVEL TWO'!K523</f>
        <v>43</v>
      </c>
      <c r="AR153" s="269" t="str">
        <f>'FBMS-HND LEVEL TWO'!L523</f>
        <v>D</v>
      </c>
      <c r="AS153" s="270">
        <f>'FBMS-HND LEVEL TWO'!E601</f>
        <v>8</v>
      </c>
      <c r="AT153" s="258">
        <f>'FBMS-HND LEVEL TWO'!F601</f>
        <v>16.5</v>
      </c>
      <c r="AU153" s="258">
        <f>'FBMS-HND LEVEL TWO'!J601</f>
        <v>45</v>
      </c>
      <c r="AV153" s="258">
        <f>'FBMS-HND LEVEL TWO'!K601</f>
        <v>69.5</v>
      </c>
      <c r="AW153" s="267" t="str">
        <f>'FBMS-HND LEVEL TWO'!L601</f>
        <v>B</v>
      </c>
      <c r="AX153" s="271">
        <f>'FBMS-HND LEVEL TWO'!E674</f>
        <v>7.5</v>
      </c>
      <c r="AY153" s="258">
        <f>'FBMS-HND LEVEL TWO'!F674</f>
        <v>18</v>
      </c>
      <c r="AZ153" s="258">
        <f>'FBMS-HND LEVEL TWO'!J674</f>
        <v>15</v>
      </c>
      <c r="BA153" s="258">
        <f>'FBMS-HND LEVEL TWO'!K674</f>
        <v>40.5</v>
      </c>
      <c r="BB153" s="269" t="str">
        <f>'FBMS-HND LEVEL TWO'!L674</f>
        <v>D</v>
      </c>
      <c r="BC153" s="270">
        <f>'FBMS-HND LEVEL TWO'!E726</f>
        <v>8</v>
      </c>
      <c r="BD153" s="258">
        <f>'FBMS-HND LEVEL TWO'!F726</f>
        <v>15</v>
      </c>
      <c r="BE153" s="258">
        <f>'FBMS-HND LEVEL TWO'!J726</f>
        <v>43</v>
      </c>
      <c r="BF153" s="258">
        <f>'FBMS-HND LEVEL TWO'!K726</f>
        <v>66</v>
      </c>
      <c r="BG153" s="258" t="str">
        <f>'FBMS-HND LEVEL TWO'!L726</f>
        <v>B</v>
      </c>
      <c r="BH153" s="271"/>
      <c r="BI153" s="272"/>
      <c r="BJ153" s="258"/>
      <c r="BK153" s="258"/>
      <c r="BL153" s="269"/>
      <c r="BM153" s="268"/>
      <c r="BN153" s="258"/>
      <c r="BO153" s="258"/>
      <c r="BP153" s="258"/>
      <c r="BQ153" s="269"/>
      <c r="BR153" s="268">
        <f>'FBMS-HND LEVEL TWO'!E865</f>
        <v>9</v>
      </c>
      <c r="BS153" s="258">
        <f>'FBMS-HND LEVEL TWO'!F865</f>
        <v>24</v>
      </c>
      <c r="BT153" s="258">
        <f>'FBMS-HND LEVEL TWO'!J865</f>
        <v>27</v>
      </c>
      <c r="BU153" s="258">
        <f>'FBMS-HND LEVEL TWO'!K865</f>
        <v>60</v>
      </c>
      <c r="BV153" s="269" t="str">
        <f>'FBMS-HND LEVEL TWO'!L865</f>
        <v>B</v>
      </c>
      <c r="BW153" s="270">
        <f>'FBMS-HND LEVEL TWO'!E898</f>
        <v>10</v>
      </c>
      <c r="BX153" s="258">
        <f>'FBMS-HND LEVEL TWO'!F898</f>
        <v>24</v>
      </c>
      <c r="BY153" s="258">
        <f>'FBMS-HND LEVEL TWO'!J898</f>
        <v>32</v>
      </c>
      <c r="BZ153" s="258">
        <f>'FBMS-HND LEVEL TWO'!K898</f>
        <v>66</v>
      </c>
      <c r="CA153" s="267" t="str">
        <f>'FBMS-HND LEVEL TWO'!L898</f>
        <v>B</v>
      </c>
      <c r="CB153" s="268">
        <f>'FBMS-HND LEVEL TWO'!E933</f>
        <v>10</v>
      </c>
      <c r="CC153" s="258">
        <f>'FBMS-HND LEVEL TWO'!F933</f>
        <v>23</v>
      </c>
      <c r="CD153" s="258">
        <f>'FBMS-HND LEVEL TWO'!J933</f>
        <v>30</v>
      </c>
      <c r="CE153" s="258">
        <f>'FBMS-HND LEVEL TWO'!K933</f>
        <v>63</v>
      </c>
      <c r="CF153" s="269" t="str">
        <f>'FBMS-HND LEVEL TWO'!L933</f>
        <v>B</v>
      </c>
      <c r="CG153" s="270">
        <f>'FBMS-HND LEVEL TWO'!E966</f>
        <v>10</v>
      </c>
      <c r="CH153" s="258">
        <f>'FBMS-HND LEVEL TWO'!F966</f>
        <v>23</v>
      </c>
      <c r="CI153" s="258">
        <f>'FBMS-HND LEVEL TWO'!J966</f>
        <v>28</v>
      </c>
      <c r="CJ153" s="258">
        <f>'FBMS-HND LEVEL TWO'!K966</f>
        <v>61</v>
      </c>
      <c r="CK153" s="258" t="str">
        <f>'FBMS-HND LEVEL TWO'!L966</f>
        <v>B</v>
      </c>
      <c r="CL153" s="268"/>
      <c r="CM153" s="258"/>
      <c r="CN153" s="258"/>
      <c r="CO153" s="258"/>
      <c r="CP153" s="269"/>
      <c r="CQ153" s="266"/>
      <c r="CR153" s="258"/>
      <c r="CS153" s="258"/>
      <c r="CT153" s="259"/>
      <c r="CU153" s="267"/>
      <c r="CV153" s="268"/>
      <c r="CW153" s="258"/>
      <c r="CX153" s="258"/>
      <c r="CY153" s="258"/>
      <c r="CZ153" s="269"/>
      <c r="DA153" s="268"/>
      <c r="DB153" s="258"/>
      <c r="DC153" s="258"/>
      <c r="DD153" s="258"/>
      <c r="DE153" s="269"/>
      <c r="DF153" s="268"/>
      <c r="DG153" s="258"/>
      <c r="DH153" s="258"/>
      <c r="DI153" s="258"/>
      <c r="DJ153" s="269"/>
      <c r="DK153" s="268"/>
      <c r="DL153" s="258"/>
      <c r="DM153" s="258"/>
      <c r="DN153" s="258"/>
      <c r="DO153" s="269"/>
      <c r="DP153" s="268"/>
      <c r="DQ153" s="258"/>
      <c r="DR153" s="258"/>
      <c r="DS153" s="258"/>
      <c r="DT153" s="269"/>
      <c r="DU153" s="268"/>
      <c r="DV153" s="258"/>
      <c r="DW153" s="258"/>
      <c r="DX153" s="258"/>
      <c r="DY153" s="269"/>
      <c r="DZ153" s="268"/>
      <c r="EA153" s="258"/>
      <c r="EB153" s="258"/>
      <c r="EC153" s="258"/>
      <c r="ED153" s="269"/>
    </row>
    <row r="154" spans="1:134" ht="15.75" customHeight="1" x14ac:dyDescent="0.3">
      <c r="A154" s="161">
        <v>28</v>
      </c>
      <c r="B154" s="12" t="s">
        <v>164</v>
      </c>
      <c r="C154" s="12" t="s">
        <v>114</v>
      </c>
      <c r="D154" s="12" t="s">
        <v>164</v>
      </c>
      <c r="E154" s="162">
        <f>'FBMS-HND LEVEL TWO'!E39</f>
        <v>8</v>
      </c>
      <c r="F154" s="157">
        <f>'FBMS-HND LEVEL TWO'!F39</f>
        <v>18</v>
      </c>
      <c r="G154" s="157">
        <f>'FBMS-HND LEVEL TWO'!J39</f>
        <v>24</v>
      </c>
      <c r="H154" s="158">
        <f>'FBMS-HND LEVEL TWO'!K39</f>
        <v>50</v>
      </c>
      <c r="I154" s="163" t="str">
        <f>'FBMS-HND LEVEL TWO'!L39</f>
        <v>C</v>
      </c>
      <c r="J154" s="164">
        <f>'FBMS-HND LEVEL TWO'!E108</f>
        <v>10</v>
      </c>
      <c r="K154" s="157">
        <f>'FBMS-HND LEVEL TWO'!F108</f>
        <v>19</v>
      </c>
      <c r="L154" s="157">
        <f>'FBMS-HND LEVEL TWO'!J108</f>
        <v>31</v>
      </c>
      <c r="M154" s="157">
        <f>'FBMS-HND LEVEL TWO'!K108</f>
        <v>60</v>
      </c>
      <c r="N154" s="165" t="str">
        <f>'FBMS-HND LEVEL TWO'!L108</f>
        <v>B</v>
      </c>
      <c r="O154" s="166">
        <f>'FBMS-HND LEVEL TWO'!E177</f>
        <v>9</v>
      </c>
      <c r="P154" s="157">
        <f>'FBMS-HND LEVEL TWO'!F177</f>
        <v>23</v>
      </c>
      <c r="Q154" s="157">
        <f>'FBMS-HND LEVEL TWO'!J177</f>
        <v>35</v>
      </c>
      <c r="R154" s="157">
        <f>'FBMS-HND LEVEL TWO'!K177</f>
        <v>67</v>
      </c>
      <c r="S154" s="163" t="str">
        <f>'FBMS-HND LEVEL TWO'!L177</f>
        <v>B</v>
      </c>
      <c r="T154" s="164">
        <f>'FBMS-HND LEVEL TWO'!E249</f>
        <v>9</v>
      </c>
      <c r="U154" s="157">
        <f>'FBMS-HND LEVEL TWO'!F249</f>
        <v>18</v>
      </c>
      <c r="V154" s="157">
        <f>'FBMS-HND LEVEL TWO'!J249</f>
        <v>34</v>
      </c>
      <c r="W154" s="157">
        <f>'FBMS-HND LEVEL TWO'!K249</f>
        <v>61</v>
      </c>
      <c r="X154" s="165" t="str">
        <f>'FBMS-HND LEVEL TWO'!L249</f>
        <v>B</v>
      </c>
      <c r="Y154" s="166">
        <f>'FBMS-HND LEVEL TWO'!E323</f>
        <v>10</v>
      </c>
      <c r="Z154" s="157">
        <f>'FBMS-HND LEVEL TWO'!F323</f>
        <v>26</v>
      </c>
      <c r="AA154" s="157">
        <f>'FBMS-HND LEVEL TWO'!J323</f>
        <v>36</v>
      </c>
      <c r="AB154" s="157">
        <f>'FBMS-HND LEVEL TWO'!K323</f>
        <v>72</v>
      </c>
      <c r="AC154" s="157" t="str">
        <f>'FBMS-HND LEVEL TWO'!L323</f>
        <v>B+</v>
      </c>
      <c r="AD154" s="164"/>
      <c r="AE154" s="157"/>
      <c r="AF154" s="157"/>
      <c r="AG154" s="157"/>
      <c r="AH154" s="165"/>
      <c r="AI154" s="266">
        <f>'FBMS-HND LEVEL TWO'!E449</f>
        <v>10</v>
      </c>
      <c r="AJ154" s="258">
        <f>'FBMS-HND LEVEL TWO'!F449</f>
        <v>24.5</v>
      </c>
      <c r="AK154" s="258">
        <f>'FBMS-HND LEVEL TWO'!J449</f>
        <v>49</v>
      </c>
      <c r="AL154" s="259">
        <f>'FBMS-HND LEVEL TWO'!K449</f>
        <v>83.5</v>
      </c>
      <c r="AM154" s="267" t="str">
        <f>'FBMS-HND LEVEL TWO'!L449</f>
        <v>A</v>
      </c>
      <c r="AN154" s="268">
        <f>'FBMS-HND LEVEL TWO'!E524</f>
        <v>10</v>
      </c>
      <c r="AO154" s="258">
        <f>'FBMS-HND LEVEL TWO'!F524</f>
        <v>17</v>
      </c>
      <c r="AP154" s="258">
        <f>'FBMS-HND LEVEL TWO'!J524</f>
        <v>37</v>
      </c>
      <c r="AQ154" s="258">
        <f>'FBMS-HND LEVEL TWO'!K524</f>
        <v>64</v>
      </c>
      <c r="AR154" s="269" t="str">
        <f>'FBMS-HND LEVEL TWO'!L524</f>
        <v>B</v>
      </c>
      <c r="AS154" s="270">
        <f>'FBMS-HND LEVEL TWO'!E602</f>
        <v>10</v>
      </c>
      <c r="AT154" s="258">
        <f>'FBMS-HND LEVEL TWO'!F602</f>
        <v>23</v>
      </c>
      <c r="AU154" s="258">
        <f>'FBMS-HND LEVEL TWO'!J602</f>
        <v>33</v>
      </c>
      <c r="AV154" s="258">
        <f>'FBMS-HND LEVEL TWO'!K602</f>
        <v>66</v>
      </c>
      <c r="AW154" s="267" t="str">
        <f>'FBMS-HND LEVEL TWO'!L602</f>
        <v>B</v>
      </c>
      <c r="AX154" s="268">
        <f>'FBMS-HND LEVEL TWO'!E675</f>
        <v>8</v>
      </c>
      <c r="AY154" s="258">
        <f>'FBMS-HND LEVEL TWO'!F675</f>
        <v>17</v>
      </c>
      <c r="AZ154" s="258">
        <f>'FBMS-HND LEVEL TWO'!J675</f>
        <v>15</v>
      </c>
      <c r="BA154" s="258">
        <f>'FBMS-HND LEVEL TWO'!K675</f>
        <v>40</v>
      </c>
      <c r="BB154" s="269" t="str">
        <f>'FBMS-HND LEVEL TWO'!L675</f>
        <v>D</v>
      </c>
      <c r="BC154" s="270">
        <f>'FBMS-HND LEVEL TWO'!E727</f>
        <v>9</v>
      </c>
      <c r="BD154" s="258">
        <f>'FBMS-HND LEVEL TWO'!F727</f>
        <v>15</v>
      </c>
      <c r="BE154" s="258">
        <f>'FBMS-HND LEVEL TWO'!J727</f>
        <v>27</v>
      </c>
      <c r="BF154" s="258">
        <f>'FBMS-HND LEVEL TWO'!K727</f>
        <v>51</v>
      </c>
      <c r="BG154" s="258" t="str">
        <f>'FBMS-HND LEVEL TWO'!L727</f>
        <v>C</v>
      </c>
      <c r="BH154" s="268"/>
      <c r="BI154" s="258"/>
      <c r="BJ154" s="258"/>
      <c r="BK154" s="258"/>
      <c r="BL154" s="269"/>
      <c r="BM154" s="268"/>
      <c r="BN154" s="258"/>
      <c r="BO154" s="258"/>
      <c r="BP154" s="258"/>
      <c r="BQ154" s="269"/>
      <c r="BR154" s="268">
        <f>'FBMS-HND LEVEL TWO'!E866</f>
        <v>10</v>
      </c>
      <c r="BS154" s="258">
        <f>'FBMS-HND LEVEL TWO'!F866</f>
        <v>26</v>
      </c>
      <c r="BT154" s="258">
        <f>'FBMS-HND LEVEL TWO'!J866</f>
        <v>24</v>
      </c>
      <c r="BU154" s="258">
        <f>'FBMS-HND LEVEL TWO'!K866</f>
        <v>60</v>
      </c>
      <c r="BV154" s="269" t="str">
        <f>'FBMS-HND LEVEL TWO'!L866</f>
        <v>B</v>
      </c>
      <c r="BW154" s="270">
        <f>'FBMS-HND LEVEL TWO'!E899</f>
        <v>10</v>
      </c>
      <c r="BX154" s="258">
        <f>'FBMS-HND LEVEL TWO'!F899</f>
        <v>25</v>
      </c>
      <c r="BY154" s="258">
        <f>'FBMS-HND LEVEL TWO'!J899</f>
        <v>39</v>
      </c>
      <c r="BZ154" s="258">
        <f>'FBMS-HND LEVEL TWO'!K899</f>
        <v>74</v>
      </c>
      <c r="CA154" s="267" t="str">
        <f>'FBMS-HND LEVEL TWO'!L899</f>
        <v>B+</v>
      </c>
      <c r="CB154" s="268">
        <f>'FBMS-HND LEVEL TWO'!E934</f>
        <v>10</v>
      </c>
      <c r="CC154" s="258">
        <f>'FBMS-HND LEVEL TWO'!F934</f>
        <v>25</v>
      </c>
      <c r="CD154" s="258">
        <f>'FBMS-HND LEVEL TWO'!J934</f>
        <v>30</v>
      </c>
      <c r="CE154" s="258">
        <f>'FBMS-HND LEVEL TWO'!K934</f>
        <v>65</v>
      </c>
      <c r="CF154" s="269" t="str">
        <f>'FBMS-HND LEVEL TWO'!L934</f>
        <v>B</v>
      </c>
      <c r="CG154" s="270">
        <f>'FBMS-HND LEVEL TWO'!E967</f>
        <v>10</v>
      </c>
      <c r="CH154" s="258">
        <f>'FBMS-HND LEVEL TWO'!F967</f>
        <v>20</v>
      </c>
      <c r="CI154" s="258">
        <f>'FBMS-HND LEVEL TWO'!J967</f>
        <v>37</v>
      </c>
      <c r="CJ154" s="258">
        <f>'FBMS-HND LEVEL TWO'!K967</f>
        <v>67</v>
      </c>
      <c r="CK154" s="258" t="str">
        <f>'FBMS-HND LEVEL TWO'!L967</f>
        <v>B</v>
      </c>
      <c r="CL154" s="268"/>
      <c r="CM154" s="258"/>
      <c r="CN154" s="258"/>
      <c r="CO154" s="258"/>
      <c r="CP154" s="269"/>
      <c r="CQ154" s="266"/>
      <c r="CR154" s="258"/>
      <c r="CS154" s="258"/>
      <c r="CT154" s="259"/>
      <c r="CU154" s="267"/>
      <c r="CV154" s="268"/>
      <c r="CW154" s="258"/>
      <c r="CX154" s="258"/>
      <c r="CY154" s="258"/>
      <c r="CZ154" s="269"/>
      <c r="DA154" s="268"/>
      <c r="DB154" s="258"/>
      <c r="DC154" s="258"/>
      <c r="DD154" s="258"/>
      <c r="DE154" s="269"/>
      <c r="DF154" s="268"/>
      <c r="DG154" s="258"/>
      <c r="DH154" s="258"/>
      <c r="DI154" s="258"/>
      <c r="DJ154" s="269"/>
      <c r="DK154" s="268"/>
      <c r="DL154" s="258"/>
      <c r="DM154" s="258"/>
      <c r="DN154" s="258"/>
      <c r="DO154" s="269"/>
      <c r="DP154" s="268"/>
      <c r="DQ154" s="258"/>
      <c r="DR154" s="258"/>
      <c r="DS154" s="258"/>
      <c r="DT154" s="269"/>
      <c r="DU154" s="268"/>
      <c r="DV154" s="258"/>
      <c r="DW154" s="258"/>
      <c r="DX154" s="258"/>
      <c r="DY154" s="269"/>
      <c r="DZ154" s="268"/>
      <c r="EA154" s="258"/>
      <c r="EB154" s="258"/>
      <c r="EC154" s="258"/>
      <c r="ED154" s="269"/>
    </row>
    <row r="155" spans="1:134" ht="17.25" customHeight="1" x14ac:dyDescent="0.3">
      <c r="A155" s="154">
        <v>29</v>
      </c>
      <c r="B155" s="60" t="s">
        <v>165</v>
      </c>
      <c r="C155" s="12" t="s">
        <v>116</v>
      </c>
      <c r="D155" s="60" t="s">
        <v>165</v>
      </c>
      <c r="E155" s="162">
        <f>'FBMS-HND LEVEL TWO'!E40</f>
        <v>8</v>
      </c>
      <c r="F155" s="157">
        <f>'FBMS-HND LEVEL TWO'!F40</f>
        <v>21</v>
      </c>
      <c r="G155" s="157">
        <f>'FBMS-HND LEVEL TWO'!J40</f>
        <v>35</v>
      </c>
      <c r="H155" s="158">
        <f>'FBMS-HND LEVEL TWO'!K40</f>
        <v>64</v>
      </c>
      <c r="I155" s="163" t="str">
        <f>'FBMS-HND LEVEL TWO'!L40</f>
        <v>B</v>
      </c>
      <c r="J155" s="164">
        <f>'FBMS-HND LEVEL TWO'!E109</f>
        <v>10</v>
      </c>
      <c r="K155" s="157">
        <f>'FBMS-HND LEVEL TWO'!F109</f>
        <v>26</v>
      </c>
      <c r="L155" s="157">
        <f>'FBMS-HND LEVEL TWO'!J109</f>
        <v>46</v>
      </c>
      <c r="M155" s="157">
        <f>'FBMS-HND LEVEL TWO'!K109</f>
        <v>82</v>
      </c>
      <c r="N155" s="165" t="str">
        <f>'FBMS-HND LEVEL TWO'!L109</f>
        <v>A</v>
      </c>
      <c r="O155" s="166">
        <f>'FBMS-HND LEVEL TWO'!E178</f>
        <v>10</v>
      </c>
      <c r="P155" s="157">
        <f>'FBMS-HND LEVEL TWO'!F178</f>
        <v>27</v>
      </c>
      <c r="Q155" s="157">
        <f>'FBMS-HND LEVEL TWO'!J178</f>
        <v>40</v>
      </c>
      <c r="R155" s="157">
        <f>'FBMS-HND LEVEL TWO'!K178</f>
        <v>77</v>
      </c>
      <c r="S155" s="163" t="str">
        <f>'FBMS-HND LEVEL TWO'!L178</f>
        <v>B+</v>
      </c>
      <c r="T155" s="164">
        <f>'FBMS-HND LEVEL TWO'!E250</f>
        <v>10</v>
      </c>
      <c r="U155" s="157">
        <f>'FBMS-HND LEVEL TWO'!F250</f>
        <v>20</v>
      </c>
      <c r="V155" s="157">
        <f>'FBMS-HND LEVEL TWO'!J250</f>
        <v>54</v>
      </c>
      <c r="W155" s="157">
        <f>'FBMS-HND LEVEL TWO'!K250</f>
        <v>84</v>
      </c>
      <c r="X155" s="165" t="str">
        <f>'FBMS-HND LEVEL TWO'!L250</f>
        <v>A</v>
      </c>
      <c r="Y155" s="166">
        <f>'FBMS-HND LEVEL TWO'!E324</f>
        <v>10</v>
      </c>
      <c r="Z155" s="157">
        <f>'FBMS-HND LEVEL TWO'!F324</f>
        <v>26</v>
      </c>
      <c r="AA155" s="157">
        <f>'FBMS-HND LEVEL TWO'!J324</f>
        <v>34</v>
      </c>
      <c r="AB155" s="157">
        <f>'FBMS-HND LEVEL TWO'!K324</f>
        <v>70</v>
      </c>
      <c r="AC155" s="157" t="str">
        <f>'FBMS-HND LEVEL TWO'!L324</f>
        <v>B+</v>
      </c>
      <c r="AD155" s="164"/>
      <c r="AE155" s="157"/>
      <c r="AF155" s="157"/>
      <c r="AG155" s="157"/>
      <c r="AH155" s="165"/>
      <c r="AI155" s="266">
        <f>'FBMS-HND LEVEL TWO'!E450</f>
        <v>10</v>
      </c>
      <c r="AJ155" s="258">
        <f>'FBMS-HND LEVEL TWO'!F450</f>
        <v>29</v>
      </c>
      <c r="AK155" s="258">
        <f>'FBMS-HND LEVEL TWO'!J450</f>
        <v>54</v>
      </c>
      <c r="AL155" s="259">
        <f>'FBMS-HND LEVEL TWO'!K450</f>
        <v>93</v>
      </c>
      <c r="AM155" s="267" t="str">
        <f>'FBMS-HND LEVEL TWO'!L450</f>
        <v>A</v>
      </c>
      <c r="AN155" s="268">
        <f>'FBMS-HND LEVEL TWO'!E525</f>
        <v>10</v>
      </c>
      <c r="AO155" s="258">
        <f>'FBMS-HND LEVEL TWO'!F525</f>
        <v>23</v>
      </c>
      <c r="AP155" s="258">
        <f>'FBMS-HND LEVEL TWO'!J525</f>
        <v>50</v>
      </c>
      <c r="AQ155" s="258">
        <f>'FBMS-HND LEVEL TWO'!K525</f>
        <v>83</v>
      </c>
      <c r="AR155" s="269" t="str">
        <f>'FBMS-HND LEVEL TWO'!L525</f>
        <v>A</v>
      </c>
      <c r="AS155" s="270">
        <f>'FBMS-HND LEVEL TWO'!E603</f>
        <v>10</v>
      </c>
      <c r="AT155" s="258">
        <f>'FBMS-HND LEVEL TWO'!F603</f>
        <v>26</v>
      </c>
      <c r="AU155" s="258">
        <f>'FBMS-HND LEVEL TWO'!J603</f>
        <v>56</v>
      </c>
      <c r="AV155" s="258">
        <f>'FBMS-HND LEVEL TWO'!K603</f>
        <v>92</v>
      </c>
      <c r="AW155" s="267" t="str">
        <f>'FBMS-HND LEVEL TWO'!L603</f>
        <v>A</v>
      </c>
      <c r="AX155" s="268">
        <f>'FBMS-HND LEVEL TWO'!E676</f>
        <v>10</v>
      </c>
      <c r="AY155" s="258">
        <f>'FBMS-HND LEVEL TWO'!F676</f>
        <v>22</v>
      </c>
      <c r="AZ155" s="258">
        <f>'FBMS-HND LEVEL TWO'!J676</f>
        <v>48</v>
      </c>
      <c r="BA155" s="258">
        <f>'FBMS-HND LEVEL TWO'!K676</f>
        <v>80</v>
      </c>
      <c r="BB155" s="269" t="str">
        <f>'FBMS-HND LEVEL TWO'!L676</f>
        <v>A</v>
      </c>
      <c r="BC155" s="270">
        <f>'FBMS-HND LEVEL TWO'!E728</f>
        <v>10</v>
      </c>
      <c r="BD155" s="258">
        <f>'FBMS-HND LEVEL TWO'!F728</f>
        <v>24</v>
      </c>
      <c r="BE155" s="258">
        <f>'FBMS-HND LEVEL TWO'!J728</f>
        <v>47</v>
      </c>
      <c r="BF155" s="258">
        <f>'FBMS-HND LEVEL TWO'!K728</f>
        <v>81</v>
      </c>
      <c r="BG155" s="258" t="str">
        <f>'FBMS-HND LEVEL TWO'!L728</f>
        <v>A</v>
      </c>
      <c r="BH155" s="268"/>
      <c r="BI155" s="258"/>
      <c r="BJ155" s="258"/>
      <c r="BK155" s="258"/>
      <c r="BL155" s="269"/>
      <c r="BM155" s="268"/>
      <c r="BN155" s="258"/>
      <c r="BO155" s="258"/>
      <c r="BP155" s="258"/>
      <c r="BQ155" s="269"/>
      <c r="BR155" s="268">
        <f>'FBMS-HND LEVEL TWO'!E867</f>
        <v>10</v>
      </c>
      <c r="BS155" s="258">
        <f>'FBMS-HND LEVEL TWO'!F867</f>
        <v>27</v>
      </c>
      <c r="BT155" s="258">
        <f>'FBMS-HND LEVEL TWO'!J867</f>
        <v>52</v>
      </c>
      <c r="BU155" s="258">
        <f>'FBMS-HND LEVEL TWO'!K867</f>
        <v>89</v>
      </c>
      <c r="BV155" s="269" t="str">
        <f>'FBMS-HND LEVEL TWO'!L867</f>
        <v>A</v>
      </c>
      <c r="BW155" s="270">
        <f>'FBMS-HND LEVEL TWO'!E900</f>
        <v>10</v>
      </c>
      <c r="BX155" s="258">
        <f>'FBMS-HND LEVEL TWO'!F900</f>
        <v>24</v>
      </c>
      <c r="BY155" s="258">
        <f>'FBMS-HND LEVEL TWO'!J900</f>
        <v>54</v>
      </c>
      <c r="BZ155" s="258">
        <f>'FBMS-HND LEVEL TWO'!K900</f>
        <v>88</v>
      </c>
      <c r="CA155" s="267" t="str">
        <f>'FBMS-HND LEVEL TWO'!L900</f>
        <v>A</v>
      </c>
      <c r="CB155" s="268">
        <f>'FBMS-HND LEVEL TWO'!E935</f>
        <v>10</v>
      </c>
      <c r="CC155" s="258">
        <f>'FBMS-HND LEVEL TWO'!F935</f>
        <v>25</v>
      </c>
      <c r="CD155" s="258">
        <f>'FBMS-HND LEVEL TWO'!J935</f>
        <v>49</v>
      </c>
      <c r="CE155" s="258">
        <f>'FBMS-HND LEVEL TWO'!K935</f>
        <v>84</v>
      </c>
      <c r="CF155" s="269" t="str">
        <f>'FBMS-HND LEVEL TWO'!L935</f>
        <v>A</v>
      </c>
      <c r="CG155" s="270">
        <f>'FBMS-HND LEVEL TWO'!E968</f>
        <v>10</v>
      </c>
      <c r="CH155" s="258">
        <f>'FBMS-HND LEVEL TWO'!F968</f>
        <v>26</v>
      </c>
      <c r="CI155" s="258">
        <f>'FBMS-HND LEVEL TWO'!J968</f>
        <v>43</v>
      </c>
      <c r="CJ155" s="258">
        <f>'FBMS-HND LEVEL TWO'!K968</f>
        <v>79</v>
      </c>
      <c r="CK155" s="258" t="str">
        <f>'FBMS-HND LEVEL TWO'!L968</f>
        <v>B+</v>
      </c>
      <c r="CL155" s="268"/>
      <c r="CM155" s="258"/>
      <c r="CN155" s="258"/>
      <c r="CO155" s="258"/>
      <c r="CP155" s="269"/>
      <c r="CQ155" s="266"/>
      <c r="CR155" s="258"/>
      <c r="CS155" s="258"/>
      <c r="CT155" s="259"/>
      <c r="CU155" s="267"/>
      <c r="CV155" s="268"/>
      <c r="CW155" s="258"/>
      <c r="CX155" s="258"/>
      <c r="CY155" s="258"/>
      <c r="CZ155" s="269"/>
      <c r="DA155" s="268"/>
      <c r="DB155" s="258"/>
      <c r="DC155" s="258"/>
      <c r="DD155" s="258"/>
      <c r="DE155" s="269"/>
      <c r="DF155" s="268"/>
      <c r="DG155" s="258"/>
      <c r="DH155" s="258"/>
      <c r="DI155" s="258"/>
      <c r="DJ155" s="269"/>
      <c r="DK155" s="268"/>
      <c r="DL155" s="258"/>
      <c r="DM155" s="258"/>
      <c r="DN155" s="258"/>
      <c r="DO155" s="269"/>
      <c r="DP155" s="268"/>
      <c r="DQ155" s="258"/>
      <c r="DR155" s="258"/>
      <c r="DS155" s="258"/>
      <c r="DT155" s="269"/>
      <c r="DU155" s="268"/>
      <c r="DV155" s="258"/>
      <c r="DW155" s="258"/>
      <c r="DX155" s="258"/>
      <c r="DY155" s="269"/>
      <c r="DZ155" s="268"/>
      <c r="EA155" s="258"/>
      <c r="EB155" s="258"/>
      <c r="EC155" s="258"/>
      <c r="ED155" s="269"/>
    </row>
    <row r="156" spans="1:134" ht="17.25" customHeight="1" x14ac:dyDescent="0.3">
      <c r="A156" s="161">
        <v>30</v>
      </c>
      <c r="B156" s="12" t="s">
        <v>206</v>
      </c>
      <c r="C156" s="12" t="s">
        <v>123</v>
      </c>
      <c r="D156" s="12" t="s">
        <v>206</v>
      </c>
      <c r="E156" s="162">
        <f>'FBMS-HND LEVEL TWO'!E41</f>
        <v>8</v>
      </c>
      <c r="F156" s="157">
        <f>'FBMS-HND LEVEL TWO'!F41</f>
        <v>21</v>
      </c>
      <c r="G156" s="157">
        <f>'FBMS-HND LEVEL TWO'!J41</f>
        <v>30</v>
      </c>
      <c r="H156" s="158">
        <f>'FBMS-HND LEVEL TWO'!K41</f>
        <v>59</v>
      </c>
      <c r="I156" s="163" t="str">
        <f>'FBMS-HND LEVEL TWO'!L41</f>
        <v>C+</v>
      </c>
      <c r="J156" s="164">
        <f>'FBMS-HND LEVEL TWO'!E110</f>
        <v>10</v>
      </c>
      <c r="K156" s="157">
        <f>'FBMS-HND LEVEL TWO'!F110</f>
        <v>21</v>
      </c>
      <c r="L156" s="157">
        <f>'FBMS-HND LEVEL TWO'!J110</f>
        <v>36</v>
      </c>
      <c r="M156" s="157">
        <f>'FBMS-HND LEVEL TWO'!K110</f>
        <v>67</v>
      </c>
      <c r="N156" s="165" t="str">
        <f>'FBMS-HND LEVEL TWO'!L110</f>
        <v>B</v>
      </c>
      <c r="O156" s="166">
        <f>'FBMS-HND LEVEL TWO'!E179</f>
        <v>10</v>
      </c>
      <c r="P156" s="157">
        <f>'FBMS-HND LEVEL TWO'!F179</f>
        <v>21</v>
      </c>
      <c r="Q156" s="157">
        <f>'FBMS-HND LEVEL TWO'!J179</f>
        <v>29</v>
      </c>
      <c r="R156" s="157">
        <f>'FBMS-HND LEVEL TWO'!K179</f>
        <v>60</v>
      </c>
      <c r="S156" s="163" t="str">
        <f>'FBMS-HND LEVEL TWO'!L179</f>
        <v>B</v>
      </c>
      <c r="T156" s="164">
        <f>'FBMS-HND LEVEL TWO'!E251</f>
        <v>10</v>
      </c>
      <c r="U156" s="157">
        <f>'FBMS-HND LEVEL TWO'!F251</f>
        <v>21</v>
      </c>
      <c r="V156" s="157">
        <f>'FBMS-HND LEVEL TWO'!J251</f>
        <v>34</v>
      </c>
      <c r="W156" s="157">
        <f>'FBMS-HND LEVEL TWO'!K251</f>
        <v>65</v>
      </c>
      <c r="X156" s="165" t="str">
        <f>'FBMS-HND LEVEL TWO'!L251</f>
        <v>B</v>
      </c>
      <c r="Y156" s="166">
        <f>'FBMS-HND LEVEL TWO'!E325</f>
        <v>10</v>
      </c>
      <c r="Z156" s="157">
        <f>'FBMS-HND LEVEL TWO'!F325</f>
        <v>22</v>
      </c>
      <c r="AA156" s="157">
        <f>'FBMS-HND LEVEL TWO'!J325</f>
        <v>33</v>
      </c>
      <c r="AB156" s="157">
        <f>'FBMS-HND LEVEL TWO'!K325</f>
        <v>65</v>
      </c>
      <c r="AC156" s="157" t="str">
        <f>'FBMS-HND LEVEL TWO'!L325</f>
        <v>B</v>
      </c>
      <c r="AD156" s="164"/>
      <c r="AE156" s="157"/>
      <c r="AF156" s="157"/>
      <c r="AG156" s="157"/>
      <c r="AH156" s="165"/>
      <c r="AI156" s="266">
        <f>'FBMS-HND LEVEL TWO'!E451</f>
        <v>10</v>
      </c>
      <c r="AJ156" s="258">
        <f>'FBMS-HND LEVEL TWO'!F451</f>
        <v>19</v>
      </c>
      <c r="AK156" s="258">
        <f>'FBMS-HND LEVEL TWO'!J451</f>
        <v>44</v>
      </c>
      <c r="AL156" s="259">
        <f>'FBMS-HND LEVEL TWO'!K451</f>
        <v>73</v>
      </c>
      <c r="AM156" s="267" t="str">
        <f>'FBMS-HND LEVEL TWO'!L451</f>
        <v>B+</v>
      </c>
      <c r="AN156" s="268">
        <f>'FBMS-HND LEVEL TWO'!E526</f>
        <v>10</v>
      </c>
      <c r="AO156" s="258">
        <f>'FBMS-HND LEVEL TWO'!F526</f>
        <v>17</v>
      </c>
      <c r="AP156" s="258">
        <f>'FBMS-HND LEVEL TWO'!J526</f>
        <v>39</v>
      </c>
      <c r="AQ156" s="258">
        <f>'FBMS-HND LEVEL TWO'!K526</f>
        <v>66</v>
      </c>
      <c r="AR156" s="269" t="str">
        <f>'FBMS-HND LEVEL TWO'!L526</f>
        <v>B</v>
      </c>
      <c r="AS156" s="270">
        <f>'FBMS-HND LEVEL TWO'!E604</f>
        <v>10</v>
      </c>
      <c r="AT156" s="258">
        <f>'FBMS-HND LEVEL TWO'!F604</f>
        <v>23</v>
      </c>
      <c r="AU156" s="258">
        <f>'FBMS-HND LEVEL TWO'!J604</f>
        <v>33</v>
      </c>
      <c r="AV156" s="258">
        <f>'FBMS-HND LEVEL TWO'!K604</f>
        <v>66</v>
      </c>
      <c r="AW156" s="267" t="str">
        <f>'FBMS-HND LEVEL TWO'!L604</f>
        <v>B</v>
      </c>
      <c r="AX156" s="268">
        <f>'FBMS-HND LEVEL TWO'!E677</f>
        <v>8</v>
      </c>
      <c r="AY156" s="258">
        <f>'FBMS-HND LEVEL TWO'!F677</f>
        <v>13</v>
      </c>
      <c r="AZ156" s="258">
        <f>'FBMS-HND LEVEL TWO'!J677</f>
        <v>38</v>
      </c>
      <c r="BA156" s="258">
        <f>'FBMS-HND LEVEL TWO'!K677</f>
        <v>59</v>
      </c>
      <c r="BB156" s="269" t="str">
        <f>'FBMS-HND LEVEL TWO'!L677</f>
        <v>C+</v>
      </c>
      <c r="BC156" s="270">
        <f>'FBMS-HND LEVEL TWO'!E729</f>
        <v>10</v>
      </c>
      <c r="BD156" s="258">
        <f>'FBMS-HND LEVEL TWO'!F729</f>
        <v>15</v>
      </c>
      <c r="BE156" s="258">
        <f>'FBMS-HND LEVEL TWO'!J729</f>
        <v>16</v>
      </c>
      <c r="BF156" s="258">
        <f>'FBMS-HND LEVEL TWO'!K729</f>
        <v>41</v>
      </c>
      <c r="BG156" s="258" t="str">
        <f>'FBMS-HND LEVEL TWO'!L729</f>
        <v>D</v>
      </c>
      <c r="BH156" s="268"/>
      <c r="BI156" s="258"/>
      <c r="BJ156" s="258"/>
      <c r="BK156" s="258"/>
      <c r="BL156" s="269"/>
      <c r="BM156" s="268"/>
      <c r="BN156" s="258"/>
      <c r="BO156" s="258"/>
      <c r="BP156" s="258"/>
      <c r="BQ156" s="269"/>
      <c r="BR156" s="268">
        <f>'FBMS-HND LEVEL TWO'!E868</f>
        <v>10</v>
      </c>
      <c r="BS156" s="258">
        <f>'FBMS-HND LEVEL TWO'!F868</f>
        <v>24</v>
      </c>
      <c r="BT156" s="258">
        <f>'FBMS-HND LEVEL TWO'!J868</f>
        <v>31</v>
      </c>
      <c r="BU156" s="258">
        <f>'FBMS-HND LEVEL TWO'!K868</f>
        <v>65</v>
      </c>
      <c r="BV156" s="269" t="str">
        <f>'FBMS-HND LEVEL TWO'!L868</f>
        <v>B</v>
      </c>
      <c r="BW156" s="270">
        <f>'FBMS-HND LEVEL TWO'!E901</f>
        <v>10</v>
      </c>
      <c r="BX156" s="258">
        <f>'FBMS-HND LEVEL TWO'!F901</f>
        <v>25</v>
      </c>
      <c r="BY156" s="258">
        <f>'FBMS-HND LEVEL TWO'!J901</f>
        <v>37</v>
      </c>
      <c r="BZ156" s="258">
        <f>'FBMS-HND LEVEL TWO'!K901</f>
        <v>72</v>
      </c>
      <c r="CA156" s="267" t="str">
        <f>'FBMS-HND LEVEL TWO'!L901</f>
        <v>B+</v>
      </c>
      <c r="CB156" s="268">
        <f>'FBMS-HND LEVEL TWO'!E936</f>
        <v>10</v>
      </c>
      <c r="CC156" s="258">
        <f>'FBMS-HND LEVEL TWO'!F936</f>
        <v>25</v>
      </c>
      <c r="CD156" s="258">
        <f>'FBMS-HND LEVEL TWO'!J936</f>
        <v>34</v>
      </c>
      <c r="CE156" s="258">
        <f>'FBMS-HND LEVEL TWO'!K936</f>
        <v>69</v>
      </c>
      <c r="CF156" s="269" t="str">
        <f>'FBMS-HND LEVEL TWO'!L936</f>
        <v>B</v>
      </c>
      <c r="CG156" s="270">
        <f>'FBMS-HND LEVEL TWO'!E969</f>
        <v>10</v>
      </c>
      <c r="CH156" s="258">
        <f>'FBMS-HND LEVEL TWO'!F969</f>
        <v>20</v>
      </c>
      <c r="CI156" s="258">
        <f>'FBMS-HND LEVEL TWO'!J969</f>
        <v>34</v>
      </c>
      <c r="CJ156" s="258">
        <f>'FBMS-HND LEVEL TWO'!K969</f>
        <v>64</v>
      </c>
      <c r="CK156" s="258" t="str">
        <f>'FBMS-HND LEVEL TWO'!L969</f>
        <v>B</v>
      </c>
      <c r="CL156" s="268"/>
      <c r="CM156" s="258"/>
      <c r="CN156" s="258"/>
      <c r="CO156" s="258"/>
      <c r="CP156" s="269"/>
      <c r="CQ156" s="266"/>
      <c r="CR156" s="258"/>
      <c r="CS156" s="258"/>
      <c r="CT156" s="259"/>
      <c r="CU156" s="267"/>
      <c r="CV156" s="268"/>
      <c r="CW156" s="258"/>
      <c r="CX156" s="258"/>
      <c r="CY156" s="258"/>
      <c r="CZ156" s="269"/>
      <c r="DA156" s="268"/>
      <c r="DB156" s="258"/>
      <c r="DC156" s="258"/>
      <c r="DD156" s="258"/>
      <c r="DE156" s="269"/>
      <c r="DF156" s="268"/>
      <c r="DG156" s="258"/>
      <c r="DH156" s="258"/>
      <c r="DI156" s="258"/>
      <c r="DJ156" s="269"/>
      <c r="DK156" s="268"/>
      <c r="DL156" s="258"/>
      <c r="DM156" s="258"/>
      <c r="DN156" s="258"/>
      <c r="DO156" s="269"/>
      <c r="DP156" s="268"/>
      <c r="DQ156" s="258"/>
      <c r="DR156" s="258"/>
      <c r="DS156" s="258"/>
      <c r="DT156" s="269"/>
      <c r="DU156" s="268"/>
      <c r="DV156" s="258"/>
      <c r="DW156" s="258"/>
      <c r="DX156" s="258"/>
      <c r="DY156" s="269"/>
      <c r="DZ156" s="268"/>
      <c r="EA156" s="258"/>
      <c r="EB156" s="258"/>
      <c r="EC156" s="258"/>
      <c r="ED156" s="269"/>
    </row>
    <row r="157" spans="1:134" ht="17.25" customHeight="1" x14ac:dyDescent="0.3">
      <c r="A157" s="154">
        <v>31</v>
      </c>
      <c r="B157" s="12" t="s">
        <v>202</v>
      </c>
      <c r="C157" s="12" t="s">
        <v>135</v>
      </c>
      <c r="D157" s="12" t="s">
        <v>202</v>
      </c>
      <c r="E157" s="162">
        <f>'FBMS-HND LEVEL TWO'!E42</f>
        <v>0</v>
      </c>
      <c r="F157" s="157">
        <f>'FBMS-HND LEVEL TWO'!F42</f>
        <v>0</v>
      </c>
      <c r="G157" s="157">
        <f>'FBMS-HND LEVEL TWO'!J42</f>
        <v>0</v>
      </c>
      <c r="H157" s="158">
        <f>'FBMS-HND LEVEL TWO'!K42</f>
        <v>0</v>
      </c>
      <c r="I157" s="163">
        <f>'FBMS-HND LEVEL TWO'!L42</f>
        <v>0</v>
      </c>
      <c r="J157" s="164">
        <f>'FBMS-HND LEVEL TWO'!E111</f>
        <v>8</v>
      </c>
      <c r="K157" s="157">
        <f>'FBMS-HND LEVEL TWO'!F111</f>
        <v>23</v>
      </c>
      <c r="L157" s="157" t="str">
        <f>'FBMS-HND LEVEL TWO'!J111</f>
        <v>ABS</v>
      </c>
      <c r="M157" s="157">
        <f>'FBMS-HND LEVEL TWO'!K111</f>
        <v>0</v>
      </c>
      <c r="N157" s="165">
        <f>'FBMS-HND LEVEL TWO'!L111</f>
        <v>0</v>
      </c>
      <c r="O157" s="166">
        <f>'FBMS-HND LEVEL TWO'!E180</f>
        <v>4</v>
      </c>
      <c r="P157" s="157">
        <f>'FBMS-HND LEVEL TWO'!F180</f>
        <v>21</v>
      </c>
      <c r="Q157" s="157">
        <f>'FBMS-HND LEVEL TWO'!J180</f>
        <v>30</v>
      </c>
      <c r="R157" s="157">
        <f>'FBMS-HND LEVEL TWO'!K180</f>
        <v>55</v>
      </c>
      <c r="S157" s="163" t="str">
        <f>'FBMS-HND LEVEL TWO'!L180</f>
        <v>C+</v>
      </c>
      <c r="T157" s="164">
        <f>'FBMS-HND LEVEL TWO'!E252</f>
        <v>8</v>
      </c>
      <c r="U157" s="157">
        <f>'FBMS-HND LEVEL TWO'!F252</f>
        <v>21</v>
      </c>
      <c r="V157" s="157">
        <f>'FBMS-HND LEVEL TWO'!J252</f>
        <v>34</v>
      </c>
      <c r="W157" s="157">
        <f>'FBMS-HND LEVEL TWO'!K252</f>
        <v>63</v>
      </c>
      <c r="X157" s="165" t="str">
        <f>'FBMS-HND LEVEL TWO'!L252</f>
        <v>B</v>
      </c>
      <c r="Y157" s="166">
        <f>'FBMS-HND LEVEL TWO'!E326</f>
        <v>8</v>
      </c>
      <c r="Z157" s="157">
        <f>'FBMS-HND LEVEL TWO'!F326</f>
        <v>24</v>
      </c>
      <c r="AA157" s="157">
        <f>'FBMS-HND LEVEL TWO'!J326</f>
        <v>32</v>
      </c>
      <c r="AB157" s="157">
        <f>'FBMS-HND LEVEL TWO'!K326</f>
        <v>64</v>
      </c>
      <c r="AC157" s="157" t="str">
        <f>'FBMS-HND LEVEL TWO'!L326</f>
        <v>B</v>
      </c>
      <c r="AD157" s="164"/>
      <c r="AE157" s="157"/>
      <c r="AF157" s="157"/>
      <c r="AG157" s="157"/>
      <c r="AH157" s="165"/>
      <c r="AI157" s="266">
        <f>'FBMS-HND LEVEL TWO'!E452</f>
        <v>4</v>
      </c>
      <c r="AJ157" s="258">
        <f>'FBMS-HND LEVEL TWO'!F452</f>
        <v>5</v>
      </c>
      <c r="AK157" s="258" t="str">
        <f>'FBMS-HND LEVEL TWO'!J452</f>
        <v>ABS</v>
      </c>
      <c r="AL157" s="259">
        <f>'FBMS-HND LEVEL TWO'!K452</f>
        <v>0</v>
      </c>
      <c r="AM157" s="267">
        <f>'FBMS-HND LEVEL TWO'!L452</f>
        <v>0</v>
      </c>
      <c r="AN157" s="268">
        <f>'FBMS-HND LEVEL TWO'!E527</f>
        <v>9</v>
      </c>
      <c r="AO157" s="258">
        <f>'FBMS-HND LEVEL TWO'!F527</f>
        <v>16</v>
      </c>
      <c r="AP157" s="258" t="str">
        <f>'FBMS-HND LEVEL TWO'!J527</f>
        <v>ABS</v>
      </c>
      <c r="AQ157" s="258">
        <f>'FBMS-HND LEVEL TWO'!K527</f>
        <v>0</v>
      </c>
      <c r="AR157" s="269">
        <f>'FBMS-HND LEVEL TWO'!L527</f>
        <v>0</v>
      </c>
      <c r="AS157" s="270">
        <f>'FBMS-HND LEVEL TWO'!E605</f>
        <v>8</v>
      </c>
      <c r="AT157" s="258">
        <f>'FBMS-HND LEVEL TWO'!F605</f>
        <v>16.25</v>
      </c>
      <c r="AU157" s="258">
        <f>'FBMS-HND LEVEL TWO'!J605</f>
        <v>16</v>
      </c>
      <c r="AV157" s="258">
        <f>'FBMS-HND LEVEL TWO'!K605</f>
        <v>40.25</v>
      </c>
      <c r="AW157" s="267" t="str">
        <f>'FBMS-HND LEVEL TWO'!L605</f>
        <v>D</v>
      </c>
      <c r="AX157" s="268">
        <f>'FBMS-HND LEVEL TWO'!E678</f>
        <v>0</v>
      </c>
      <c r="AY157" s="258">
        <f>'FBMS-HND LEVEL TWO'!F678</f>
        <v>0</v>
      </c>
      <c r="AZ157" s="258">
        <f>'FBMS-HND LEVEL TWO'!J678</f>
        <v>0</v>
      </c>
      <c r="BA157" s="258">
        <f>'FBMS-HND LEVEL TWO'!K678</f>
        <v>0</v>
      </c>
      <c r="BB157" s="269">
        <f>'FBMS-HND LEVEL TWO'!L678</f>
        <v>0</v>
      </c>
      <c r="BC157" s="270">
        <f>'FBMS-HND LEVEL TWO'!E730</f>
        <v>0</v>
      </c>
      <c r="BD157" s="258">
        <f>'FBMS-HND LEVEL TWO'!F730</f>
        <v>0</v>
      </c>
      <c r="BE157" s="258">
        <f>'FBMS-HND LEVEL TWO'!J730</f>
        <v>0</v>
      </c>
      <c r="BF157" s="258">
        <f>'FBMS-HND LEVEL TWO'!K730</f>
        <v>0</v>
      </c>
      <c r="BG157" s="258">
        <f>'FBMS-HND LEVEL TWO'!L730</f>
        <v>0</v>
      </c>
      <c r="BH157" s="268"/>
      <c r="BI157" s="258"/>
      <c r="BJ157" s="258"/>
      <c r="BK157" s="258"/>
      <c r="BL157" s="269"/>
      <c r="BM157" s="268"/>
      <c r="BN157" s="258"/>
      <c r="BO157" s="258"/>
      <c r="BP157" s="258"/>
      <c r="BQ157" s="269"/>
      <c r="BR157" s="268">
        <f>'FBMS-HND LEVEL TWO'!E869</f>
        <v>7.5</v>
      </c>
      <c r="BS157" s="258">
        <f>'FBMS-HND LEVEL TWO'!F869</f>
        <v>20</v>
      </c>
      <c r="BT157" s="258">
        <f>'FBMS-HND LEVEL TWO'!J869</f>
        <v>23</v>
      </c>
      <c r="BU157" s="258">
        <f>'FBMS-HND LEVEL TWO'!K869</f>
        <v>50.5</v>
      </c>
      <c r="BV157" s="269" t="str">
        <f>'FBMS-HND LEVEL TWO'!L869</f>
        <v>C</v>
      </c>
      <c r="BW157" s="270">
        <f>'FBMS-HND LEVEL TWO'!E902</f>
        <v>5</v>
      </c>
      <c r="BX157" s="258">
        <f>'FBMS-HND LEVEL TWO'!F902</f>
        <v>25</v>
      </c>
      <c r="BY157" s="258">
        <f>'FBMS-HND LEVEL TWO'!J902</f>
        <v>24</v>
      </c>
      <c r="BZ157" s="258">
        <f>'FBMS-HND LEVEL TWO'!K902</f>
        <v>54</v>
      </c>
      <c r="CA157" s="267" t="str">
        <f>'FBMS-HND LEVEL TWO'!L902</f>
        <v>C</v>
      </c>
      <c r="CB157" s="268">
        <f>'FBMS-HND LEVEL TWO'!E937</f>
        <v>7.5</v>
      </c>
      <c r="CC157" s="258">
        <f>'FBMS-HND LEVEL TWO'!F937</f>
        <v>24</v>
      </c>
      <c r="CD157" s="258">
        <f>'FBMS-HND LEVEL TWO'!J937</f>
        <v>35</v>
      </c>
      <c r="CE157" s="258">
        <f>'FBMS-HND LEVEL TWO'!K937</f>
        <v>66.5</v>
      </c>
      <c r="CF157" s="269" t="str">
        <f>'FBMS-HND LEVEL TWO'!L937</f>
        <v>B</v>
      </c>
      <c r="CG157" s="270">
        <f>'FBMS-HND LEVEL TWO'!E970</f>
        <v>7.5</v>
      </c>
      <c r="CH157" s="258">
        <f>'FBMS-HND LEVEL TWO'!F970</f>
        <v>25</v>
      </c>
      <c r="CI157" s="258">
        <f>'FBMS-HND LEVEL TWO'!J970</f>
        <v>31</v>
      </c>
      <c r="CJ157" s="258">
        <f>'FBMS-HND LEVEL TWO'!K970</f>
        <v>63.5</v>
      </c>
      <c r="CK157" s="258" t="str">
        <f>'FBMS-HND LEVEL TWO'!L970</f>
        <v>B</v>
      </c>
      <c r="CL157" s="268"/>
      <c r="CM157" s="258"/>
      <c r="CN157" s="258"/>
      <c r="CO157" s="258"/>
      <c r="CP157" s="269"/>
      <c r="CQ157" s="266"/>
      <c r="CR157" s="258"/>
      <c r="CS157" s="258"/>
      <c r="CT157" s="259"/>
      <c r="CU157" s="267"/>
      <c r="CV157" s="268"/>
      <c r="CW157" s="258"/>
      <c r="CX157" s="258"/>
      <c r="CY157" s="258"/>
      <c r="CZ157" s="269"/>
      <c r="DA157" s="268"/>
      <c r="DB157" s="258"/>
      <c r="DC157" s="258"/>
      <c r="DD157" s="258"/>
      <c r="DE157" s="269"/>
      <c r="DF157" s="268"/>
      <c r="DG157" s="258"/>
      <c r="DH157" s="258"/>
      <c r="DI157" s="258"/>
      <c r="DJ157" s="269"/>
      <c r="DK157" s="268"/>
      <c r="DL157" s="258"/>
      <c r="DM157" s="258"/>
      <c r="DN157" s="258"/>
      <c r="DO157" s="269"/>
      <c r="DP157" s="268"/>
      <c r="DQ157" s="258"/>
      <c r="DR157" s="258"/>
      <c r="DS157" s="258"/>
      <c r="DT157" s="269"/>
      <c r="DU157" s="268"/>
      <c r="DV157" s="258"/>
      <c r="DW157" s="258"/>
      <c r="DX157" s="258"/>
      <c r="DY157" s="269"/>
      <c r="DZ157" s="268"/>
      <c r="EA157" s="258"/>
      <c r="EB157" s="258"/>
      <c r="EC157" s="258"/>
      <c r="ED157" s="269"/>
    </row>
    <row r="158" spans="1:134" ht="17.25" customHeight="1" x14ac:dyDescent="0.3">
      <c r="A158" s="161">
        <v>32</v>
      </c>
      <c r="B158" s="12"/>
      <c r="C158" s="12" t="s">
        <v>422</v>
      </c>
      <c r="D158" s="12" t="s">
        <v>1249</v>
      </c>
      <c r="E158" s="162">
        <f>'FBMS-HND LEVEL TWO'!E43</f>
        <v>0</v>
      </c>
      <c r="F158" s="157">
        <f>'FBMS-HND LEVEL TWO'!F43</f>
        <v>0</v>
      </c>
      <c r="G158" s="157">
        <f>'FBMS-HND LEVEL TWO'!J43</f>
        <v>33</v>
      </c>
      <c r="H158" s="158">
        <f>'FBMS-HND LEVEL TWO'!K43</f>
        <v>33</v>
      </c>
      <c r="I158" s="163" t="str">
        <f>'FBMS-HND LEVEL TWO'!L43</f>
        <v>F</v>
      </c>
      <c r="J158" s="164">
        <f>'FBMS-HND LEVEL TWO'!E112</f>
        <v>2</v>
      </c>
      <c r="K158" s="157">
        <f>'FBMS-HND LEVEL TWO'!F112</f>
        <v>10</v>
      </c>
      <c r="L158" s="157">
        <f>'FBMS-HND LEVEL TWO'!J112</f>
        <v>39</v>
      </c>
      <c r="M158" s="157">
        <f>'FBMS-HND LEVEL TWO'!K112</f>
        <v>51</v>
      </c>
      <c r="N158" s="165" t="str">
        <f>'FBMS-HND LEVEL TWO'!L112</f>
        <v>C</v>
      </c>
      <c r="O158" s="166">
        <f>'FBMS-HND LEVEL TWO'!E181</f>
        <v>9</v>
      </c>
      <c r="P158" s="157">
        <f>'FBMS-HND LEVEL TWO'!F181</f>
        <v>24</v>
      </c>
      <c r="Q158" s="157">
        <f>'FBMS-HND LEVEL TWO'!J181</f>
        <v>30</v>
      </c>
      <c r="R158" s="157">
        <f>'FBMS-HND LEVEL TWO'!K181</f>
        <v>63</v>
      </c>
      <c r="S158" s="163" t="str">
        <f>'FBMS-HND LEVEL TWO'!L181</f>
        <v>B</v>
      </c>
      <c r="T158" s="164">
        <f>'FBMS-HND LEVEL TWO'!E253</f>
        <v>8</v>
      </c>
      <c r="U158" s="157">
        <f>'FBMS-HND LEVEL TWO'!F253</f>
        <v>20</v>
      </c>
      <c r="V158" s="157">
        <f>'FBMS-HND LEVEL TWO'!J253</f>
        <v>31</v>
      </c>
      <c r="W158" s="157">
        <f>'FBMS-HND LEVEL TWO'!K253</f>
        <v>59</v>
      </c>
      <c r="X158" s="165" t="str">
        <f>'FBMS-HND LEVEL TWO'!L253</f>
        <v>C+</v>
      </c>
      <c r="Y158" s="166">
        <f>'FBMS-HND LEVEL TWO'!E327</f>
        <v>6</v>
      </c>
      <c r="Z158" s="157">
        <f>'FBMS-HND LEVEL TWO'!F327</f>
        <v>0</v>
      </c>
      <c r="AA158" s="157">
        <f>'FBMS-HND LEVEL TWO'!J327</f>
        <v>25</v>
      </c>
      <c r="AB158" s="157">
        <f>'FBMS-HND LEVEL TWO'!K327</f>
        <v>31</v>
      </c>
      <c r="AC158" s="157" t="str">
        <f>'FBMS-HND LEVEL TWO'!L327</f>
        <v>F</v>
      </c>
      <c r="AD158" s="164"/>
      <c r="AE158" s="157"/>
      <c r="AF158" s="157"/>
      <c r="AG158" s="157"/>
      <c r="AH158" s="165"/>
      <c r="AI158" s="266">
        <f>'FBMS-HND LEVEL TWO'!E453</f>
        <v>8</v>
      </c>
      <c r="AJ158" s="258">
        <f>'FBMS-HND LEVEL TWO'!F453</f>
        <v>24</v>
      </c>
      <c r="AK158" s="258">
        <f>'FBMS-HND LEVEL TWO'!J453</f>
        <v>32</v>
      </c>
      <c r="AL158" s="259">
        <f>'FBMS-HND LEVEL TWO'!K453</f>
        <v>64</v>
      </c>
      <c r="AM158" s="267" t="str">
        <f>'FBMS-HND LEVEL TWO'!L453</f>
        <v>B</v>
      </c>
      <c r="AN158" s="268">
        <f>'FBMS-HND LEVEL TWO'!E528</f>
        <v>10</v>
      </c>
      <c r="AO158" s="258">
        <f>'FBMS-HND LEVEL TWO'!F528</f>
        <v>26</v>
      </c>
      <c r="AP158" s="258">
        <f>'FBMS-HND LEVEL TWO'!J528</f>
        <v>24</v>
      </c>
      <c r="AQ158" s="258">
        <f>'FBMS-HND LEVEL TWO'!K528</f>
        <v>60</v>
      </c>
      <c r="AR158" s="269" t="str">
        <f>'FBMS-HND LEVEL TWO'!L528</f>
        <v>B</v>
      </c>
      <c r="AS158" s="270">
        <f>'FBMS-HND LEVEL TWO'!E606</f>
        <v>7.5</v>
      </c>
      <c r="AT158" s="258">
        <f>'FBMS-HND LEVEL TWO'!F606</f>
        <v>11.25</v>
      </c>
      <c r="AU158" s="258">
        <f>'FBMS-HND LEVEL TWO'!J606</f>
        <v>44</v>
      </c>
      <c r="AV158" s="258">
        <f>'FBMS-HND LEVEL TWO'!K606</f>
        <v>62.75</v>
      </c>
      <c r="AW158" s="267" t="str">
        <f>'FBMS-HND LEVEL TWO'!L606</f>
        <v>B</v>
      </c>
      <c r="AX158" s="268">
        <f>'FBMS-HND LEVEL TWO'!E679</f>
        <v>8</v>
      </c>
      <c r="AY158" s="258">
        <f>'FBMS-HND LEVEL TWO'!F679</f>
        <v>20</v>
      </c>
      <c r="AZ158" s="258">
        <f>'FBMS-HND LEVEL TWO'!J679</f>
        <v>40</v>
      </c>
      <c r="BA158" s="258">
        <f>'FBMS-HND LEVEL TWO'!K679</f>
        <v>68</v>
      </c>
      <c r="BB158" s="269" t="str">
        <f>'FBMS-HND LEVEL TWO'!L679</f>
        <v>B</v>
      </c>
      <c r="BC158" s="270">
        <f>'FBMS-HND LEVEL TWO'!E731</f>
        <v>7.5</v>
      </c>
      <c r="BD158" s="258">
        <f>'FBMS-HND LEVEL TWO'!F731</f>
        <v>16</v>
      </c>
      <c r="BE158" s="258">
        <f>'FBMS-HND LEVEL TWO'!J731</f>
        <v>27</v>
      </c>
      <c r="BF158" s="258">
        <f>'FBMS-HND LEVEL TWO'!K731</f>
        <v>50.5</v>
      </c>
      <c r="BG158" s="258" t="str">
        <f>'FBMS-HND LEVEL TWO'!L731</f>
        <v>C</v>
      </c>
      <c r="BH158" s="268"/>
      <c r="BI158" s="258"/>
      <c r="BJ158" s="258"/>
      <c r="BK158" s="258"/>
      <c r="BL158" s="269"/>
      <c r="BM158" s="268"/>
      <c r="BN158" s="258"/>
      <c r="BO158" s="258"/>
      <c r="BP158" s="258"/>
      <c r="BQ158" s="269"/>
      <c r="BR158" s="268">
        <f>'FBMS-HND LEVEL TWO'!E870</f>
        <v>8</v>
      </c>
      <c r="BS158" s="258">
        <f>'FBMS-HND LEVEL TWO'!F870</f>
        <v>22</v>
      </c>
      <c r="BT158" s="258">
        <f>'FBMS-HND LEVEL TWO'!J870</f>
        <v>29</v>
      </c>
      <c r="BU158" s="258">
        <f>'FBMS-HND LEVEL TWO'!K870</f>
        <v>59</v>
      </c>
      <c r="BV158" s="269" t="str">
        <f>'FBMS-HND LEVEL TWO'!L870</f>
        <v>C+</v>
      </c>
      <c r="BW158" s="270">
        <f>'FBMS-HND LEVEL TWO'!E903</f>
        <v>8</v>
      </c>
      <c r="BX158" s="258">
        <f>'FBMS-HND LEVEL TWO'!F903</f>
        <v>22</v>
      </c>
      <c r="BY158" s="258">
        <f>'FBMS-HND LEVEL TWO'!J903</f>
        <v>30</v>
      </c>
      <c r="BZ158" s="258">
        <f>'FBMS-HND LEVEL TWO'!K903</f>
        <v>60</v>
      </c>
      <c r="CA158" s="267" t="str">
        <f>'FBMS-HND LEVEL TWO'!L903</f>
        <v>B</v>
      </c>
      <c r="CB158" s="268">
        <f>'FBMS-HND LEVEL TWO'!E938</f>
        <v>8</v>
      </c>
      <c r="CC158" s="258">
        <f>'FBMS-HND LEVEL TWO'!F938</f>
        <v>25</v>
      </c>
      <c r="CD158" s="258">
        <f>'FBMS-HND LEVEL TWO'!J938</f>
        <v>33</v>
      </c>
      <c r="CE158" s="258">
        <f>'FBMS-HND LEVEL TWO'!K938</f>
        <v>66</v>
      </c>
      <c r="CF158" s="269" t="str">
        <f>'FBMS-HND LEVEL TWO'!L938</f>
        <v>B</v>
      </c>
      <c r="CG158" s="270">
        <f>'FBMS-HND LEVEL TWO'!E971</f>
        <v>8</v>
      </c>
      <c r="CH158" s="258">
        <f>'FBMS-HND LEVEL TWO'!F971</f>
        <v>25</v>
      </c>
      <c r="CI158" s="258">
        <f>'FBMS-HND LEVEL TWO'!J971</f>
        <v>26</v>
      </c>
      <c r="CJ158" s="258">
        <f>'FBMS-HND LEVEL TWO'!K971</f>
        <v>59</v>
      </c>
      <c r="CK158" s="258" t="str">
        <f>'FBMS-HND LEVEL TWO'!L971</f>
        <v>C+</v>
      </c>
      <c r="CL158" s="268"/>
      <c r="CM158" s="258"/>
      <c r="CN158" s="258"/>
      <c r="CO158" s="258"/>
      <c r="CP158" s="269"/>
      <c r="CQ158" s="266"/>
      <c r="CR158" s="258"/>
      <c r="CS158" s="258"/>
      <c r="CT158" s="259"/>
      <c r="CU158" s="267"/>
      <c r="CV158" s="268"/>
      <c r="CW158" s="258"/>
      <c r="CX158" s="258"/>
      <c r="CY158" s="258"/>
      <c r="CZ158" s="269"/>
      <c r="DA158" s="268"/>
      <c r="DB158" s="258"/>
      <c r="DC158" s="258"/>
      <c r="DD158" s="258"/>
      <c r="DE158" s="269"/>
      <c r="DF158" s="268"/>
      <c r="DG158" s="258"/>
      <c r="DH158" s="258"/>
      <c r="DI158" s="258"/>
      <c r="DJ158" s="269"/>
      <c r="DK158" s="268"/>
      <c r="DL158" s="258"/>
      <c r="DM158" s="258"/>
      <c r="DN158" s="258"/>
      <c r="DO158" s="269"/>
      <c r="DP158" s="268"/>
      <c r="DQ158" s="258"/>
      <c r="DR158" s="258"/>
      <c r="DS158" s="258"/>
      <c r="DT158" s="269"/>
      <c r="DU158" s="268"/>
      <c r="DV158" s="258"/>
      <c r="DW158" s="258"/>
      <c r="DX158" s="258"/>
      <c r="DY158" s="269"/>
      <c r="DZ158" s="268"/>
      <c r="EA158" s="258"/>
      <c r="EB158" s="258"/>
      <c r="EC158" s="258"/>
      <c r="ED158" s="269"/>
    </row>
    <row r="159" spans="1:134" s="340" customFormat="1" ht="17.25" customHeight="1" x14ac:dyDescent="0.3">
      <c r="A159" s="339">
        <v>33</v>
      </c>
      <c r="B159" s="340" t="s">
        <v>150</v>
      </c>
      <c r="C159" s="340" t="s">
        <v>98</v>
      </c>
      <c r="D159" s="340" t="s">
        <v>150</v>
      </c>
      <c r="E159" s="341">
        <f>'FBMS-HND LEVEL TWO'!E44</f>
        <v>8</v>
      </c>
      <c r="F159" s="341">
        <f>'FBMS-HND LEVEL TWO'!F44</f>
        <v>20</v>
      </c>
      <c r="G159" s="341">
        <f>'FBMS-HND LEVEL TWO'!J44</f>
        <v>26</v>
      </c>
      <c r="H159" s="341">
        <f>'FBMS-HND LEVEL TWO'!K44</f>
        <v>54</v>
      </c>
      <c r="I159" s="341" t="str">
        <f>'FBMS-HND LEVEL TWO'!L44</f>
        <v>C</v>
      </c>
      <c r="J159" s="341">
        <f>'FBMS-HND LEVEL TWO'!E113</f>
        <v>9</v>
      </c>
      <c r="K159" s="341">
        <f>'FBMS-HND LEVEL TWO'!F113</f>
        <v>20</v>
      </c>
      <c r="L159" s="341">
        <f>'FBMS-HND LEVEL TWO'!J113</f>
        <v>34</v>
      </c>
      <c r="M159" s="341">
        <f>'FBMS-HND LEVEL TWO'!K113</f>
        <v>63</v>
      </c>
      <c r="N159" s="341" t="str">
        <f>'FBMS-HND LEVEL TWO'!L113</f>
        <v>B</v>
      </c>
      <c r="O159" s="341">
        <f>'FBMS-HND LEVEL TWO'!E182</f>
        <v>10</v>
      </c>
      <c r="P159" s="341">
        <f>'FBMS-HND LEVEL TWO'!F182</f>
        <v>24</v>
      </c>
      <c r="Q159" s="341">
        <f>'FBMS-HND LEVEL TWO'!J182</f>
        <v>35</v>
      </c>
      <c r="R159" s="341">
        <f>'FBMS-HND LEVEL TWO'!K182</f>
        <v>69</v>
      </c>
      <c r="S159" s="341" t="str">
        <f>'FBMS-HND LEVEL TWO'!L182</f>
        <v>B</v>
      </c>
      <c r="T159" s="341">
        <f>'FBMS-HND LEVEL TWO'!E254</f>
        <v>10</v>
      </c>
      <c r="U159" s="341">
        <f>'FBMS-HND LEVEL TWO'!F254</f>
        <v>19</v>
      </c>
      <c r="V159" s="341">
        <f>'FBMS-HND LEVEL TWO'!J254</f>
        <v>32</v>
      </c>
      <c r="W159" s="341">
        <f>'FBMS-HND LEVEL TWO'!K254</f>
        <v>61</v>
      </c>
      <c r="X159" s="341" t="str">
        <f>'FBMS-HND LEVEL TWO'!L254</f>
        <v>B</v>
      </c>
      <c r="Y159" s="341">
        <f>'FBMS-HND LEVEL TWO'!E328</f>
        <v>10</v>
      </c>
      <c r="Z159" s="341">
        <f>'FBMS-HND LEVEL TWO'!F328</f>
        <v>18</v>
      </c>
      <c r="AA159" s="341">
        <f>'FBMS-HND LEVEL TWO'!J328</f>
        <v>29</v>
      </c>
      <c r="AB159" s="341">
        <f>'FBMS-HND LEVEL TWO'!K328</f>
        <v>57</v>
      </c>
      <c r="AC159" s="341" t="str">
        <f>'FBMS-HND LEVEL TWO'!L328</f>
        <v>C+</v>
      </c>
      <c r="AD159" s="341"/>
      <c r="AE159" s="341"/>
      <c r="AF159" s="341"/>
      <c r="AG159" s="341"/>
      <c r="AH159" s="341"/>
      <c r="AI159" s="342">
        <f>'FBMS-HND LEVEL TWO'!E454</f>
        <v>10</v>
      </c>
      <c r="AJ159" s="342">
        <f>'FBMS-HND LEVEL TWO'!F454</f>
        <v>14</v>
      </c>
      <c r="AK159" s="342">
        <f>'FBMS-HND LEVEL TWO'!J454</f>
        <v>26</v>
      </c>
      <c r="AL159" s="342">
        <f>'FBMS-HND LEVEL TWO'!K454</f>
        <v>50</v>
      </c>
      <c r="AM159" s="342" t="str">
        <f>'FBMS-HND LEVEL TWO'!L454</f>
        <v>C</v>
      </c>
      <c r="AN159" s="342">
        <f>'FBMS-HND LEVEL TWO'!E529</f>
        <v>10</v>
      </c>
      <c r="AO159" s="342">
        <f>'FBMS-HND LEVEL TWO'!F529</f>
        <v>25</v>
      </c>
      <c r="AP159" s="342">
        <f>'FBMS-HND LEVEL TWO'!J529</f>
        <v>30</v>
      </c>
      <c r="AQ159" s="342">
        <f>'FBMS-HND LEVEL TWO'!K529</f>
        <v>65</v>
      </c>
      <c r="AR159" s="342" t="str">
        <f>'FBMS-HND LEVEL TWO'!L529</f>
        <v>B</v>
      </c>
      <c r="AS159" s="342">
        <f>'FBMS-HND LEVEL TWO'!E607</f>
        <v>9</v>
      </c>
      <c r="AT159" s="342">
        <f>'FBMS-HND LEVEL TWO'!F607</f>
        <v>23</v>
      </c>
      <c r="AU159" s="342">
        <f>'FBMS-HND LEVEL TWO'!J607</f>
        <v>44</v>
      </c>
      <c r="AV159" s="342">
        <f>'FBMS-HND LEVEL TWO'!K607</f>
        <v>76</v>
      </c>
      <c r="AW159" s="342" t="str">
        <f>'FBMS-HND LEVEL TWO'!L607</f>
        <v>B+</v>
      </c>
      <c r="AX159" s="342"/>
      <c r="AY159" s="342"/>
      <c r="AZ159" s="342"/>
      <c r="BA159" s="342"/>
      <c r="BB159" s="342"/>
      <c r="BC159" s="342"/>
      <c r="BD159" s="342"/>
      <c r="BE159" s="342"/>
      <c r="BF159" s="342"/>
      <c r="BG159" s="342"/>
      <c r="BH159" s="342"/>
      <c r="BI159" s="342"/>
      <c r="BJ159" s="342"/>
      <c r="BK159" s="342"/>
      <c r="BL159" s="342"/>
      <c r="BM159" s="342"/>
      <c r="BN159" s="342"/>
      <c r="BO159" s="342"/>
      <c r="BP159" s="342"/>
      <c r="BQ159" s="342"/>
      <c r="BR159" s="342"/>
      <c r="BS159" s="342"/>
      <c r="BT159" s="342"/>
      <c r="BU159" s="342"/>
      <c r="BV159" s="342"/>
      <c r="BW159" s="342"/>
      <c r="BX159" s="342"/>
      <c r="BY159" s="342"/>
      <c r="BZ159" s="342"/>
      <c r="CA159" s="342"/>
      <c r="CB159" s="342"/>
      <c r="CC159" s="342"/>
      <c r="CD159" s="342"/>
      <c r="CE159" s="342"/>
      <c r="CF159" s="342"/>
      <c r="CG159" s="342"/>
      <c r="CH159" s="342"/>
      <c r="CI159" s="342"/>
      <c r="CJ159" s="342"/>
      <c r="CK159" s="342"/>
      <c r="CL159" s="342">
        <f>'FBMS-HND LEVEL TWO'!E997</f>
        <v>10</v>
      </c>
      <c r="CM159" s="342">
        <f>'FBMS-HND LEVEL TWO'!F997</f>
        <v>21</v>
      </c>
      <c r="CN159" s="342">
        <f>'FBMS-HND LEVEL TWO'!J997</f>
        <v>35</v>
      </c>
      <c r="CO159" s="342">
        <f>'FBMS-HND LEVEL TWO'!K997</f>
        <v>66</v>
      </c>
      <c r="CP159" s="342" t="str">
        <f>'FBMS-HND LEVEL TWO'!L997</f>
        <v>B</v>
      </c>
      <c r="CQ159" s="342">
        <f>'FBMS-HND LEVEL TWO'!E1029</f>
        <v>10</v>
      </c>
      <c r="CR159" s="342">
        <f>'FBMS-HND LEVEL TWO'!F1029</f>
        <v>24</v>
      </c>
      <c r="CS159" s="342">
        <f>'FBMS-HND LEVEL TWO'!J1029</f>
        <v>27</v>
      </c>
      <c r="CT159" s="342">
        <f>'FBMS-HND LEVEL TWO'!K1029</f>
        <v>61</v>
      </c>
      <c r="CU159" s="342" t="str">
        <f>'FBMS-HND LEVEL TWO'!L1029</f>
        <v>B</v>
      </c>
      <c r="CV159" s="342">
        <f>'FBMS-HND LEVEL TWO'!E1064</f>
        <v>10</v>
      </c>
      <c r="CW159" s="342">
        <f>'FBMS-HND LEVEL TWO'!F1064</f>
        <v>18</v>
      </c>
      <c r="CX159" s="342">
        <f>'FBMS-HND LEVEL TWO'!J1064</f>
        <v>23</v>
      </c>
      <c r="CY159" s="342">
        <f>'FBMS-HND LEVEL TWO'!K1064</f>
        <v>51</v>
      </c>
      <c r="CZ159" s="342" t="str">
        <f>'FBMS-HND LEVEL TWO'!L1064</f>
        <v>C</v>
      </c>
      <c r="DA159" s="342">
        <f>'FBMS-HND LEVEL TWO'!E1099</f>
        <v>10</v>
      </c>
      <c r="DB159" s="342">
        <f>'FBMS-HND LEVEL TWO'!F1099</f>
        <v>17</v>
      </c>
      <c r="DC159" s="342">
        <f>'FBMS-HND LEVEL TWO'!J1099</f>
        <v>18</v>
      </c>
      <c r="DD159" s="342">
        <f>'FBMS-HND LEVEL TWO'!K1099</f>
        <v>45</v>
      </c>
      <c r="DE159" s="342" t="str">
        <f>'FBMS-HND LEVEL TWO'!L1099</f>
        <v>D+</v>
      </c>
      <c r="DF159" s="342">
        <f>'FBMS-HND LEVEL TWO'!E1131</f>
        <v>10</v>
      </c>
      <c r="DG159" s="342">
        <f>'FBMS-HND LEVEL TWO'!F1131</f>
        <v>23</v>
      </c>
      <c r="DH159" s="342">
        <f>'FBMS-HND LEVEL TWO'!J1131</f>
        <v>33</v>
      </c>
      <c r="DI159" s="342">
        <f>'FBMS-HND LEVEL TWO'!K1131</f>
        <v>66</v>
      </c>
      <c r="DJ159" s="342" t="str">
        <f>'FBMS-HND LEVEL TWO'!L1131</f>
        <v>B</v>
      </c>
      <c r="DK159" s="342"/>
      <c r="DL159" s="342"/>
      <c r="DM159" s="342"/>
      <c r="DN159" s="342"/>
      <c r="DO159" s="342"/>
      <c r="DP159" s="342"/>
      <c r="DQ159" s="342"/>
      <c r="DR159" s="342"/>
      <c r="DS159" s="342"/>
      <c r="DT159" s="342"/>
      <c r="DU159" s="342"/>
      <c r="DV159" s="342"/>
      <c r="DW159" s="342"/>
      <c r="DX159" s="342"/>
      <c r="DY159" s="342"/>
      <c r="DZ159" s="342"/>
      <c r="EA159" s="342"/>
      <c r="EB159" s="342"/>
      <c r="EC159" s="342"/>
      <c r="ED159" s="342"/>
    </row>
    <row r="160" spans="1:134" ht="17.25" customHeight="1" x14ac:dyDescent="0.3">
      <c r="A160" s="161">
        <v>34</v>
      </c>
      <c r="B160" s="12" t="s">
        <v>151</v>
      </c>
      <c r="C160" s="12" t="s">
        <v>99</v>
      </c>
      <c r="D160" s="12" t="s">
        <v>151</v>
      </c>
      <c r="E160" s="162">
        <f>'FBMS-HND LEVEL TWO'!E45</f>
        <v>8</v>
      </c>
      <c r="F160" s="157">
        <f>'FBMS-HND LEVEL TWO'!F45</f>
        <v>15</v>
      </c>
      <c r="G160" s="157">
        <f>'FBMS-HND LEVEL TWO'!J45</f>
        <v>23</v>
      </c>
      <c r="H160" s="158">
        <f>'FBMS-HND LEVEL TWO'!K45</f>
        <v>46</v>
      </c>
      <c r="I160" s="163" t="str">
        <f>'FBMS-HND LEVEL TWO'!L45</f>
        <v>D+</v>
      </c>
      <c r="J160" s="164">
        <f>'FBMS-HND LEVEL TWO'!E114</f>
        <v>7.5</v>
      </c>
      <c r="K160" s="157">
        <f>'FBMS-HND LEVEL TWO'!F114</f>
        <v>23</v>
      </c>
      <c r="L160" s="157">
        <f>'FBMS-HND LEVEL TWO'!J114</f>
        <v>45</v>
      </c>
      <c r="M160" s="157">
        <f>'FBMS-HND LEVEL TWO'!K114</f>
        <v>75.5</v>
      </c>
      <c r="N160" s="165" t="str">
        <f>'FBMS-HND LEVEL TWO'!L114</f>
        <v>B+</v>
      </c>
      <c r="O160" s="166">
        <f>'FBMS-HND LEVEL TWO'!E183</f>
        <v>7.5</v>
      </c>
      <c r="P160" s="157">
        <f>'FBMS-HND LEVEL TWO'!F183</f>
        <v>23</v>
      </c>
      <c r="Q160" s="157">
        <f>'FBMS-HND LEVEL TWO'!J183</f>
        <v>45</v>
      </c>
      <c r="R160" s="157">
        <f>'FBMS-HND LEVEL TWO'!K183</f>
        <v>75.5</v>
      </c>
      <c r="S160" s="163" t="str">
        <f>'FBMS-HND LEVEL TWO'!L183</f>
        <v>B+</v>
      </c>
      <c r="T160" s="164">
        <f>'FBMS-HND LEVEL TWO'!E255</f>
        <v>8</v>
      </c>
      <c r="U160" s="157">
        <f>'FBMS-HND LEVEL TWO'!F255</f>
        <v>21</v>
      </c>
      <c r="V160" s="157">
        <f>'FBMS-HND LEVEL TWO'!J255</f>
        <v>3</v>
      </c>
      <c r="W160" s="157">
        <f>'FBMS-HND LEVEL TWO'!K255</f>
        <v>32</v>
      </c>
      <c r="X160" s="165" t="str">
        <f>'FBMS-HND LEVEL TWO'!L255</f>
        <v>F</v>
      </c>
      <c r="Y160" s="166">
        <f>'FBMS-HND LEVEL TWO'!E329</f>
        <v>3</v>
      </c>
      <c r="Z160" s="157">
        <f>'FBMS-HND LEVEL TWO'!F329</f>
        <v>0</v>
      </c>
      <c r="AA160" s="157">
        <f>'FBMS-HND LEVEL TWO'!J329</f>
        <v>30</v>
      </c>
      <c r="AB160" s="157">
        <f>'FBMS-HND LEVEL TWO'!K329</f>
        <v>33</v>
      </c>
      <c r="AC160" s="157" t="str">
        <f>'FBMS-HND LEVEL TWO'!L329</f>
        <v>F</v>
      </c>
      <c r="AD160" s="164"/>
      <c r="AE160" s="157"/>
      <c r="AF160" s="157"/>
      <c r="AG160" s="157"/>
      <c r="AH160" s="165"/>
      <c r="AI160" s="266">
        <f>'FBMS-HND LEVEL TWO'!E455</f>
        <v>8</v>
      </c>
      <c r="AJ160" s="258">
        <f>'FBMS-HND LEVEL TWO'!F455</f>
        <v>30</v>
      </c>
      <c r="AK160" s="258">
        <f>'FBMS-HND LEVEL TWO'!J455</f>
        <v>44</v>
      </c>
      <c r="AL160" s="259">
        <f>'FBMS-HND LEVEL TWO'!K455</f>
        <v>82</v>
      </c>
      <c r="AM160" s="267" t="str">
        <f>'FBMS-HND LEVEL TWO'!L455</f>
        <v>A</v>
      </c>
      <c r="AN160" s="268">
        <f>'FBMS-HND LEVEL TWO'!E530</f>
        <v>8</v>
      </c>
      <c r="AO160" s="258">
        <f>'FBMS-HND LEVEL TWO'!F530</f>
        <v>25</v>
      </c>
      <c r="AP160" s="258">
        <f>'FBMS-HND LEVEL TWO'!J530</f>
        <v>37</v>
      </c>
      <c r="AQ160" s="258">
        <f>'FBMS-HND LEVEL TWO'!K530</f>
        <v>70</v>
      </c>
      <c r="AR160" s="269" t="str">
        <f>'FBMS-HND LEVEL TWO'!L530</f>
        <v>B+</v>
      </c>
      <c r="AS160" s="270">
        <f>'FBMS-HND LEVEL TWO'!E608</f>
        <v>8</v>
      </c>
      <c r="AT160" s="258">
        <f>'FBMS-HND LEVEL TWO'!F608</f>
        <v>23</v>
      </c>
      <c r="AU160" s="258">
        <f>'FBMS-HND LEVEL TWO'!J608</f>
        <v>39</v>
      </c>
      <c r="AV160" s="258">
        <f>'FBMS-HND LEVEL TWO'!K608</f>
        <v>70</v>
      </c>
      <c r="AW160" s="267" t="str">
        <f>'FBMS-HND LEVEL TWO'!L608</f>
        <v>B+</v>
      </c>
      <c r="AX160" s="268"/>
      <c r="AY160" s="258"/>
      <c r="AZ160" s="258"/>
      <c r="BA160" s="258"/>
      <c r="BB160" s="269"/>
      <c r="BC160" s="270"/>
      <c r="BD160" s="258"/>
      <c r="BE160" s="258"/>
      <c r="BF160" s="258"/>
      <c r="BG160" s="258"/>
      <c r="BH160" s="268"/>
      <c r="BI160" s="258"/>
      <c r="BJ160" s="258"/>
      <c r="BK160" s="258"/>
      <c r="BL160" s="269"/>
      <c r="BM160" s="268"/>
      <c r="BN160" s="258"/>
      <c r="BO160" s="258"/>
      <c r="BP160" s="258"/>
      <c r="BQ160" s="269"/>
      <c r="BR160" s="268"/>
      <c r="BS160" s="258"/>
      <c r="BT160" s="258"/>
      <c r="BU160" s="258"/>
      <c r="BV160" s="269"/>
      <c r="BW160" s="270"/>
      <c r="BX160" s="258"/>
      <c r="BY160" s="258"/>
      <c r="BZ160" s="258"/>
      <c r="CA160" s="267"/>
      <c r="CB160" s="268"/>
      <c r="CC160" s="258"/>
      <c r="CD160" s="258"/>
      <c r="CE160" s="258"/>
      <c r="CF160" s="269"/>
      <c r="CG160" s="270"/>
      <c r="CH160" s="258"/>
      <c r="CI160" s="258"/>
      <c r="CJ160" s="258"/>
      <c r="CK160" s="258"/>
      <c r="CL160" s="268">
        <f>'FBMS-HND LEVEL TWO'!E998</f>
        <v>7.5</v>
      </c>
      <c r="CM160" s="258">
        <f>'FBMS-HND LEVEL TWO'!F998</f>
        <v>24</v>
      </c>
      <c r="CN160" s="258">
        <f>'FBMS-HND LEVEL TWO'!J998</f>
        <v>51</v>
      </c>
      <c r="CO160" s="258">
        <f>'FBMS-HND LEVEL TWO'!K998</f>
        <v>82.5</v>
      </c>
      <c r="CP160" s="269" t="str">
        <f>'FBMS-HND LEVEL TWO'!L998</f>
        <v>A</v>
      </c>
      <c r="CQ160" s="266">
        <f>'FBMS-HND LEVEL TWO'!E1030</f>
        <v>7.5</v>
      </c>
      <c r="CR160" s="258">
        <f>'FBMS-HND LEVEL TWO'!F1030</f>
        <v>24</v>
      </c>
      <c r="CS160" s="258">
        <f>'FBMS-HND LEVEL TWO'!J1030</f>
        <v>33</v>
      </c>
      <c r="CT160" s="259">
        <f>'FBMS-HND LEVEL TWO'!K1030</f>
        <v>64.5</v>
      </c>
      <c r="CU160" s="267" t="str">
        <f>'FBMS-HND LEVEL TWO'!L1030</f>
        <v>B</v>
      </c>
      <c r="CV160" s="268">
        <f>'FBMS-HND LEVEL TWO'!E1065</f>
        <v>7.5</v>
      </c>
      <c r="CW160" s="258">
        <f>'FBMS-HND LEVEL TWO'!F1065</f>
        <v>11</v>
      </c>
      <c r="CX160" s="258">
        <f>'FBMS-HND LEVEL TWO'!J1065</f>
        <v>33</v>
      </c>
      <c r="CY160" s="258">
        <f>'FBMS-HND LEVEL TWO'!K1065</f>
        <v>51.5</v>
      </c>
      <c r="CZ160" s="269" t="str">
        <f>'FBMS-HND LEVEL TWO'!L1065</f>
        <v>C</v>
      </c>
      <c r="DA160" s="268">
        <f>'FBMS-HND LEVEL TWO'!E1100</f>
        <v>7.5</v>
      </c>
      <c r="DB160" s="258">
        <f>'FBMS-HND LEVEL TWO'!F1100</f>
        <v>22</v>
      </c>
      <c r="DC160" s="258">
        <f>'FBMS-HND LEVEL TWO'!J1100</f>
        <v>27</v>
      </c>
      <c r="DD160" s="258">
        <f>'FBMS-HND LEVEL TWO'!K1100</f>
        <v>56.5</v>
      </c>
      <c r="DE160" s="269" t="str">
        <f>'FBMS-HND LEVEL TWO'!L1100</f>
        <v>C+</v>
      </c>
      <c r="DF160" s="268">
        <f>'FBMS-HND LEVEL TWO'!E1132</f>
        <v>7.5</v>
      </c>
      <c r="DG160" s="258">
        <f>'FBMS-HND LEVEL TWO'!F1132</f>
        <v>18</v>
      </c>
      <c r="DH160" s="258">
        <f>'FBMS-HND LEVEL TWO'!J1132</f>
        <v>33</v>
      </c>
      <c r="DI160" s="258">
        <f>'FBMS-HND LEVEL TWO'!K1132</f>
        <v>58.5</v>
      </c>
      <c r="DJ160" s="269" t="str">
        <f>'FBMS-HND LEVEL TWO'!L1132</f>
        <v>C+</v>
      </c>
      <c r="DK160" s="268"/>
      <c r="DL160" s="258"/>
      <c r="DM160" s="258"/>
      <c r="DN160" s="258"/>
      <c r="DO160" s="269"/>
      <c r="DP160" s="268"/>
      <c r="DQ160" s="258"/>
      <c r="DR160" s="258"/>
      <c r="DS160" s="258"/>
      <c r="DT160" s="269"/>
      <c r="DU160" s="268"/>
      <c r="DV160" s="258"/>
      <c r="DW160" s="258"/>
      <c r="DX160" s="258"/>
      <c r="DY160" s="269"/>
      <c r="DZ160" s="268"/>
      <c r="EA160" s="258"/>
      <c r="EB160" s="258"/>
      <c r="EC160" s="258"/>
      <c r="ED160" s="269"/>
    </row>
    <row r="161" spans="1:134" ht="17.25" customHeight="1" x14ac:dyDescent="0.3">
      <c r="A161" s="154">
        <v>35</v>
      </c>
      <c r="B161" s="12" t="s">
        <v>157</v>
      </c>
      <c r="C161" s="12" t="s">
        <v>106</v>
      </c>
      <c r="D161" s="12" t="s">
        <v>157</v>
      </c>
      <c r="E161" s="162">
        <f>'FBMS-HND LEVEL TWO'!E46</f>
        <v>8</v>
      </c>
      <c r="F161" s="157">
        <f>'FBMS-HND LEVEL TWO'!F46</f>
        <v>25</v>
      </c>
      <c r="G161" s="157">
        <f>'FBMS-HND LEVEL TWO'!J46</f>
        <v>35</v>
      </c>
      <c r="H161" s="158">
        <f>'FBMS-HND LEVEL TWO'!K46</f>
        <v>68</v>
      </c>
      <c r="I161" s="163" t="str">
        <f>'FBMS-HND LEVEL TWO'!L46</f>
        <v>B</v>
      </c>
      <c r="J161" s="164">
        <f>'FBMS-HND LEVEL TWO'!E115</f>
        <v>10</v>
      </c>
      <c r="K161" s="157">
        <f>'FBMS-HND LEVEL TWO'!F115</f>
        <v>23</v>
      </c>
      <c r="L161" s="157">
        <f>'FBMS-HND LEVEL TWO'!J115</f>
        <v>33</v>
      </c>
      <c r="M161" s="157">
        <f>'FBMS-HND LEVEL TWO'!K115</f>
        <v>66</v>
      </c>
      <c r="N161" s="165" t="str">
        <f>'FBMS-HND LEVEL TWO'!L115</f>
        <v>B</v>
      </c>
      <c r="O161" s="166">
        <f>'FBMS-HND LEVEL TWO'!E184</f>
        <v>10</v>
      </c>
      <c r="P161" s="157">
        <f>'FBMS-HND LEVEL TWO'!F184</f>
        <v>26</v>
      </c>
      <c r="Q161" s="157">
        <f>'FBMS-HND LEVEL TWO'!J184</f>
        <v>35</v>
      </c>
      <c r="R161" s="157">
        <f>'FBMS-HND LEVEL TWO'!K184</f>
        <v>71</v>
      </c>
      <c r="S161" s="163" t="str">
        <f>'FBMS-HND LEVEL TWO'!L184</f>
        <v>B+</v>
      </c>
      <c r="T161" s="164">
        <f>'FBMS-HND LEVEL TWO'!E256</f>
        <v>10</v>
      </c>
      <c r="U161" s="157">
        <f>'FBMS-HND LEVEL TWO'!F256</f>
        <v>21</v>
      </c>
      <c r="V161" s="157">
        <f>'FBMS-HND LEVEL TWO'!J256</f>
        <v>19</v>
      </c>
      <c r="W161" s="157">
        <f>'FBMS-HND LEVEL TWO'!K256</f>
        <v>50</v>
      </c>
      <c r="X161" s="165" t="str">
        <f>'FBMS-HND LEVEL TWO'!L256</f>
        <v>C</v>
      </c>
      <c r="Y161" s="166">
        <f>'FBMS-HND LEVEL TWO'!E330</f>
        <v>10</v>
      </c>
      <c r="Z161" s="157">
        <f>'FBMS-HND LEVEL TWO'!F330</f>
        <v>18</v>
      </c>
      <c r="AA161" s="157">
        <f>'FBMS-HND LEVEL TWO'!J330</f>
        <v>22</v>
      </c>
      <c r="AB161" s="157">
        <f>'FBMS-HND LEVEL TWO'!K330</f>
        <v>50</v>
      </c>
      <c r="AC161" s="157" t="str">
        <f>'FBMS-HND LEVEL TWO'!L330</f>
        <v>C</v>
      </c>
      <c r="AD161" s="164"/>
      <c r="AE161" s="157"/>
      <c r="AF161" s="157"/>
      <c r="AG161" s="157"/>
      <c r="AH161" s="165"/>
      <c r="AI161" s="266">
        <f>'FBMS-HND LEVEL TWO'!E456</f>
        <v>10</v>
      </c>
      <c r="AJ161" s="258">
        <f>'FBMS-HND LEVEL TWO'!F456</f>
        <v>25</v>
      </c>
      <c r="AK161" s="258">
        <f>'FBMS-HND LEVEL TWO'!J456</f>
        <v>23</v>
      </c>
      <c r="AL161" s="259">
        <f>'FBMS-HND LEVEL TWO'!K456</f>
        <v>58</v>
      </c>
      <c r="AM161" s="267" t="str">
        <f>'FBMS-HND LEVEL TWO'!L456</f>
        <v>C+</v>
      </c>
      <c r="AN161" s="268">
        <f>'FBMS-HND LEVEL TWO'!E531</f>
        <v>10</v>
      </c>
      <c r="AO161" s="258">
        <f>'FBMS-HND LEVEL TWO'!F531</f>
        <v>25</v>
      </c>
      <c r="AP161" s="258">
        <f>'FBMS-HND LEVEL TWO'!J531</f>
        <v>35</v>
      </c>
      <c r="AQ161" s="258">
        <f>'FBMS-HND LEVEL TWO'!K531</f>
        <v>70</v>
      </c>
      <c r="AR161" s="269" t="str">
        <f>'FBMS-HND LEVEL TWO'!L531</f>
        <v>B+</v>
      </c>
      <c r="AS161" s="270">
        <f>'FBMS-HND LEVEL TWO'!E609</f>
        <v>10</v>
      </c>
      <c r="AT161" s="258">
        <f>'FBMS-HND LEVEL TWO'!F609</f>
        <v>23</v>
      </c>
      <c r="AU161" s="258">
        <f>'FBMS-HND LEVEL TWO'!J609</f>
        <v>40.5</v>
      </c>
      <c r="AV161" s="258">
        <f>'FBMS-HND LEVEL TWO'!K609</f>
        <v>73.5</v>
      </c>
      <c r="AW161" s="267" t="str">
        <f>'FBMS-HND LEVEL TWO'!L609</f>
        <v>B+</v>
      </c>
      <c r="AX161" s="268"/>
      <c r="AY161" s="258"/>
      <c r="AZ161" s="258"/>
      <c r="BA161" s="258"/>
      <c r="BB161" s="269"/>
      <c r="BC161" s="270"/>
      <c r="BD161" s="258"/>
      <c r="BE161" s="258"/>
      <c r="BF161" s="258"/>
      <c r="BG161" s="258"/>
      <c r="BH161" s="268"/>
      <c r="BI161" s="258"/>
      <c r="BJ161" s="258"/>
      <c r="BK161" s="258"/>
      <c r="BL161" s="269"/>
      <c r="BM161" s="268"/>
      <c r="BN161" s="258"/>
      <c r="BO161" s="258"/>
      <c r="BP161" s="258"/>
      <c r="BQ161" s="269"/>
      <c r="BR161" s="268"/>
      <c r="BS161" s="258"/>
      <c r="BT161" s="258"/>
      <c r="BU161" s="258"/>
      <c r="BV161" s="269"/>
      <c r="BW161" s="270"/>
      <c r="BX161" s="258"/>
      <c r="BY161" s="258"/>
      <c r="BZ161" s="258"/>
      <c r="CA161" s="267"/>
      <c r="CB161" s="268"/>
      <c r="CC161" s="258"/>
      <c r="CD161" s="258"/>
      <c r="CE161" s="258"/>
      <c r="CF161" s="269"/>
      <c r="CG161" s="270"/>
      <c r="CH161" s="258"/>
      <c r="CI161" s="258"/>
      <c r="CJ161" s="258"/>
      <c r="CK161" s="258"/>
      <c r="CL161" s="268">
        <f>'FBMS-HND LEVEL TWO'!E999</f>
        <v>10</v>
      </c>
      <c r="CM161" s="258">
        <f>'FBMS-HND LEVEL TWO'!F999</f>
        <v>22</v>
      </c>
      <c r="CN161" s="258">
        <f>'FBMS-HND LEVEL TWO'!J999</f>
        <v>40</v>
      </c>
      <c r="CO161" s="258">
        <f>'FBMS-HND LEVEL TWO'!K999</f>
        <v>72</v>
      </c>
      <c r="CP161" s="269" t="str">
        <f>'FBMS-HND LEVEL TWO'!L999</f>
        <v>B+</v>
      </c>
      <c r="CQ161" s="266">
        <f>'FBMS-HND LEVEL TWO'!E1031</f>
        <v>10</v>
      </c>
      <c r="CR161" s="258">
        <f>'FBMS-HND LEVEL TWO'!F1031</f>
        <v>20</v>
      </c>
      <c r="CS161" s="258">
        <f>'FBMS-HND LEVEL TWO'!J1031</f>
        <v>40</v>
      </c>
      <c r="CT161" s="259">
        <f>'FBMS-HND LEVEL TWO'!K1031</f>
        <v>70</v>
      </c>
      <c r="CU161" s="267" t="str">
        <f>'FBMS-HND LEVEL TWO'!L1031</f>
        <v>B+</v>
      </c>
      <c r="CV161" s="268">
        <f>'FBMS-HND LEVEL TWO'!E1066</f>
        <v>10</v>
      </c>
      <c r="CW161" s="258">
        <f>'FBMS-HND LEVEL TWO'!F1066</f>
        <v>17</v>
      </c>
      <c r="CX161" s="258">
        <f>'FBMS-HND LEVEL TWO'!J1066</f>
        <v>33</v>
      </c>
      <c r="CY161" s="258">
        <f>'FBMS-HND LEVEL TWO'!K1066</f>
        <v>60</v>
      </c>
      <c r="CZ161" s="269" t="str">
        <f>'FBMS-HND LEVEL TWO'!L1066</f>
        <v>B</v>
      </c>
      <c r="DA161" s="268">
        <f>'FBMS-HND LEVEL TWO'!E1101</f>
        <v>10</v>
      </c>
      <c r="DB161" s="258">
        <f>'FBMS-HND LEVEL TWO'!F1101</f>
        <v>14</v>
      </c>
      <c r="DC161" s="258">
        <f>'FBMS-HND LEVEL TWO'!J1101</f>
        <v>23</v>
      </c>
      <c r="DD161" s="258">
        <f>'FBMS-HND LEVEL TWO'!K1101</f>
        <v>47</v>
      </c>
      <c r="DE161" s="269" t="str">
        <f>'FBMS-HND LEVEL TWO'!L1101</f>
        <v>D+</v>
      </c>
      <c r="DF161" s="268">
        <f>'FBMS-HND LEVEL TWO'!E1133</f>
        <v>10</v>
      </c>
      <c r="DG161" s="258">
        <f>'FBMS-HND LEVEL TWO'!F1133</f>
        <v>22</v>
      </c>
      <c r="DH161" s="258">
        <f>'FBMS-HND LEVEL TWO'!J1133</f>
        <v>33</v>
      </c>
      <c r="DI161" s="258">
        <f>'FBMS-HND LEVEL TWO'!K1133</f>
        <v>65</v>
      </c>
      <c r="DJ161" s="269" t="str">
        <f>'FBMS-HND LEVEL TWO'!L1133</f>
        <v>B</v>
      </c>
      <c r="DK161" s="268"/>
      <c r="DL161" s="258"/>
      <c r="DM161" s="258"/>
      <c r="DN161" s="258"/>
      <c r="DO161" s="269"/>
      <c r="DP161" s="268"/>
      <c r="DQ161" s="258"/>
      <c r="DR161" s="258"/>
      <c r="DS161" s="258"/>
      <c r="DT161" s="269"/>
      <c r="DU161" s="268"/>
      <c r="DV161" s="258"/>
      <c r="DW161" s="258"/>
      <c r="DX161" s="258"/>
      <c r="DY161" s="269"/>
      <c r="DZ161" s="268"/>
      <c r="EA161" s="258"/>
      <c r="EB161" s="258"/>
      <c r="EC161" s="258"/>
      <c r="ED161" s="269"/>
    </row>
    <row r="162" spans="1:134" ht="17.25" customHeight="1" x14ac:dyDescent="0.3">
      <c r="A162" s="161">
        <v>36</v>
      </c>
      <c r="B162" s="12" t="s">
        <v>158</v>
      </c>
      <c r="C162" s="12" t="s">
        <v>107</v>
      </c>
      <c r="D162" s="12" t="s">
        <v>158</v>
      </c>
      <c r="E162" s="162">
        <f>'FBMS-HND LEVEL TWO'!E47</f>
        <v>8</v>
      </c>
      <c r="F162" s="157">
        <f>'FBMS-HND LEVEL TWO'!F47</f>
        <v>20</v>
      </c>
      <c r="G162" s="157">
        <f>'FBMS-HND LEVEL TWO'!J47</f>
        <v>22</v>
      </c>
      <c r="H162" s="158">
        <f>'FBMS-HND LEVEL TWO'!K47</f>
        <v>50</v>
      </c>
      <c r="I162" s="163" t="str">
        <f>'FBMS-HND LEVEL TWO'!L47</f>
        <v>C</v>
      </c>
      <c r="J162" s="164">
        <f>'FBMS-HND LEVEL TWO'!E116</f>
        <v>10</v>
      </c>
      <c r="K162" s="157">
        <f>'FBMS-HND LEVEL TWO'!F116</f>
        <v>24</v>
      </c>
      <c r="L162" s="157">
        <f>'FBMS-HND LEVEL TWO'!J116</f>
        <v>50</v>
      </c>
      <c r="M162" s="157">
        <f>'FBMS-HND LEVEL TWO'!K116</f>
        <v>84</v>
      </c>
      <c r="N162" s="165" t="str">
        <f>'FBMS-HND LEVEL TWO'!L116</f>
        <v>A</v>
      </c>
      <c r="O162" s="166">
        <f>'FBMS-HND LEVEL TWO'!E185</f>
        <v>9</v>
      </c>
      <c r="P162" s="157">
        <f>'FBMS-HND LEVEL TWO'!F185</f>
        <v>21</v>
      </c>
      <c r="Q162" s="157">
        <f>'FBMS-HND LEVEL TWO'!J185</f>
        <v>35</v>
      </c>
      <c r="R162" s="157">
        <f>'FBMS-HND LEVEL TWO'!K185</f>
        <v>65</v>
      </c>
      <c r="S162" s="163" t="str">
        <f>'FBMS-HND LEVEL TWO'!L185</f>
        <v>B</v>
      </c>
      <c r="T162" s="164">
        <f>'FBMS-HND LEVEL TWO'!E257</f>
        <v>10</v>
      </c>
      <c r="U162" s="157">
        <f>'FBMS-HND LEVEL TWO'!F257</f>
        <v>17</v>
      </c>
      <c r="V162" s="157">
        <f>'FBMS-HND LEVEL TWO'!J257</f>
        <v>38</v>
      </c>
      <c r="W162" s="157">
        <f>'FBMS-HND LEVEL TWO'!K257</f>
        <v>65</v>
      </c>
      <c r="X162" s="165" t="str">
        <f>'FBMS-HND LEVEL TWO'!L257</f>
        <v>B</v>
      </c>
      <c r="Y162" s="166">
        <f>'FBMS-HND LEVEL TWO'!E331</f>
        <v>8</v>
      </c>
      <c r="Z162" s="157">
        <f>'FBMS-HND LEVEL TWO'!F331</f>
        <v>22</v>
      </c>
      <c r="AA162" s="157">
        <f>'FBMS-HND LEVEL TWO'!J331</f>
        <v>32</v>
      </c>
      <c r="AB162" s="157">
        <f>'FBMS-HND LEVEL TWO'!K331</f>
        <v>62</v>
      </c>
      <c r="AC162" s="157" t="str">
        <f>'FBMS-HND LEVEL TWO'!L331</f>
        <v>B</v>
      </c>
      <c r="AD162" s="164"/>
      <c r="AE162" s="157"/>
      <c r="AF162" s="157"/>
      <c r="AG162" s="157"/>
      <c r="AH162" s="165"/>
      <c r="AI162" s="266">
        <f>'FBMS-HND LEVEL TWO'!E457</f>
        <v>10</v>
      </c>
      <c r="AJ162" s="258">
        <f>'FBMS-HND LEVEL TWO'!F457</f>
        <v>24.5</v>
      </c>
      <c r="AK162" s="258">
        <f>'FBMS-HND LEVEL TWO'!J457</f>
        <v>40</v>
      </c>
      <c r="AL162" s="259">
        <f>'FBMS-HND LEVEL TWO'!K457</f>
        <v>74.5</v>
      </c>
      <c r="AM162" s="267" t="str">
        <f>'FBMS-HND LEVEL TWO'!L457</f>
        <v>B+</v>
      </c>
      <c r="AN162" s="268">
        <f>'FBMS-HND LEVEL TWO'!E532</f>
        <v>10</v>
      </c>
      <c r="AO162" s="258">
        <f>'FBMS-HND LEVEL TWO'!F532</f>
        <v>25</v>
      </c>
      <c r="AP162" s="258">
        <f>'FBMS-HND LEVEL TWO'!J532</f>
        <v>38</v>
      </c>
      <c r="AQ162" s="258">
        <f>'FBMS-HND LEVEL TWO'!K532</f>
        <v>73</v>
      </c>
      <c r="AR162" s="269" t="str">
        <f>'FBMS-HND LEVEL TWO'!L532</f>
        <v>B+</v>
      </c>
      <c r="AS162" s="270">
        <f>'FBMS-HND LEVEL TWO'!E610</f>
        <v>8</v>
      </c>
      <c r="AT162" s="258">
        <f>'FBMS-HND LEVEL TWO'!F610</f>
        <v>22</v>
      </c>
      <c r="AU162" s="258">
        <f>'FBMS-HND LEVEL TWO'!J610</f>
        <v>53</v>
      </c>
      <c r="AV162" s="258">
        <f>'FBMS-HND LEVEL TWO'!K610</f>
        <v>83</v>
      </c>
      <c r="AW162" s="267" t="str">
        <f>'FBMS-HND LEVEL TWO'!L610</f>
        <v>A</v>
      </c>
      <c r="AX162" s="268"/>
      <c r="AY162" s="258"/>
      <c r="AZ162" s="258"/>
      <c r="BA162" s="258"/>
      <c r="BB162" s="269"/>
      <c r="BC162" s="270"/>
      <c r="BD162" s="258"/>
      <c r="BE162" s="258"/>
      <c r="BF162" s="258"/>
      <c r="BG162" s="258"/>
      <c r="BH162" s="268"/>
      <c r="BI162" s="258"/>
      <c r="BJ162" s="258"/>
      <c r="BK162" s="258"/>
      <c r="BL162" s="269"/>
      <c r="BM162" s="268"/>
      <c r="BN162" s="258"/>
      <c r="BO162" s="258"/>
      <c r="BP162" s="258"/>
      <c r="BQ162" s="269"/>
      <c r="BR162" s="268"/>
      <c r="BS162" s="258"/>
      <c r="BT162" s="258"/>
      <c r="BU162" s="258"/>
      <c r="BV162" s="269"/>
      <c r="BW162" s="270"/>
      <c r="BX162" s="258"/>
      <c r="BY162" s="258"/>
      <c r="BZ162" s="258"/>
      <c r="CA162" s="267"/>
      <c r="CB162" s="268"/>
      <c r="CC162" s="258"/>
      <c r="CD162" s="258"/>
      <c r="CE162" s="258"/>
      <c r="CF162" s="269"/>
      <c r="CG162" s="270"/>
      <c r="CH162" s="258"/>
      <c r="CI162" s="258"/>
      <c r="CJ162" s="258"/>
      <c r="CK162" s="258"/>
      <c r="CL162" s="268">
        <f>'FBMS-HND LEVEL TWO'!E1000</f>
        <v>9</v>
      </c>
      <c r="CM162" s="258">
        <f>'FBMS-HND LEVEL TWO'!F1000</f>
        <v>26</v>
      </c>
      <c r="CN162" s="258">
        <f>'FBMS-HND LEVEL TWO'!J1000</f>
        <v>41</v>
      </c>
      <c r="CO162" s="258">
        <f>'FBMS-HND LEVEL TWO'!K1000</f>
        <v>76</v>
      </c>
      <c r="CP162" s="269" t="str">
        <f>'FBMS-HND LEVEL TWO'!L1000</f>
        <v>B+</v>
      </c>
      <c r="CQ162" s="266">
        <f>'FBMS-HND LEVEL TWO'!E1032</f>
        <v>10</v>
      </c>
      <c r="CR162" s="258">
        <f>'FBMS-HND LEVEL TWO'!F1032</f>
        <v>25</v>
      </c>
      <c r="CS162" s="258">
        <f>'FBMS-HND LEVEL TWO'!J1032</f>
        <v>50</v>
      </c>
      <c r="CT162" s="259">
        <f>'FBMS-HND LEVEL TWO'!K1032</f>
        <v>85</v>
      </c>
      <c r="CU162" s="267" t="str">
        <f>'FBMS-HND LEVEL TWO'!L1032</f>
        <v>A</v>
      </c>
      <c r="CV162" s="268">
        <f>'FBMS-HND LEVEL TWO'!E1067</f>
        <v>10</v>
      </c>
      <c r="CW162" s="258">
        <f>'FBMS-HND LEVEL TWO'!F1067</f>
        <v>19</v>
      </c>
      <c r="CX162" s="258">
        <f>'FBMS-HND LEVEL TWO'!J1067</f>
        <v>24</v>
      </c>
      <c r="CY162" s="258">
        <f>'FBMS-HND LEVEL TWO'!K1067</f>
        <v>53</v>
      </c>
      <c r="CZ162" s="269" t="str">
        <f>'FBMS-HND LEVEL TWO'!L1067</f>
        <v>C</v>
      </c>
      <c r="DA162" s="268">
        <f>'FBMS-HND LEVEL TWO'!E1102</f>
        <v>10</v>
      </c>
      <c r="DB162" s="258">
        <f>'FBMS-HND LEVEL TWO'!F1102</f>
        <v>24</v>
      </c>
      <c r="DC162" s="258">
        <f>'FBMS-HND LEVEL TWO'!J1102</f>
        <v>55</v>
      </c>
      <c r="DD162" s="258">
        <f>'FBMS-HND LEVEL TWO'!K1102</f>
        <v>89</v>
      </c>
      <c r="DE162" s="269" t="str">
        <f>'FBMS-HND LEVEL TWO'!L1102</f>
        <v>A</v>
      </c>
      <c r="DF162" s="268">
        <f>'FBMS-HND LEVEL TWO'!E1134</f>
        <v>10</v>
      </c>
      <c r="DG162" s="258">
        <f>'FBMS-HND LEVEL TWO'!F1134</f>
        <v>22</v>
      </c>
      <c r="DH162" s="258">
        <f>'FBMS-HND LEVEL TWO'!J1134</f>
        <v>41</v>
      </c>
      <c r="DI162" s="258">
        <f>'FBMS-HND LEVEL TWO'!K1134</f>
        <v>73</v>
      </c>
      <c r="DJ162" s="269" t="str">
        <f>'FBMS-HND LEVEL TWO'!L1134</f>
        <v>B+</v>
      </c>
      <c r="DK162" s="268"/>
      <c r="DL162" s="258"/>
      <c r="DM162" s="258"/>
      <c r="DN162" s="258"/>
      <c r="DO162" s="269"/>
      <c r="DP162" s="268"/>
      <c r="DQ162" s="258"/>
      <c r="DR162" s="258"/>
      <c r="DS162" s="258"/>
      <c r="DT162" s="269"/>
      <c r="DU162" s="268"/>
      <c r="DV162" s="258"/>
      <c r="DW162" s="258"/>
      <c r="DX162" s="258"/>
      <c r="DY162" s="269"/>
      <c r="DZ162" s="268"/>
      <c r="EA162" s="258"/>
      <c r="EB162" s="258"/>
      <c r="EC162" s="258"/>
      <c r="ED162" s="269"/>
    </row>
    <row r="163" spans="1:134" ht="17.25" customHeight="1" x14ac:dyDescent="0.3">
      <c r="A163" s="154">
        <v>37</v>
      </c>
      <c r="B163" s="12" t="s">
        <v>159</v>
      </c>
      <c r="C163" s="12" t="s">
        <v>108</v>
      </c>
      <c r="D163" s="12" t="s">
        <v>159</v>
      </c>
      <c r="E163" s="162">
        <f>'FBMS-HND LEVEL TWO'!E48</f>
        <v>8</v>
      </c>
      <c r="F163" s="157">
        <f>'FBMS-HND LEVEL TWO'!F48</f>
        <v>22</v>
      </c>
      <c r="G163" s="157">
        <f>'FBMS-HND LEVEL TWO'!J48</f>
        <v>26</v>
      </c>
      <c r="H163" s="158">
        <f>'FBMS-HND LEVEL TWO'!K48</f>
        <v>56</v>
      </c>
      <c r="I163" s="163" t="str">
        <f>'FBMS-HND LEVEL TWO'!L48</f>
        <v>C+</v>
      </c>
      <c r="J163" s="164">
        <f>'FBMS-HND LEVEL TWO'!E117</f>
        <v>10</v>
      </c>
      <c r="K163" s="157">
        <f>'FBMS-HND LEVEL TWO'!F117</f>
        <v>23</v>
      </c>
      <c r="L163" s="157">
        <f>'FBMS-HND LEVEL TWO'!J117</f>
        <v>36</v>
      </c>
      <c r="M163" s="157">
        <f>'FBMS-HND LEVEL TWO'!K117</f>
        <v>69</v>
      </c>
      <c r="N163" s="165" t="str">
        <f>'FBMS-HND LEVEL TWO'!L117</f>
        <v>B</v>
      </c>
      <c r="O163" s="166">
        <f>'FBMS-HND LEVEL TWO'!E186</f>
        <v>9</v>
      </c>
      <c r="P163" s="157">
        <f>'FBMS-HND LEVEL TWO'!F186</f>
        <v>23</v>
      </c>
      <c r="Q163" s="157">
        <f>'FBMS-HND LEVEL TWO'!J186</f>
        <v>47</v>
      </c>
      <c r="R163" s="157">
        <f>'FBMS-HND LEVEL TWO'!K186</f>
        <v>79</v>
      </c>
      <c r="S163" s="163" t="str">
        <f>'FBMS-HND LEVEL TWO'!L186</f>
        <v>B+</v>
      </c>
      <c r="T163" s="164">
        <f>'FBMS-HND LEVEL TWO'!E258</f>
        <v>10</v>
      </c>
      <c r="U163" s="157">
        <f>'FBMS-HND LEVEL TWO'!F258</f>
        <v>20</v>
      </c>
      <c r="V163" s="157">
        <f>'FBMS-HND LEVEL TWO'!J258</f>
        <v>40</v>
      </c>
      <c r="W163" s="157">
        <f>'FBMS-HND LEVEL TWO'!K258</f>
        <v>70</v>
      </c>
      <c r="X163" s="165" t="str">
        <f>'FBMS-HND LEVEL TWO'!L258</f>
        <v>B+</v>
      </c>
      <c r="Y163" s="166">
        <f>'FBMS-HND LEVEL TWO'!E332</f>
        <v>10</v>
      </c>
      <c r="Z163" s="157">
        <f>'FBMS-HND LEVEL TWO'!F332</f>
        <v>23</v>
      </c>
      <c r="AA163" s="157">
        <f>'FBMS-HND LEVEL TWO'!J332</f>
        <v>34</v>
      </c>
      <c r="AB163" s="157">
        <f>'FBMS-HND LEVEL TWO'!K332</f>
        <v>67</v>
      </c>
      <c r="AC163" s="157" t="str">
        <f>'FBMS-HND LEVEL TWO'!L332</f>
        <v>B</v>
      </c>
      <c r="AD163" s="164"/>
      <c r="AE163" s="157"/>
      <c r="AF163" s="157"/>
      <c r="AG163" s="157"/>
      <c r="AH163" s="165"/>
      <c r="AI163" s="266">
        <f>'FBMS-HND LEVEL TWO'!E458</f>
        <v>10</v>
      </c>
      <c r="AJ163" s="258">
        <f>'FBMS-HND LEVEL TWO'!F458</f>
        <v>22.5</v>
      </c>
      <c r="AK163" s="258">
        <f>'FBMS-HND LEVEL TWO'!J458</f>
        <v>44</v>
      </c>
      <c r="AL163" s="259">
        <f>'FBMS-HND LEVEL TWO'!K458</f>
        <v>76.5</v>
      </c>
      <c r="AM163" s="267" t="str">
        <f>'FBMS-HND LEVEL TWO'!L458</f>
        <v>B+</v>
      </c>
      <c r="AN163" s="268">
        <f>'FBMS-HND LEVEL TWO'!E533</f>
        <v>10</v>
      </c>
      <c r="AO163" s="258">
        <f>'FBMS-HND LEVEL TWO'!F533</f>
        <v>20</v>
      </c>
      <c r="AP163" s="258">
        <f>'FBMS-HND LEVEL TWO'!J533</f>
        <v>57</v>
      </c>
      <c r="AQ163" s="258">
        <f>'FBMS-HND LEVEL TWO'!K533</f>
        <v>87</v>
      </c>
      <c r="AR163" s="269" t="str">
        <f>'FBMS-HND LEVEL TWO'!L533</f>
        <v>A</v>
      </c>
      <c r="AS163" s="270">
        <f>'FBMS-HND LEVEL TWO'!E611</f>
        <v>9</v>
      </c>
      <c r="AT163" s="258">
        <f>'FBMS-HND LEVEL TWO'!F611</f>
        <v>17</v>
      </c>
      <c r="AU163" s="258">
        <f>'FBMS-HND LEVEL TWO'!J611</f>
        <v>55</v>
      </c>
      <c r="AV163" s="258">
        <f>'FBMS-HND LEVEL TWO'!K611</f>
        <v>81</v>
      </c>
      <c r="AW163" s="267" t="str">
        <f>'FBMS-HND LEVEL TWO'!L611</f>
        <v>A</v>
      </c>
      <c r="AX163" s="268"/>
      <c r="AY163" s="258"/>
      <c r="AZ163" s="258"/>
      <c r="BA163" s="258"/>
      <c r="BB163" s="269"/>
      <c r="BC163" s="270"/>
      <c r="BD163" s="258"/>
      <c r="BE163" s="258"/>
      <c r="BF163" s="258"/>
      <c r="BG163" s="258"/>
      <c r="BH163" s="268"/>
      <c r="BI163" s="258"/>
      <c r="BJ163" s="258"/>
      <c r="BK163" s="258"/>
      <c r="BL163" s="269"/>
      <c r="BM163" s="268"/>
      <c r="BN163" s="258"/>
      <c r="BO163" s="258"/>
      <c r="BP163" s="258"/>
      <c r="BQ163" s="269"/>
      <c r="BR163" s="268"/>
      <c r="BS163" s="258"/>
      <c r="BT163" s="258"/>
      <c r="BU163" s="258"/>
      <c r="BV163" s="269"/>
      <c r="BW163" s="270"/>
      <c r="BX163" s="258"/>
      <c r="BY163" s="258"/>
      <c r="BZ163" s="258"/>
      <c r="CA163" s="267"/>
      <c r="CB163" s="268"/>
      <c r="CC163" s="258"/>
      <c r="CD163" s="258"/>
      <c r="CE163" s="258"/>
      <c r="CF163" s="269"/>
      <c r="CG163" s="270"/>
      <c r="CH163" s="258"/>
      <c r="CI163" s="258"/>
      <c r="CJ163" s="258"/>
      <c r="CK163" s="258"/>
      <c r="CL163" s="268">
        <f>'FBMS-HND LEVEL TWO'!E1001</f>
        <v>9</v>
      </c>
      <c r="CM163" s="258">
        <f>'FBMS-HND LEVEL TWO'!F1001</f>
        <v>20</v>
      </c>
      <c r="CN163" s="258">
        <f>'FBMS-HND LEVEL TWO'!J1001</f>
        <v>53</v>
      </c>
      <c r="CO163" s="258">
        <f>'FBMS-HND LEVEL TWO'!K1001</f>
        <v>82</v>
      </c>
      <c r="CP163" s="269" t="str">
        <f>'FBMS-HND LEVEL TWO'!L1001</f>
        <v>A</v>
      </c>
      <c r="CQ163" s="266">
        <f>'FBMS-HND LEVEL TWO'!E1033</f>
        <v>10</v>
      </c>
      <c r="CR163" s="258">
        <f>'FBMS-HND LEVEL TWO'!F1033</f>
        <v>30</v>
      </c>
      <c r="CS163" s="258">
        <f>'FBMS-HND LEVEL TWO'!J1033</f>
        <v>48</v>
      </c>
      <c r="CT163" s="259">
        <f>'FBMS-HND LEVEL TWO'!K1033</f>
        <v>88</v>
      </c>
      <c r="CU163" s="267" t="str">
        <f>'FBMS-HND LEVEL TWO'!L1033</f>
        <v>A</v>
      </c>
      <c r="CV163" s="268">
        <f>'FBMS-HND LEVEL TWO'!E1068</f>
        <v>9</v>
      </c>
      <c r="CW163" s="258">
        <f>'FBMS-HND LEVEL TWO'!F1068</f>
        <v>14</v>
      </c>
      <c r="CX163" s="258">
        <f>'FBMS-HND LEVEL TWO'!J1068</f>
        <v>46</v>
      </c>
      <c r="CY163" s="258">
        <f>'FBMS-HND LEVEL TWO'!K1068</f>
        <v>69</v>
      </c>
      <c r="CZ163" s="269" t="str">
        <f>'FBMS-HND LEVEL TWO'!L1068</f>
        <v>B</v>
      </c>
      <c r="DA163" s="268">
        <f>'FBMS-HND LEVEL TWO'!E1103</f>
        <v>9</v>
      </c>
      <c r="DB163" s="258">
        <f>'FBMS-HND LEVEL TWO'!F1103</f>
        <v>21</v>
      </c>
      <c r="DC163" s="258">
        <f>'FBMS-HND LEVEL TWO'!J1103</f>
        <v>59</v>
      </c>
      <c r="DD163" s="258">
        <f>'FBMS-HND LEVEL TWO'!K1103</f>
        <v>89</v>
      </c>
      <c r="DE163" s="269" t="str">
        <f>'FBMS-HND LEVEL TWO'!L1103</f>
        <v>A</v>
      </c>
      <c r="DF163" s="268">
        <f>'FBMS-HND LEVEL TWO'!E1135</f>
        <v>9</v>
      </c>
      <c r="DG163" s="258">
        <f>'FBMS-HND LEVEL TWO'!F1135</f>
        <v>21</v>
      </c>
      <c r="DH163" s="258">
        <f>'FBMS-HND LEVEL TWO'!J1135</f>
        <v>45</v>
      </c>
      <c r="DI163" s="258">
        <f>'FBMS-HND LEVEL TWO'!K1135</f>
        <v>75</v>
      </c>
      <c r="DJ163" s="269" t="str">
        <f>'FBMS-HND LEVEL TWO'!L1135</f>
        <v>B+</v>
      </c>
      <c r="DK163" s="268"/>
      <c r="DL163" s="258"/>
      <c r="DM163" s="258"/>
      <c r="DN163" s="258"/>
      <c r="DO163" s="269"/>
      <c r="DP163" s="268"/>
      <c r="DQ163" s="258"/>
      <c r="DR163" s="258"/>
      <c r="DS163" s="258"/>
      <c r="DT163" s="269"/>
      <c r="DU163" s="268"/>
      <c r="DV163" s="258"/>
      <c r="DW163" s="258"/>
      <c r="DX163" s="258"/>
      <c r="DY163" s="269"/>
      <c r="DZ163" s="268"/>
      <c r="EA163" s="258"/>
      <c r="EB163" s="258"/>
      <c r="EC163" s="258"/>
      <c r="ED163" s="269"/>
    </row>
    <row r="164" spans="1:134" ht="17.25" customHeight="1" x14ac:dyDescent="0.3">
      <c r="A164" s="161">
        <v>38</v>
      </c>
      <c r="B164" s="12" t="s">
        <v>167</v>
      </c>
      <c r="C164" s="12" t="s">
        <v>118</v>
      </c>
      <c r="D164" s="12" t="s">
        <v>167</v>
      </c>
      <c r="E164" s="162">
        <f>'FBMS-HND LEVEL TWO'!E49</f>
        <v>8</v>
      </c>
      <c r="F164" s="157">
        <f>'FBMS-HND LEVEL TWO'!F49</f>
        <v>19</v>
      </c>
      <c r="G164" s="157">
        <f>'FBMS-HND LEVEL TWO'!J49</f>
        <v>26</v>
      </c>
      <c r="H164" s="158">
        <f>'FBMS-HND LEVEL TWO'!K49</f>
        <v>53</v>
      </c>
      <c r="I164" s="163" t="str">
        <f>'FBMS-HND LEVEL TWO'!L49</f>
        <v>C</v>
      </c>
      <c r="J164" s="164">
        <f>'FBMS-HND LEVEL TWO'!E118</f>
        <v>8</v>
      </c>
      <c r="K164" s="157">
        <f>'FBMS-HND LEVEL TWO'!F118</f>
        <v>25</v>
      </c>
      <c r="L164" s="157">
        <f>'FBMS-HND LEVEL TWO'!J118</f>
        <v>45</v>
      </c>
      <c r="M164" s="157">
        <f>'FBMS-HND LEVEL TWO'!K118</f>
        <v>78</v>
      </c>
      <c r="N164" s="165" t="str">
        <f>'FBMS-HND LEVEL TWO'!L118</f>
        <v>B+</v>
      </c>
      <c r="O164" s="166">
        <f>'FBMS-HND LEVEL TWO'!E187</f>
        <v>9</v>
      </c>
      <c r="P164" s="157">
        <f>'FBMS-HND LEVEL TWO'!F187</f>
        <v>23</v>
      </c>
      <c r="Q164" s="157">
        <f>'FBMS-HND LEVEL TWO'!J187</f>
        <v>30</v>
      </c>
      <c r="R164" s="157">
        <f>'FBMS-HND LEVEL TWO'!K187</f>
        <v>62</v>
      </c>
      <c r="S164" s="163" t="str">
        <f>'FBMS-HND LEVEL TWO'!L187</f>
        <v>B</v>
      </c>
      <c r="T164" s="164">
        <f>'FBMS-HND LEVEL TWO'!E259</f>
        <v>9</v>
      </c>
      <c r="U164" s="157">
        <f>'FBMS-HND LEVEL TWO'!F259</f>
        <v>20</v>
      </c>
      <c r="V164" s="157">
        <f>'FBMS-HND LEVEL TWO'!J259</f>
        <v>25</v>
      </c>
      <c r="W164" s="157">
        <f>'FBMS-HND LEVEL TWO'!K259</f>
        <v>54</v>
      </c>
      <c r="X164" s="165" t="str">
        <f>'FBMS-HND LEVEL TWO'!L259</f>
        <v>C</v>
      </c>
      <c r="Y164" s="166">
        <f>'FBMS-HND LEVEL TWO'!E333</f>
        <v>8</v>
      </c>
      <c r="Z164" s="157">
        <f>'FBMS-HND LEVEL TWO'!F333</f>
        <v>25</v>
      </c>
      <c r="AA164" s="157">
        <f>'FBMS-HND LEVEL TWO'!J333</f>
        <v>40</v>
      </c>
      <c r="AB164" s="157">
        <f>'FBMS-HND LEVEL TWO'!K333</f>
        <v>73</v>
      </c>
      <c r="AC164" s="157" t="str">
        <f>'FBMS-HND LEVEL TWO'!L333</f>
        <v>B+</v>
      </c>
      <c r="AD164" s="164"/>
      <c r="AE164" s="157"/>
      <c r="AF164" s="157"/>
      <c r="AG164" s="157"/>
      <c r="AH164" s="165"/>
      <c r="AI164" s="266">
        <f>'FBMS-HND LEVEL TWO'!E459</f>
        <v>9</v>
      </c>
      <c r="AJ164" s="258">
        <f>'FBMS-HND LEVEL TWO'!F459</f>
        <v>17</v>
      </c>
      <c r="AK164" s="258">
        <f>'FBMS-HND LEVEL TWO'!J459</f>
        <v>25</v>
      </c>
      <c r="AL164" s="259">
        <f>'FBMS-HND LEVEL TWO'!K459</f>
        <v>51</v>
      </c>
      <c r="AM164" s="267" t="str">
        <f>'FBMS-HND LEVEL TWO'!L459</f>
        <v>C</v>
      </c>
      <c r="AN164" s="268">
        <f>'FBMS-HND LEVEL TWO'!E534</f>
        <v>10</v>
      </c>
      <c r="AO164" s="258">
        <f>'FBMS-HND LEVEL TWO'!F534</f>
        <v>20</v>
      </c>
      <c r="AP164" s="258">
        <f>'FBMS-HND LEVEL TWO'!J534</f>
        <v>25</v>
      </c>
      <c r="AQ164" s="258">
        <f>'FBMS-HND LEVEL TWO'!K534</f>
        <v>55</v>
      </c>
      <c r="AR164" s="269" t="str">
        <f>'FBMS-HND LEVEL TWO'!L534</f>
        <v>C+</v>
      </c>
      <c r="AS164" s="270">
        <f>'FBMS-HND LEVEL TWO'!E612</f>
        <v>9</v>
      </c>
      <c r="AT164" s="258">
        <f>'FBMS-HND LEVEL TWO'!F612</f>
        <v>13</v>
      </c>
      <c r="AU164" s="258">
        <f>'FBMS-HND LEVEL TWO'!J612</f>
        <v>55</v>
      </c>
      <c r="AV164" s="258">
        <f>'FBMS-HND LEVEL TWO'!K612</f>
        <v>77</v>
      </c>
      <c r="AW164" s="267" t="str">
        <f>'FBMS-HND LEVEL TWO'!L612</f>
        <v>B+</v>
      </c>
      <c r="AX164" s="268"/>
      <c r="AY164" s="258"/>
      <c r="AZ164" s="258"/>
      <c r="BA164" s="258"/>
      <c r="BB164" s="269"/>
      <c r="BC164" s="270"/>
      <c r="BD164" s="258"/>
      <c r="BE164" s="258"/>
      <c r="BF164" s="258"/>
      <c r="BG164" s="258"/>
      <c r="BH164" s="268"/>
      <c r="BI164" s="258"/>
      <c r="BJ164" s="258"/>
      <c r="BK164" s="258"/>
      <c r="BL164" s="269"/>
      <c r="BM164" s="268"/>
      <c r="BN164" s="258"/>
      <c r="BO164" s="258"/>
      <c r="BP164" s="258"/>
      <c r="BQ164" s="269"/>
      <c r="BR164" s="268"/>
      <c r="BS164" s="258"/>
      <c r="BT164" s="258"/>
      <c r="BU164" s="258"/>
      <c r="BV164" s="269"/>
      <c r="BW164" s="270"/>
      <c r="BX164" s="258"/>
      <c r="BY164" s="258"/>
      <c r="BZ164" s="258"/>
      <c r="CA164" s="267"/>
      <c r="CB164" s="268"/>
      <c r="CC164" s="258"/>
      <c r="CD164" s="258"/>
      <c r="CE164" s="258"/>
      <c r="CF164" s="269"/>
      <c r="CG164" s="270"/>
      <c r="CH164" s="258"/>
      <c r="CI164" s="258"/>
      <c r="CJ164" s="258"/>
      <c r="CK164" s="258"/>
      <c r="CL164" s="268">
        <f>'FBMS-HND LEVEL TWO'!E1002</f>
        <v>8</v>
      </c>
      <c r="CM164" s="258">
        <f>'FBMS-HND LEVEL TWO'!F1002</f>
        <v>25</v>
      </c>
      <c r="CN164" s="258">
        <f>'FBMS-HND LEVEL TWO'!J1002</f>
        <v>43</v>
      </c>
      <c r="CO164" s="258">
        <f>'FBMS-HND LEVEL TWO'!K1002</f>
        <v>76</v>
      </c>
      <c r="CP164" s="269" t="str">
        <f>'FBMS-HND LEVEL TWO'!L1002</f>
        <v>B+</v>
      </c>
      <c r="CQ164" s="266">
        <f>'FBMS-HND LEVEL TWO'!E1034</f>
        <v>10</v>
      </c>
      <c r="CR164" s="258">
        <f>'FBMS-HND LEVEL TWO'!F1034</f>
        <v>20</v>
      </c>
      <c r="CS164" s="258">
        <f>'FBMS-HND LEVEL TWO'!J1034</f>
        <v>33</v>
      </c>
      <c r="CT164" s="259">
        <f>'FBMS-HND LEVEL TWO'!K1034</f>
        <v>63</v>
      </c>
      <c r="CU164" s="267" t="str">
        <f>'FBMS-HND LEVEL TWO'!L1034</f>
        <v>B</v>
      </c>
      <c r="CV164" s="268">
        <f>'FBMS-HND LEVEL TWO'!E1069</f>
        <v>9</v>
      </c>
      <c r="CW164" s="258">
        <f>'FBMS-HND LEVEL TWO'!F1069</f>
        <v>6</v>
      </c>
      <c r="CX164" s="258">
        <f>'FBMS-HND LEVEL TWO'!J1069</f>
        <v>35</v>
      </c>
      <c r="CY164" s="258">
        <f>'FBMS-HND LEVEL TWO'!K1069</f>
        <v>50</v>
      </c>
      <c r="CZ164" s="269" t="str">
        <f>'FBMS-HND LEVEL TWO'!L1069</f>
        <v>C</v>
      </c>
      <c r="DA164" s="268">
        <f>'FBMS-HND LEVEL TWO'!E1104</f>
        <v>9</v>
      </c>
      <c r="DB164" s="258">
        <f>'FBMS-HND LEVEL TWO'!F1104</f>
        <v>24</v>
      </c>
      <c r="DC164" s="258">
        <f>'FBMS-HND LEVEL TWO'!J1104</f>
        <v>45</v>
      </c>
      <c r="DD164" s="258">
        <f>'FBMS-HND LEVEL TWO'!K1104</f>
        <v>78</v>
      </c>
      <c r="DE164" s="269" t="str">
        <f>'FBMS-HND LEVEL TWO'!L1104</f>
        <v>B+</v>
      </c>
      <c r="DF164" s="268">
        <f>'FBMS-HND LEVEL TWO'!E1136</f>
        <v>8</v>
      </c>
      <c r="DG164" s="258">
        <f>'FBMS-HND LEVEL TWO'!F1136</f>
        <v>15</v>
      </c>
      <c r="DH164" s="258">
        <f>'FBMS-HND LEVEL TWO'!J1136</f>
        <v>35</v>
      </c>
      <c r="DI164" s="258">
        <f>'FBMS-HND LEVEL TWO'!K1136</f>
        <v>58</v>
      </c>
      <c r="DJ164" s="269" t="str">
        <f>'FBMS-HND LEVEL TWO'!L1136</f>
        <v>C+</v>
      </c>
      <c r="DK164" s="268"/>
      <c r="DL164" s="258"/>
      <c r="DM164" s="258"/>
      <c r="DN164" s="258"/>
      <c r="DO164" s="269"/>
      <c r="DP164" s="268"/>
      <c r="DQ164" s="258"/>
      <c r="DR164" s="258"/>
      <c r="DS164" s="258"/>
      <c r="DT164" s="269"/>
      <c r="DU164" s="268"/>
      <c r="DV164" s="258"/>
      <c r="DW164" s="258"/>
      <c r="DX164" s="258"/>
      <c r="DY164" s="269"/>
      <c r="DZ164" s="268"/>
      <c r="EA164" s="258"/>
      <c r="EB164" s="258"/>
      <c r="EC164" s="258"/>
      <c r="ED164" s="269"/>
    </row>
    <row r="165" spans="1:134" ht="17.25" customHeight="1" x14ac:dyDescent="0.3">
      <c r="A165" s="154">
        <v>39</v>
      </c>
      <c r="B165" s="12" t="s">
        <v>171</v>
      </c>
      <c r="C165" s="12" t="s">
        <v>125</v>
      </c>
      <c r="D165" s="12" t="s">
        <v>171</v>
      </c>
      <c r="E165" s="162">
        <f>'FBMS-HND LEVEL TWO'!E50</f>
        <v>8</v>
      </c>
      <c r="F165" s="157">
        <f>'FBMS-HND LEVEL TWO'!F50</f>
        <v>20</v>
      </c>
      <c r="G165" s="157">
        <f>'FBMS-HND LEVEL TWO'!J50</f>
        <v>17</v>
      </c>
      <c r="H165" s="158">
        <f>'FBMS-HND LEVEL TWO'!K50</f>
        <v>45</v>
      </c>
      <c r="I165" s="163" t="str">
        <f>'FBMS-HND LEVEL TWO'!L50</f>
        <v>D+</v>
      </c>
      <c r="J165" s="164">
        <f>'FBMS-HND LEVEL TWO'!E119</f>
        <v>8</v>
      </c>
      <c r="K165" s="157">
        <f>'FBMS-HND LEVEL TWO'!F119</f>
        <v>22</v>
      </c>
      <c r="L165" s="157">
        <f>'FBMS-HND LEVEL TWO'!J119</f>
        <v>26</v>
      </c>
      <c r="M165" s="157">
        <f>'FBMS-HND LEVEL TWO'!K119</f>
        <v>56</v>
      </c>
      <c r="N165" s="165" t="str">
        <f>'FBMS-HND LEVEL TWO'!L119</f>
        <v>C+</v>
      </c>
      <c r="O165" s="166">
        <f>'FBMS-HND LEVEL TWO'!E188</f>
        <v>9</v>
      </c>
      <c r="P165" s="157">
        <f>'FBMS-HND LEVEL TWO'!F188</f>
        <v>21</v>
      </c>
      <c r="Q165" s="157">
        <f>'FBMS-HND LEVEL TWO'!J188</f>
        <v>30</v>
      </c>
      <c r="R165" s="157">
        <f>'FBMS-HND LEVEL TWO'!K188</f>
        <v>60</v>
      </c>
      <c r="S165" s="163" t="str">
        <f>'FBMS-HND LEVEL TWO'!L188</f>
        <v>B</v>
      </c>
      <c r="T165" s="164">
        <f>'FBMS-HND LEVEL TWO'!E260</f>
        <v>10</v>
      </c>
      <c r="U165" s="157">
        <f>'FBMS-HND LEVEL TWO'!F260</f>
        <v>19</v>
      </c>
      <c r="V165" s="157">
        <f>'FBMS-HND LEVEL TWO'!J260</f>
        <v>12</v>
      </c>
      <c r="W165" s="157">
        <f>'FBMS-HND LEVEL TWO'!K260</f>
        <v>41</v>
      </c>
      <c r="X165" s="165" t="str">
        <f>'FBMS-HND LEVEL TWO'!L260</f>
        <v>D</v>
      </c>
      <c r="Y165" s="166">
        <f>'FBMS-HND LEVEL TWO'!E334</f>
        <v>8</v>
      </c>
      <c r="Z165" s="157">
        <f>'FBMS-HND LEVEL TWO'!F334</f>
        <v>15</v>
      </c>
      <c r="AA165" s="157">
        <f>'FBMS-HND LEVEL TWO'!J334</f>
        <v>28</v>
      </c>
      <c r="AB165" s="157">
        <f>'FBMS-HND LEVEL TWO'!K334</f>
        <v>51</v>
      </c>
      <c r="AC165" s="157" t="str">
        <f>'FBMS-HND LEVEL TWO'!L334</f>
        <v>C</v>
      </c>
      <c r="AD165" s="164"/>
      <c r="AE165" s="157"/>
      <c r="AF165" s="157"/>
      <c r="AG165" s="157"/>
      <c r="AH165" s="165"/>
      <c r="AI165" s="266">
        <f>'FBMS-HND LEVEL TWO'!E460</f>
        <v>9</v>
      </c>
      <c r="AJ165" s="258">
        <f>'FBMS-HND LEVEL TWO'!F460</f>
        <v>17</v>
      </c>
      <c r="AK165" s="258">
        <f>'FBMS-HND LEVEL TWO'!J460</f>
        <v>30</v>
      </c>
      <c r="AL165" s="259">
        <f>'FBMS-HND LEVEL TWO'!K460</f>
        <v>56</v>
      </c>
      <c r="AM165" s="267" t="str">
        <f>'FBMS-HND LEVEL TWO'!L460</f>
        <v>C+</v>
      </c>
      <c r="AN165" s="268">
        <f>'FBMS-HND LEVEL TWO'!E535</f>
        <v>10</v>
      </c>
      <c r="AO165" s="258">
        <f>'FBMS-HND LEVEL TWO'!F535</f>
        <v>22</v>
      </c>
      <c r="AP165" s="258">
        <f>'FBMS-HND LEVEL TWO'!J535</f>
        <v>8</v>
      </c>
      <c r="AQ165" s="258">
        <f>'FBMS-HND LEVEL TWO'!K535</f>
        <v>40</v>
      </c>
      <c r="AR165" s="269" t="str">
        <f>'FBMS-HND LEVEL TWO'!L535</f>
        <v>D</v>
      </c>
      <c r="AS165" s="270">
        <f>'FBMS-HND LEVEL TWO'!E613</f>
        <v>8</v>
      </c>
      <c r="AT165" s="258">
        <f>'FBMS-HND LEVEL TWO'!F613</f>
        <v>23</v>
      </c>
      <c r="AU165" s="258">
        <f>'FBMS-HND LEVEL TWO'!J613</f>
        <v>34</v>
      </c>
      <c r="AV165" s="258">
        <f>'FBMS-HND LEVEL TWO'!K613</f>
        <v>65</v>
      </c>
      <c r="AW165" s="267" t="str">
        <f>'FBMS-HND LEVEL TWO'!L613</f>
        <v>B</v>
      </c>
      <c r="AX165" s="268"/>
      <c r="AY165" s="258"/>
      <c r="AZ165" s="258"/>
      <c r="BA165" s="258"/>
      <c r="BB165" s="269"/>
      <c r="BC165" s="270"/>
      <c r="BD165" s="258"/>
      <c r="BE165" s="258"/>
      <c r="BF165" s="258"/>
      <c r="BG165" s="258"/>
      <c r="BH165" s="268"/>
      <c r="BI165" s="258"/>
      <c r="BJ165" s="258"/>
      <c r="BK165" s="258"/>
      <c r="BL165" s="269"/>
      <c r="BM165" s="268"/>
      <c r="BN165" s="258"/>
      <c r="BO165" s="258"/>
      <c r="BP165" s="258"/>
      <c r="BQ165" s="269"/>
      <c r="BR165" s="268"/>
      <c r="BS165" s="258"/>
      <c r="BT165" s="258"/>
      <c r="BU165" s="258"/>
      <c r="BV165" s="269"/>
      <c r="BW165" s="270"/>
      <c r="BX165" s="258"/>
      <c r="BY165" s="258"/>
      <c r="BZ165" s="258"/>
      <c r="CA165" s="267"/>
      <c r="CB165" s="268"/>
      <c r="CC165" s="258"/>
      <c r="CD165" s="258"/>
      <c r="CE165" s="258"/>
      <c r="CF165" s="269"/>
      <c r="CG165" s="270"/>
      <c r="CH165" s="258"/>
      <c r="CI165" s="258"/>
      <c r="CJ165" s="258"/>
      <c r="CK165" s="258"/>
      <c r="CL165" s="268">
        <f>'FBMS-HND LEVEL TWO'!E1003</f>
        <v>8</v>
      </c>
      <c r="CM165" s="258">
        <f>'FBMS-HND LEVEL TWO'!F1003</f>
        <v>12</v>
      </c>
      <c r="CN165" s="258">
        <f>'FBMS-HND LEVEL TWO'!J1003</f>
        <v>20</v>
      </c>
      <c r="CO165" s="258">
        <f>'FBMS-HND LEVEL TWO'!K1003</f>
        <v>40</v>
      </c>
      <c r="CP165" s="269" t="str">
        <f>'FBMS-HND LEVEL TWO'!L1003</f>
        <v>D</v>
      </c>
      <c r="CQ165" s="266">
        <f>'FBMS-HND LEVEL TWO'!E1035</f>
        <v>8</v>
      </c>
      <c r="CR165" s="258">
        <f>'FBMS-HND LEVEL TWO'!F1035</f>
        <v>9</v>
      </c>
      <c r="CS165" s="258">
        <f>'FBMS-HND LEVEL TWO'!J1035</f>
        <v>11</v>
      </c>
      <c r="CT165" s="259">
        <f>'FBMS-HND LEVEL TWO'!K1035</f>
        <v>28</v>
      </c>
      <c r="CU165" s="267" t="str">
        <f>'FBMS-HND LEVEL TWO'!L1035</f>
        <v>F</v>
      </c>
      <c r="CV165" s="268">
        <f>'FBMS-HND LEVEL TWO'!E1070</f>
        <v>9</v>
      </c>
      <c r="CW165" s="258">
        <f>'FBMS-HND LEVEL TWO'!F1070</f>
        <v>9</v>
      </c>
      <c r="CX165" s="258">
        <f>'FBMS-HND LEVEL TWO'!J1070</f>
        <v>18</v>
      </c>
      <c r="CY165" s="258">
        <f>'FBMS-HND LEVEL TWO'!K1070</f>
        <v>36</v>
      </c>
      <c r="CZ165" s="269" t="str">
        <f>'FBMS-HND LEVEL TWO'!L1070</f>
        <v>F</v>
      </c>
      <c r="DA165" s="268">
        <f>'FBMS-HND LEVEL TWO'!E1105</f>
        <v>7.5</v>
      </c>
      <c r="DB165" s="258">
        <f>'FBMS-HND LEVEL TWO'!F1105</f>
        <v>9</v>
      </c>
      <c r="DC165" s="258">
        <f>'FBMS-HND LEVEL TWO'!J1105</f>
        <v>16</v>
      </c>
      <c r="DD165" s="258">
        <f>'FBMS-HND LEVEL TWO'!K1105</f>
        <v>32.5</v>
      </c>
      <c r="DE165" s="269" t="str">
        <f>'FBMS-HND LEVEL TWO'!L1105</f>
        <v>F</v>
      </c>
      <c r="DF165" s="268">
        <f>'FBMS-HND LEVEL TWO'!E1137</f>
        <v>8</v>
      </c>
      <c r="DG165" s="258">
        <f>'FBMS-HND LEVEL TWO'!F1137</f>
        <v>11</v>
      </c>
      <c r="DH165" s="258">
        <f>'FBMS-HND LEVEL TWO'!J1137</f>
        <v>33</v>
      </c>
      <c r="DI165" s="258">
        <f>'FBMS-HND LEVEL TWO'!K1137</f>
        <v>52</v>
      </c>
      <c r="DJ165" s="269" t="str">
        <f>'FBMS-HND LEVEL TWO'!L1137</f>
        <v>C</v>
      </c>
      <c r="DK165" s="268"/>
      <c r="DL165" s="258"/>
      <c r="DM165" s="258"/>
      <c r="DN165" s="258"/>
      <c r="DO165" s="269"/>
      <c r="DP165" s="268"/>
      <c r="DQ165" s="258"/>
      <c r="DR165" s="258"/>
      <c r="DS165" s="258"/>
      <c r="DT165" s="269"/>
      <c r="DU165" s="268"/>
      <c r="DV165" s="258"/>
      <c r="DW165" s="258"/>
      <c r="DX165" s="258"/>
      <c r="DY165" s="269"/>
      <c r="DZ165" s="268"/>
      <c r="EA165" s="258"/>
      <c r="EB165" s="258"/>
      <c r="EC165" s="258"/>
      <c r="ED165" s="269"/>
    </row>
    <row r="166" spans="1:134" ht="17.25" customHeight="1" x14ac:dyDescent="0.3">
      <c r="A166" s="161">
        <v>40</v>
      </c>
      <c r="B166" s="12" t="s">
        <v>174</v>
      </c>
      <c r="C166" s="12" t="s">
        <v>128</v>
      </c>
      <c r="D166" s="12" t="s">
        <v>174</v>
      </c>
      <c r="E166" s="162">
        <f>'FBMS-HND LEVEL TWO'!E51</f>
        <v>8</v>
      </c>
      <c r="F166" s="157">
        <f>'FBMS-HND LEVEL TWO'!F51</f>
        <v>15</v>
      </c>
      <c r="G166" s="157">
        <f>'FBMS-HND LEVEL TWO'!J51</f>
        <v>27</v>
      </c>
      <c r="H166" s="158">
        <f>'FBMS-HND LEVEL TWO'!K51</f>
        <v>50</v>
      </c>
      <c r="I166" s="163" t="str">
        <f>'FBMS-HND LEVEL TWO'!L51</f>
        <v>C</v>
      </c>
      <c r="J166" s="164">
        <f>'FBMS-HND LEVEL TWO'!E120</f>
        <v>10</v>
      </c>
      <c r="K166" s="157">
        <f>'FBMS-HND LEVEL TWO'!F120</f>
        <v>21</v>
      </c>
      <c r="L166" s="157">
        <f>'FBMS-HND LEVEL TWO'!J120</f>
        <v>33</v>
      </c>
      <c r="M166" s="157">
        <f>'FBMS-HND LEVEL TWO'!K120</f>
        <v>64</v>
      </c>
      <c r="N166" s="165" t="str">
        <f>'FBMS-HND LEVEL TWO'!L120</f>
        <v>B</v>
      </c>
      <c r="O166" s="166">
        <f>'FBMS-HND LEVEL TWO'!E189</f>
        <v>8</v>
      </c>
      <c r="P166" s="157">
        <f>'FBMS-HND LEVEL TWO'!F189</f>
        <v>26</v>
      </c>
      <c r="Q166" s="157">
        <f>'FBMS-HND LEVEL TWO'!J189</f>
        <v>30</v>
      </c>
      <c r="R166" s="157">
        <f>'FBMS-HND LEVEL TWO'!K189</f>
        <v>64</v>
      </c>
      <c r="S166" s="163" t="str">
        <f>'FBMS-HND LEVEL TWO'!L189</f>
        <v>B</v>
      </c>
      <c r="T166" s="164">
        <f>'FBMS-HND LEVEL TWO'!E261</f>
        <v>9</v>
      </c>
      <c r="U166" s="157">
        <f>'FBMS-HND LEVEL TWO'!F261</f>
        <v>19</v>
      </c>
      <c r="V166" s="157">
        <f>'FBMS-HND LEVEL TWO'!J261</f>
        <v>36</v>
      </c>
      <c r="W166" s="157">
        <f>'FBMS-HND LEVEL TWO'!K261</f>
        <v>64</v>
      </c>
      <c r="X166" s="165" t="str">
        <f>'FBMS-HND LEVEL TWO'!L261</f>
        <v>B</v>
      </c>
      <c r="Y166" s="166">
        <f>'FBMS-HND LEVEL TWO'!E335</f>
        <v>10</v>
      </c>
      <c r="Z166" s="157">
        <f>'FBMS-HND LEVEL TWO'!F335</f>
        <v>22</v>
      </c>
      <c r="AA166" s="157">
        <f>'FBMS-HND LEVEL TWO'!J335</f>
        <v>28</v>
      </c>
      <c r="AB166" s="157">
        <f>'FBMS-HND LEVEL TWO'!K335</f>
        <v>60</v>
      </c>
      <c r="AC166" s="157" t="str">
        <f>'FBMS-HND LEVEL TWO'!L335</f>
        <v>B</v>
      </c>
      <c r="AD166" s="164"/>
      <c r="AE166" s="157"/>
      <c r="AF166" s="157"/>
      <c r="AG166" s="157"/>
      <c r="AH166" s="165"/>
      <c r="AI166" s="266">
        <f>'FBMS-HND LEVEL TWO'!E461</f>
        <v>10</v>
      </c>
      <c r="AJ166" s="258">
        <f>'FBMS-HND LEVEL TWO'!F461</f>
        <v>19</v>
      </c>
      <c r="AK166" s="258">
        <f>'FBMS-HND LEVEL TWO'!J461</f>
        <v>41</v>
      </c>
      <c r="AL166" s="259">
        <f>'FBMS-HND LEVEL TWO'!K461</f>
        <v>70</v>
      </c>
      <c r="AM166" s="267" t="str">
        <f>'FBMS-HND LEVEL TWO'!L461</f>
        <v>B+</v>
      </c>
      <c r="AN166" s="268">
        <f>'FBMS-HND LEVEL TWO'!E536</f>
        <v>10</v>
      </c>
      <c r="AO166" s="258">
        <f>'FBMS-HND LEVEL TWO'!F536</f>
        <v>17</v>
      </c>
      <c r="AP166" s="258">
        <f>'FBMS-HND LEVEL TWO'!J536</f>
        <v>38</v>
      </c>
      <c r="AQ166" s="258">
        <f>'FBMS-HND LEVEL TWO'!K536</f>
        <v>65</v>
      </c>
      <c r="AR166" s="269" t="str">
        <f>'FBMS-HND LEVEL TWO'!L536</f>
        <v>B</v>
      </c>
      <c r="AS166" s="270">
        <f>'FBMS-HND LEVEL TWO'!E614</f>
        <v>9</v>
      </c>
      <c r="AT166" s="258">
        <f>'FBMS-HND LEVEL TWO'!F614</f>
        <v>23</v>
      </c>
      <c r="AU166" s="258">
        <f>'FBMS-HND LEVEL TWO'!J614</f>
        <v>33</v>
      </c>
      <c r="AV166" s="258">
        <f>'FBMS-HND LEVEL TWO'!K614</f>
        <v>65</v>
      </c>
      <c r="AW166" s="267" t="str">
        <f>'FBMS-HND LEVEL TWO'!L614</f>
        <v>B</v>
      </c>
      <c r="AX166" s="268"/>
      <c r="AY166" s="258"/>
      <c r="AZ166" s="258"/>
      <c r="BA166" s="258"/>
      <c r="BB166" s="269"/>
      <c r="BC166" s="270"/>
      <c r="BD166" s="258"/>
      <c r="BE166" s="258"/>
      <c r="BF166" s="258"/>
      <c r="BG166" s="258"/>
      <c r="BH166" s="268"/>
      <c r="BI166" s="258"/>
      <c r="BJ166" s="258"/>
      <c r="BK166" s="258"/>
      <c r="BL166" s="269"/>
      <c r="BM166" s="268"/>
      <c r="BN166" s="258"/>
      <c r="BO166" s="258"/>
      <c r="BP166" s="258"/>
      <c r="BQ166" s="269"/>
      <c r="BR166" s="268"/>
      <c r="BS166" s="258"/>
      <c r="BT166" s="258"/>
      <c r="BU166" s="258"/>
      <c r="BV166" s="269"/>
      <c r="BW166" s="270"/>
      <c r="BX166" s="258"/>
      <c r="BY166" s="258"/>
      <c r="BZ166" s="258"/>
      <c r="CA166" s="267"/>
      <c r="CB166" s="268"/>
      <c r="CC166" s="258"/>
      <c r="CD166" s="258"/>
      <c r="CE166" s="258"/>
      <c r="CF166" s="269"/>
      <c r="CG166" s="270"/>
      <c r="CH166" s="258"/>
      <c r="CI166" s="258"/>
      <c r="CJ166" s="258"/>
      <c r="CK166" s="258"/>
      <c r="CL166" s="268">
        <f>'FBMS-HND LEVEL TWO'!E1004</f>
        <v>8</v>
      </c>
      <c r="CM166" s="258">
        <f>'FBMS-HND LEVEL TWO'!F1004</f>
        <v>22</v>
      </c>
      <c r="CN166" s="258">
        <f>'FBMS-HND LEVEL TWO'!J1004</f>
        <v>42</v>
      </c>
      <c r="CO166" s="258">
        <f>'FBMS-HND LEVEL TWO'!K1004</f>
        <v>72</v>
      </c>
      <c r="CP166" s="269" t="str">
        <f>'FBMS-HND LEVEL TWO'!L1004</f>
        <v>B+</v>
      </c>
      <c r="CQ166" s="266">
        <f>'FBMS-HND LEVEL TWO'!E1036</f>
        <v>9</v>
      </c>
      <c r="CR166" s="258">
        <f>'FBMS-HND LEVEL TWO'!F1036</f>
        <v>20</v>
      </c>
      <c r="CS166" s="258">
        <f>'FBMS-HND LEVEL TWO'!J1036</f>
        <v>38</v>
      </c>
      <c r="CT166" s="259">
        <f>'FBMS-HND LEVEL TWO'!K1036</f>
        <v>67</v>
      </c>
      <c r="CU166" s="267" t="str">
        <f>'FBMS-HND LEVEL TWO'!L1036</f>
        <v>B</v>
      </c>
      <c r="CV166" s="268">
        <f>'FBMS-HND LEVEL TWO'!E1071</f>
        <v>9</v>
      </c>
      <c r="CW166" s="258">
        <f>'FBMS-HND LEVEL TWO'!F1071</f>
        <v>17</v>
      </c>
      <c r="CX166" s="258">
        <f>'FBMS-HND LEVEL TWO'!J1071</f>
        <v>37</v>
      </c>
      <c r="CY166" s="258">
        <f>'FBMS-HND LEVEL TWO'!K1071</f>
        <v>63</v>
      </c>
      <c r="CZ166" s="269" t="str">
        <f>'FBMS-HND LEVEL TWO'!L1071</f>
        <v>B</v>
      </c>
      <c r="DA166" s="268">
        <f>'FBMS-HND LEVEL TWO'!E1106</f>
        <v>9</v>
      </c>
      <c r="DB166" s="258">
        <f>'FBMS-HND LEVEL TWO'!F1106</f>
        <v>20</v>
      </c>
      <c r="DC166" s="258">
        <f>'FBMS-HND LEVEL TWO'!J1106</f>
        <v>32</v>
      </c>
      <c r="DD166" s="258">
        <f>'FBMS-HND LEVEL TWO'!K1106</f>
        <v>61</v>
      </c>
      <c r="DE166" s="269" t="str">
        <f>'FBMS-HND LEVEL TWO'!L1106</f>
        <v>B</v>
      </c>
      <c r="DF166" s="268">
        <f>'FBMS-HND LEVEL TWO'!E1138</f>
        <v>9</v>
      </c>
      <c r="DG166" s="258">
        <f>'FBMS-HND LEVEL TWO'!F1138</f>
        <v>27</v>
      </c>
      <c r="DH166" s="258">
        <f>'FBMS-HND LEVEL TWO'!J1138</f>
        <v>33</v>
      </c>
      <c r="DI166" s="258">
        <f>'FBMS-HND LEVEL TWO'!K1138</f>
        <v>69</v>
      </c>
      <c r="DJ166" s="269" t="str">
        <f>'FBMS-HND LEVEL TWO'!L1138</f>
        <v>B</v>
      </c>
      <c r="DK166" s="268"/>
      <c r="DL166" s="258"/>
      <c r="DM166" s="258"/>
      <c r="DN166" s="258"/>
      <c r="DO166" s="269"/>
      <c r="DP166" s="268"/>
      <c r="DQ166" s="258"/>
      <c r="DR166" s="258"/>
      <c r="DS166" s="258"/>
      <c r="DT166" s="269"/>
      <c r="DU166" s="268"/>
      <c r="DV166" s="258"/>
      <c r="DW166" s="258"/>
      <c r="DX166" s="258"/>
      <c r="DY166" s="269"/>
      <c r="DZ166" s="268"/>
      <c r="EA166" s="258"/>
      <c r="EB166" s="258"/>
      <c r="EC166" s="258"/>
      <c r="ED166" s="269"/>
    </row>
    <row r="167" spans="1:134" ht="17.25" customHeight="1" x14ac:dyDescent="0.3">
      <c r="A167" s="154">
        <v>41</v>
      </c>
      <c r="B167" s="12" t="s">
        <v>220</v>
      </c>
      <c r="C167" s="12" t="s">
        <v>130</v>
      </c>
      <c r="D167" s="12" t="s">
        <v>220</v>
      </c>
      <c r="E167" s="162">
        <f>'FBMS-HND LEVEL TWO'!E52</f>
        <v>8</v>
      </c>
      <c r="F167" s="157">
        <f>'FBMS-HND LEVEL TWO'!F52</f>
        <v>20</v>
      </c>
      <c r="G167" s="157">
        <f>'FBMS-HND LEVEL TWO'!J52</f>
        <v>32</v>
      </c>
      <c r="H167" s="158">
        <f>'FBMS-HND LEVEL TWO'!K52</f>
        <v>60</v>
      </c>
      <c r="I167" s="163" t="str">
        <f>'FBMS-HND LEVEL TWO'!L52</f>
        <v>B</v>
      </c>
      <c r="J167" s="164">
        <f>'FBMS-HND LEVEL TWO'!E121</f>
        <v>8</v>
      </c>
      <c r="K167" s="157">
        <f>'FBMS-HND LEVEL TWO'!F121</f>
        <v>23</v>
      </c>
      <c r="L167" s="157">
        <f>'FBMS-HND LEVEL TWO'!J121</f>
        <v>41</v>
      </c>
      <c r="M167" s="157">
        <f>'FBMS-HND LEVEL TWO'!K121</f>
        <v>72</v>
      </c>
      <c r="N167" s="165" t="str">
        <f>'FBMS-HND LEVEL TWO'!L121</f>
        <v>B+</v>
      </c>
      <c r="O167" s="166">
        <f>'FBMS-HND LEVEL TWO'!E190</f>
        <v>9</v>
      </c>
      <c r="P167" s="157">
        <f>'FBMS-HND LEVEL TWO'!F190</f>
        <v>21</v>
      </c>
      <c r="Q167" s="157">
        <f>'FBMS-HND LEVEL TWO'!J190</f>
        <v>40</v>
      </c>
      <c r="R167" s="157">
        <f>'FBMS-HND LEVEL TWO'!K190</f>
        <v>70</v>
      </c>
      <c r="S167" s="163" t="str">
        <f>'FBMS-HND LEVEL TWO'!L190</f>
        <v>B+</v>
      </c>
      <c r="T167" s="164">
        <f>'FBMS-HND LEVEL TWO'!E262</f>
        <v>8</v>
      </c>
      <c r="U167" s="157">
        <f>'FBMS-HND LEVEL TWO'!F262</f>
        <v>20</v>
      </c>
      <c r="V167" s="157">
        <f>'FBMS-HND LEVEL TWO'!J262</f>
        <v>15</v>
      </c>
      <c r="W167" s="157">
        <f>'FBMS-HND LEVEL TWO'!K262</f>
        <v>43</v>
      </c>
      <c r="X167" s="165" t="str">
        <f>'FBMS-HND LEVEL TWO'!L262</f>
        <v>D</v>
      </c>
      <c r="Y167" s="166">
        <f>'FBMS-HND LEVEL TWO'!E336</f>
        <v>8</v>
      </c>
      <c r="Z167" s="157">
        <f>'FBMS-HND LEVEL TWO'!F336</f>
        <v>18</v>
      </c>
      <c r="AA167" s="157">
        <f>'FBMS-HND LEVEL TWO'!J336</f>
        <v>35</v>
      </c>
      <c r="AB167" s="157">
        <f>'FBMS-HND LEVEL TWO'!K336</f>
        <v>61</v>
      </c>
      <c r="AC167" s="157" t="str">
        <f>'FBMS-HND LEVEL TWO'!L336</f>
        <v>B</v>
      </c>
      <c r="AD167" s="164"/>
      <c r="AE167" s="157"/>
      <c r="AF167" s="157"/>
      <c r="AG167" s="157"/>
      <c r="AH167" s="165"/>
      <c r="AI167" s="266">
        <f>'FBMS-HND LEVEL TWO'!E462</f>
        <v>9</v>
      </c>
      <c r="AJ167" s="258">
        <f>'FBMS-HND LEVEL TWO'!F462</f>
        <v>24.5</v>
      </c>
      <c r="AK167" s="258">
        <f>'FBMS-HND LEVEL TWO'!J462</f>
        <v>35</v>
      </c>
      <c r="AL167" s="259">
        <f>'FBMS-HND LEVEL TWO'!K462</f>
        <v>68.5</v>
      </c>
      <c r="AM167" s="267" t="str">
        <f>'FBMS-HND LEVEL TWO'!L462</f>
        <v>B</v>
      </c>
      <c r="AN167" s="268">
        <f>'FBMS-HND LEVEL TWO'!E537</f>
        <v>9</v>
      </c>
      <c r="AO167" s="258">
        <f>'FBMS-HND LEVEL TWO'!F537</f>
        <v>16</v>
      </c>
      <c r="AP167" s="258">
        <f>'FBMS-HND LEVEL TWO'!J537</f>
        <v>34</v>
      </c>
      <c r="AQ167" s="258">
        <f>'FBMS-HND LEVEL TWO'!K537</f>
        <v>59</v>
      </c>
      <c r="AR167" s="269" t="str">
        <f>'FBMS-HND LEVEL TWO'!L537</f>
        <v>C+</v>
      </c>
      <c r="AS167" s="270">
        <f>'FBMS-HND LEVEL TWO'!E615</f>
        <v>8</v>
      </c>
      <c r="AT167" s="258">
        <f>'FBMS-HND LEVEL TWO'!F615</f>
        <v>22</v>
      </c>
      <c r="AU167" s="258">
        <f>'FBMS-HND LEVEL TWO'!J615</f>
        <v>47</v>
      </c>
      <c r="AV167" s="258">
        <f>'FBMS-HND LEVEL TWO'!K615</f>
        <v>77</v>
      </c>
      <c r="AW167" s="267" t="str">
        <f>'FBMS-HND LEVEL TWO'!L615</f>
        <v>B+</v>
      </c>
      <c r="AX167" s="268"/>
      <c r="AY167" s="258"/>
      <c r="AZ167" s="258"/>
      <c r="BA167" s="258"/>
      <c r="BB167" s="269"/>
      <c r="BC167" s="270"/>
      <c r="BD167" s="258"/>
      <c r="BE167" s="258"/>
      <c r="BF167" s="258"/>
      <c r="BG167" s="258"/>
      <c r="BH167" s="268"/>
      <c r="BI167" s="258"/>
      <c r="BJ167" s="258"/>
      <c r="BK167" s="258"/>
      <c r="BL167" s="269"/>
      <c r="BM167" s="268"/>
      <c r="BN167" s="258"/>
      <c r="BO167" s="258"/>
      <c r="BP167" s="258"/>
      <c r="BQ167" s="269"/>
      <c r="BR167" s="268"/>
      <c r="BS167" s="258"/>
      <c r="BT167" s="258"/>
      <c r="BU167" s="258"/>
      <c r="BV167" s="269"/>
      <c r="BW167" s="270"/>
      <c r="BX167" s="258"/>
      <c r="BY167" s="258"/>
      <c r="BZ167" s="258"/>
      <c r="CA167" s="267"/>
      <c r="CB167" s="268"/>
      <c r="CC167" s="258"/>
      <c r="CD167" s="258"/>
      <c r="CE167" s="258"/>
      <c r="CF167" s="269"/>
      <c r="CG167" s="270"/>
      <c r="CH167" s="258"/>
      <c r="CI167" s="258"/>
      <c r="CJ167" s="258"/>
      <c r="CK167" s="258"/>
      <c r="CL167" s="268">
        <f>'FBMS-HND LEVEL TWO'!E1005</f>
        <v>8</v>
      </c>
      <c r="CM167" s="258">
        <f>'FBMS-HND LEVEL TWO'!F1005</f>
        <v>27</v>
      </c>
      <c r="CN167" s="258">
        <f>'FBMS-HND LEVEL TWO'!J1005</f>
        <v>43</v>
      </c>
      <c r="CO167" s="258">
        <f>'FBMS-HND LEVEL TWO'!K1005</f>
        <v>78</v>
      </c>
      <c r="CP167" s="269" t="str">
        <f>'FBMS-HND LEVEL TWO'!L1005</f>
        <v>B+</v>
      </c>
      <c r="CQ167" s="266">
        <f>'FBMS-HND LEVEL TWO'!E1037</f>
        <v>8</v>
      </c>
      <c r="CR167" s="258">
        <f>'FBMS-HND LEVEL TWO'!F1037</f>
        <v>22</v>
      </c>
      <c r="CS167" s="258">
        <f>'FBMS-HND LEVEL TWO'!J1037</f>
        <v>38</v>
      </c>
      <c r="CT167" s="259">
        <f>'FBMS-HND LEVEL TWO'!K1037</f>
        <v>68</v>
      </c>
      <c r="CU167" s="267" t="str">
        <f>'FBMS-HND LEVEL TWO'!L1037</f>
        <v>B</v>
      </c>
      <c r="CV167" s="268">
        <f>'FBMS-HND LEVEL TWO'!E1072</f>
        <v>9</v>
      </c>
      <c r="CW167" s="258">
        <f>'FBMS-HND LEVEL TWO'!F1072</f>
        <v>18</v>
      </c>
      <c r="CX167" s="258">
        <f>'FBMS-HND LEVEL TWO'!J1072</f>
        <v>41</v>
      </c>
      <c r="CY167" s="258">
        <f>'FBMS-HND LEVEL TWO'!K1072</f>
        <v>68</v>
      </c>
      <c r="CZ167" s="269" t="str">
        <f>'FBMS-HND LEVEL TWO'!L1072</f>
        <v>B</v>
      </c>
      <c r="DA167" s="268">
        <f>'FBMS-HND LEVEL TWO'!E1107</f>
        <v>8</v>
      </c>
      <c r="DB167" s="258">
        <f>'FBMS-HND LEVEL TWO'!F1107</f>
        <v>22</v>
      </c>
      <c r="DC167" s="258">
        <f>'FBMS-HND LEVEL TWO'!J1107</f>
        <v>25</v>
      </c>
      <c r="DD167" s="258">
        <f>'FBMS-HND LEVEL TWO'!K1107</f>
        <v>55</v>
      </c>
      <c r="DE167" s="269" t="str">
        <f>'FBMS-HND LEVEL TWO'!L1107</f>
        <v>C+</v>
      </c>
      <c r="DF167" s="268">
        <f>'FBMS-HND LEVEL TWO'!E1139</f>
        <v>9</v>
      </c>
      <c r="DG167" s="258">
        <f>'FBMS-HND LEVEL TWO'!F1139</f>
        <v>18</v>
      </c>
      <c r="DH167" s="258">
        <f>'FBMS-HND LEVEL TWO'!J1139</f>
        <v>20</v>
      </c>
      <c r="DI167" s="258">
        <f>'FBMS-HND LEVEL TWO'!K1139</f>
        <v>47</v>
      </c>
      <c r="DJ167" s="269" t="str">
        <f>'FBMS-HND LEVEL TWO'!L1139</f>
        <v>D+</v>
      </c>
      <c r="DK167" s="268"/>
      <c r="DL167" s="258"/>
      <c r="DM167" s="258"/>
      <c r="DN167" s="258"/>
      <c r="DO167" s="269"/>
      <c r="DP167" s="268"/>
      <c r="DQ167" s="258"/>
      <c r="DR167" s="258"/>
      <c r="DS167" s="258"/>
      <c r="DT167" s="269"/>
      <c r="DU167" s="268"/>
      <c r="DV167" s="258"/>
      <c r="DW167" s="258"/>
      <c r="DX167" s="258"/>
      <c r="DY167" s="269"/>
      <c r="DZ167" s="268"/>
      <c r="EA167" s="258"/>
      <c r="EB167" s="258"/>
      <c r="EC167" s="258"/>
      <c r="ED167" s="269"/>
    </row>
    <row r="168" spans="1:134" ht="17.25" customHeight="1" x14ac:dyDescent="0.3">
      <c r="A168" s="161">
        <v>42</v>
      </c>
      <c r="B168" s="12" t="s">
        <v>166</v>
      </c>
      <c r="C168" s="12" t="s">
        <v>117</v>
      </c>
      <c r="D168" s="12" t="s">
        <v>166</v>
      </c>
      <c r="E168" s="162">
        <f>'FBMS-HND LEVEL TWO'!E53</f>
        <v>8</v>
      </c>
      <c r="F168" s="157">
        <f>'FBMS-HND LEVEL TWO'!F53</f>
        <v>30</v>
      </c>
      <c r="G168" s="157">
        <f>'FBMS-HND LEVEL TWO'!J53</f>
        <v>41</v>
      </c>
      <c r="H168" s="158">
        <f>'FBMS-HND LEVEL TWO'!K53</f>
        <v>79</v>
      </c>
      <c r="I168" s="163" t="str">
        <f>'FBMS-HND LEVEL TWO'!L53</f>
        <v>B+</v>
      </c>
      <c r="J168" s="164">
        <f>'FBMS-HND LEVEL TWO'!E122</f>
        <v>10</v>
      </c>
      <c r="K168" s="157">
        <f>'FBMS-HND LEVEL TWO'!F122</f>
        <v>25</v>
      </c>
      <c r="L168" s="157">
        <f>'FBMS-HND LEVEL TWO'!J122</f>
        <v>53</v>
      </c>
      <c r="M168" s="157">
        <f>'FBMS-HND LEVEL TWO'!K122</f>
        <v>88</v>
      </c>
      <c r="N168" s="165" t="str">
        <f>'FBMS-HND LEVEL TWO'!L122</f>
        <v>A</v>
      </c>
      <c r="O168" s="166">
        <f>'FBMS-HND LEVEL TWO'!E191</f>
        <v>10</v>
      </c>
      <c r="P168" s="157">
        <f>'FBMS-HND LEVEL TWO'!F191</f>
        <v>27</v>
      </c>
      <c r="Q168" s="157">
        <f>'FBMS-HND LEVEL TWO'!J191</f>
        <v>40</v>
      </c>
      <c r="R168" s="157">
        <f>'FBMS-HND LEVEL TWO'!K191</f>
        <v>77</v>
      </c>
      <c r="S168" s="163" t="str">
        <f>'FBMS-HND LEVEL TWO'!L191</f>
        <v>B+</v>
      </c>
      <c r="T168" s="164">
        <f>'FBMS-HND LEVEL TWO'!E263</f>
        <v>10</v>
      </c>
      <c r="U168" s="157">
        <f>'FBMS-HND LEVEL TWO'!F263</f>
        <v>20</v>
      </c>
      <c r="V168" s="157">
        <f>'FBMS-HND LEVEL TWO'!J263</f>
        <v>32</v>
      </c>
      <c r="W168" s="157">
        <f>'FBMS-HND LEVEL TWO'!K263</f>
        <v>62</v>
      </c>
      <c r="X168" s="165" t="str">
        <f>'FBMS-HND LEVEL TWO'!L263</f>
        <v>B</v>
      </c>
      <c r="Y168" s="166">
        <f>'FBMS-HND LEVEL TWO'!E337</f>
        <v>10</v>
      </c>
      <c r="Z168" s="157">
        <f>'FBMS-HND LEVEL TWO'!F337</f>
        <v>26</v>
      </c>
      <c r="AA168" s="157">
        <f>'FBMS-HND LEVEL TWO'!J337</f>
        <v>23</v>
      </c>
      <c r="AB168" s="157">
        <f>'FBMS-HND LEVEL TWO'!K337</f>
        <v>59</v>
      </c>
      <c r="AC168" s="157" t="str">
        <f>'FBMS-HND LEVEL TWO'!L337</f>
        <v>C+</v>
      </c>
      <c r="AD168" s="164"/>
      <c r="AE168" s="157"/>
      <c r="AF168" s="157"/>
      <c r="AG168" s="157"/>
      <c r="AH168" s="165"/>
      <c r="AI168" s="266">
        <f>'FBMS-HND LEVEL TWO'!E463</f>
        <v>10</v>
      </c>
      <c r="AJ168" s="258">
        <f>'FBMS-HND LEVEL TWO'!F463</f>
        <v>25.5</v>
      </c>
      <c r="AK168" s="258">
        <f>'FBMS-HND LEVEL TWO'!J463</f>
        <v>57</v>
      </c>
      <c r="AL168" s="259">
        <f>'FBMS-HND LEVEL TWO'!K463</f>
        <v>92.5</v>
      </c>
      <c r="AM168" s="267" t="str">
        <f>'FBMS-HND LEVEL TWO'!L463</f>
        <v>A</v>
      </c>
      <c r="AN168" s="268">
        <f>'FBMS-HND LEVEL TWO'!E538</f>
        <v>10</v>
      </c>
      <c r="AO168" s="258">
        <f>'FBMS-HND LEVEL TWO'!F538</f>
        <v>24</v>
      </c>
      <c r="AP168" s="258">
        <f>'FBMS-HND LEVEL TWO'!J538</f>
        <v>45</v>
      </c>
      <c r="AQ168" s="258">
        <f>'FBMS-HND LEVEL TWO'!K538</f>
        <v>79</v>
      </c>
      <c r="AR168" s="269" t="str">
        <f>'FBMS-HND LEVEL TWO'!L538</f>
        <v>B+</v>
      </c>
      <c r="AS168" s="270">
        <f>'FBMS-HND LEVEL TWO'!E616</f>
        <v>10</v>
      </c>
      <c r="AT168" s="258">
        <f>'FBMS-HND LEVEL TWO'!F616</f>
        <v>26</v>
      </c>
      <c r="AU168" s="258">
        <f>'FBMS-HND LEVEL TWO'!J616</f>
        <v>50</v>
      </c>
      <c r="AV168" s="258">
        <f>'FBMS-HND LEVEL TWO'!K616</f>
        <v>86</v>
      </c>
      <c r="AW168" s="267" t="str">
        <f>'FBMS-HND LEVEL TWO'!L616</f>
        <v>A</v>
      </c>
      <c r="AX168" s="268"/>
      <c r="AY168" s="258"/>
      <c r="AZ168" s="258"/>
      <c r="BA168" s="258"/>
      <c r="BB168" s="269"/>
      <c r="BC168" s="270"/>
      <c r="BD168" s="258"/>
      <c r="BE168" s="258"/>
      <c r="BF168" s="258"/>
      <c r="BG168" s="258"/>
      <c r="BH168" s="268"/>
      <c r="BI168" s="258"/>
      <c r="BJ168" s="258"/>
      <c r="BK168" s="258"/>
      <c r="BL168" s="269"/>
      <c r="BM168" s="268"/>
      <c r="BN168" s="258"/>
      <c r="BO168" s="258"/>
      <c r="BP168" s="258"/>
      <c r="BQ168" s="269"/>
      <c r="BR168" s="268"/>
      <c r="BS168" s="258"/>
      <c r="BT168" s="258"/>
      <c r="BU168" s="258"/>
      <c r="BV168" s="269"/>
      <c r="BW168" s="270"/>
      <c r="BX168" s="258"/>
      <c r="BY168" s="258"/>
      <c r="BZ168" s="258"/>
      <c r="CA168" s="267"/>
      <c r="CB168" s="268"/>
      <c r="CC168" s="258"/>
      <c r="CD168" s="258"/>
      <c r="CE168" s="258"/>
      <c r="CF168" s="269"/>
      <c r="CG168" s="270"/>
      <c r="CH168" s="258"/>
      <c r="CI168" s="258"/>
      <c r="CJ168" s="258"/>
      <c r="CK168" s="258"/>
      <c r="CL168" s="268">
        <f>'FBMS-HND LEVEL TWO'!E1006</f>
        <v>10</v>
      </c>
      <c r="CM168" s="258">
        <f>'FBMS-HND LEVEL TWO'!F1006</f>
        <v>19</v>
      </c>
      <c r="CN168" s="258">
        <f>'FBMS-HND LEVEL TWO'!J1006</f>
        <v>53</v>
      </c>
      <c r="CO168" s="258">
        <f>'FBMS-HND LEVEL TWO'!K1006</f>
        <v>82</v>
      </c>
      <c r="CP168" s="269" t="str">
        <f>'FBMS-HND LEVEL TWO'!L1006</f>
        <v>A</v>
      </c>
      <c r="CQ168" s="266">
        <f>'FBMS-HND LEVEL TWO'!E1038</f>
        <v>10</v>
      </c>
      <c r="CR168" s="258">
        <f>'FBMS-HND LEVEL TWO'!F1038</f>
        <v>29</v>
      </c>
      <c r="CS168" s="258">
        <f>'FBMS-HND LEVEL TWO'!J1038</f>
        <v>50</v>
      </c>
      <c r="CT168" s="259">
        <f>'FBMS-HND LEVEL TWO'!K1038</f>
        <v>89</v>
      </c>
      <c r="CU168" s="267" t="str">
        <f>'FBMS-HND LEVEL TWO'!L1038</f>
        <v>A</v>
      </c>
      <c r="CV168" s="268">
        <f>'FBMS-HND LEVEL TWO'!E1073</f>
        <v>10</v>
      </c>
      <c r="CW168" s="258">
        <f>'FBMS-HND LEVEL TWO'!F1073</f>
        <v>23</v>
      </c>
      <c r="CX168" s="258">
        <f>'FBMS-HND LEVEL TWO'!J1073</f>
        <v>41</v>
      </c>
      <c r="CY168" s="258">
        <f>'FBMS-HND LEVEL TWO'!K1073</f>
        <v>74</v>
      </c>
      <c r="CZ168" s="269" t="str">
        <f>'FBMS-HND LEVEL TWO'!L1073</f>
        <v>B+</v>
      </c>
      <c r="DA168" s="268">
        <f>'FBMS-HND LEVEL TWO'!E1108</f>
        <v>10</v>
      </c>
      <c r="DB168" s="258">
        <f>'FBMS-HND LEVEL TWO'!F1108</f>
        <v>17</v>
      </c>
      <c r="DC168" s="258">
        <f>'FBMS-HND LEVEL TWO'!J1108</f>
        <v>43</v>
      </c>
      <c r="DD168" s="258">
        <f>'FBMS-HND LEVEL TWO'!K1108</f>
        <v>70</v>
      </c>
      <c r="DE168" s="269" t="str">
        <f>'FBMS-HND LEVEL TWO'!L1108</f>
        <v>B+</v>
      </c>
      <c r="DF168" s="268">
        <f>'FBMS-HND LEVEL TWO'!E1140</f>
        <v>10</v>
      </c>
      <c r="DG168" s="258">
        <f>'FBMS-HND LEVEL TWO'!F1140</f>
        <v>26</v>
      </c>
      <c r="DH168" s="258">
        <f>'FBMS-HND LEVEL TWO'!J1140</f>
        <v>33</v>
      </c>
      <c r="DI168" s="258">
        <f>'FBMS-HND LEVEL TWO'!K1140</f>
        <v>69</v>
      </c>
      <c r="DJ168" s="269" t="str">
        <f>'FBMS-HND LEVEL TWO'!L1140</f>
        <v>B</v>
      </c>
      <c r="DK168" s="268"/>
      <c r="DL168" s="258"/>
      <c r="DM168" s="258"/>
      <c r="DN168" s="258"/>
      <c r="DO168" s="269"/>
      <c r="DP168" s="268"/>
      <c r="DQ168" s="258"/>
      <c r="DR168" s="258"/>
      <c r="DS168" s="258"/>
      <c r="DT168" s="269"/>
      <c r="DU168" s="268"/>
      <c r="DV168" s="258"/>
      <c r="DW168" s="258"/>
      <c r="DX168" s="258"/>
      <c r="DY168" s="269"/>
      <c r="DZ168" s="268"/>
      <c r="EA168" s="258"/>
      <c r="EB168" s="258"/>
      <c r="EC168" s="258"/>
      <c r="ED168" s="269"/>
    </row>
    <row r="169" spans="1:134" s="340" customFormat="1" ht="17.25" customHeight="1" x14ac:dyDescent="0.3">
      <c r="A169" s="339">
        <v>43</v>
      </c>
      <c r="B169" s="340" t="s">
        <v>146</v>
      </c>
      <c r="C169" s="340" t="s">
        <v>94</v>
      </c>
      <c r="D169" s="340" t="s">
        <v>146</v>
      </c>
      <c r="E169" s="341">
        <f>'FBMS-HND LEVEL TWO'!E54</f>
        <v>8</v>
      </c>
      <c r="F169" s="341">
        <f>'FBMS-HND LEVEL TWO'!F54</f>
        <v>23</v>
      </c>
      <c r="G169" s="341">
        <f>'FBMS-HND LEVEL TWO'!J54</f>
        <v>30</v>
      </c>
      <c r="H169" s="341">
        <f>'FBMS-HND LEVEL TWO'!K54</f>
        <v>61</v>
      </c>
      <c r="I169" s="341" t="str">
        <f>'FBMS-HND LEVEL TWO'!L54</f>
        <v>B</v>
      </c>
      <c r="J169" s="341">
        <f>'FBMS-HND LEVEL TWO'!E123</f>
        <v>10</v>
      </c>
      <c r="K169" s="341">
        <f>'FBMS-HND LEVEL TWO'!F123</f>
        <v>22</v>
      </c>
      <c r="L169" s="341">
        <f>'FBMS-HND LEVEL TWO'!J123</f>
        <v>46</v>
      </c>
      <c r="M169" s="341">
        <f>'FBMS-HND LEVEL TWO'!K123</f>
        <v>78</v>
      </c>
      <c r="N169" s="341" t="str">
        <f>'FBMS-HND LEVEL TWO'!L123</f>
        <v>B+</v>
      </c>
      <c r="O169" s="341">
        <f>'FBMS-HND LEVEL TWO'!E192</f>
        <v>9</v>
      </c>
      <c r="P169" s="341">
        <f>'FBMS-HND LEVEL TWO'!F192</f>
        <v>21</v>
      </c>
      <c r="Q169" s="341">
        <f>'FBMS-HND LEVEL TWO'!J192</f>
        <v>25</v>
      </c>
      <c r="R169" s="341">
        <f>'FBMS-HND LEVEL TWO'!K192</f>
        <v>55</v>
      </c>
      <c r="S169" s="341" t="str">
        <f>'FBMS-HND LEVEL TWO'!L192</f>
        <v>C+</v>
      </c>
      <c r="T169" s="341">
        <f>'FBMS-HND LEVEL TWO'!E264</f>
        <v>10</v>
      </c>
      <c r="U169" s="341">
        <f>'FBMS-HND LEVEL TWO'!F264</f>
        <v>22</v>
      </c>
      <c r="V169" s="341">
        <f>'FBMS-HND LEVEL TWO'!J264</f>
        <v>6</v>
      </c>
      <c r="W169" s="341">
        <f>'FBMS-HND LEVEL TWO'!K264</f>
        <v>38</v>
      </c>
      <c r="X169" s="341" t="str">
        <f>'FBMS-HND LEVEL TWO'!L264</f>
        <v>F</v>
      </c>
      <c r="Y169" s="341">
        <f>'FBMS-HND LEVEL TWO'!E338</f>
        <v>10</v>
      </c>
      <c r="Z169" s="341">
        <f>'FBMS-HND LEVEL TWO'!F338</f>
        <v>19</v>
      </c>
      <c r="AA169" s="341">
        <f>'FBMS-HND LEVEL TWO'!J338</f>
        <v>33</v>
      </c>
      <c r="AB169" s="341">
        <f>'FBMS-HND LEVEL TWO'!K338</f>
        <v>62</v>
      </c>
      <c r="AC169" s="341" t="str">
        <f>'FBMS-HND LEVEL TWO'!L338</f>
        <v>B</v>
      </c>
      <c r="AD169" s="341">
        <f>'FBMS-HND LEVEL TWO'!E394</f>
        <v>10</v>
      </c>
      <c r="AE169" s="341">
        <f>'FBMS-HND LEVEL TWO'!F394</f>
        <v>25</v>
      </c>
      <c r="AF169" s="341">
        <f>'FBMS-HND LEVEL TWO'!J394</f>
        <v>17</v>
      </c>
      <c r="AG169" s="341">
        <f>'FBMS-HND LEVEL TWO'!K394</f>
        <v>52</v>
      </c>
      <c r="AH169" s="341" t="str">
        <f>'FBMS-HND LEVEL TWO'!L394</f>
        <v>C</v>
      </c>
      <c r="AI169" s="342">
        <f>'FBMS-HND LEVEL TWO'!E464</f>
        <v>9</v>
      </c>
      <c r="AJ169" s="342">
        <f>'FBMS-HND LEVEL TWO'!F464</f>
        <v>22.5</v>
      </c>
      <c r="AK169" s="342">
        <f>'FBMS-HND LEVEL TWO'!J464</f>
        <v>43</v>
      </c>
      <c r="AL169" s="342">
        <f>'FBMS-HND LEVEL TWO'!K464</f>
        <v>74.5</v>
      </c>
      <c r="AM169" s="342" t="str">
        <f>'FBMS-HND LEVEL TWO'!L464</f>
        <v>B+</v>
      </c>
      <c r="AN169" s="342">
        <f>'FBMS-HND LEVEL TWO'!E539</f>
        <v>10</v>
      </c>
      <c r="AO169" s="342">
        <f>'FBMS-HND LEVEL TWO'!F539</f>
        <v>16</v>
      </c>
      <c r="AP169" s="342">
        <f>'FBMS-HND LEVEL TWO'!J539</f>
        <v>34</v>
      </c>
      <c r="AQ169" s="342">
        <f>'FBMS-HND LEVEL TWO'!K539</f>
        <v>60</v>
      </c>
      <c r="AR169" s="342" t="str">
        <f>'FBMS-HND LEVEL TWO'!L539</f>
        <v>B</v>
      </c>
      <c r="AS169" s="342">
        <f>'FBMS-HND LEVEL TWO'!E617</f>
        <v>10</v>
      </c>
      <c r="AT169" s="342">
        <f>'FBMS-HND LEVEL TWO'!F617</f>
        <v>25</v>
      </c>
      <c r="AU169" s="342">
        <f>'FBMS-HND LEVEL TWO'!J617</f>
        <v>54</v>
      </c>
      <c r="AV169" s="342">
        <f>'FBMS-HND LEVEL TWO'!K617</f>
        <v>89</v>
      </c>
      <c r="AW169" s="342" t="str">
        <f>'FBMS-HND LEVEL TWO'!L617</f>
        <v>A</v>
      </c>
      <c r="AX169" s="342"/>
      <c r="AY169" s="342"/>
      <c r="AZ169" s="342"/>
      <c r="BA169" s="342"/>
      <c r="BB169" s="342"/>
      <c r="BC169" s="342"/>
      <c r="BD169" s="342"/>
      <c r="BE169" s="342"/>
      <c r="BF169" s="342"/>
      <c r="BG169" s="342"/>
      <c r="BH169" s="342"/>
      <c r="BI169" s="342"/>
      <c r="BJ169" s="342"/>
      <c r="BK169" s="342"/>
      <c r="BL169" s="342"/>
      <c r="BM169" s="342"/>
      <c r="BN169" s="342"/>
      <c r="BO169" s="342"/>
      <c r="BP169" s="342"/>
      <c r="BQ169" s="342"/>
      <c r="BR169" s="342"/>
      <c r="BS169" s="342"/>
      <c r="BT169" s="342"/>
      <c r="BU169" s="342"/>
      <c r="BV169" s="342"/>
      <c r="BW169" s="342"/>
      <c r="BX169" s="342"/>
      <c r="BY169" s="342"/>
      <c r="BZ169" s="342"/>
      <c r="CA169" s="342"/>
      <c r="CB169" s="342"/>
      <c r="CC169" s="342"/>
      <c r="CD169" s="342"/>
      <c r="CE169" s="342"/>
      <c r="CF169" s="342"/>
      <c r="CG169" s="342"/>
      <c r="CH169" s="342"/>
      <c r="CI169" s="342"/>
      <c r="CJ169" s="342"/>
      <c r="CK169" s="342"/>
      <c r="CL169" s="342"/>
      <c r="CM169" s="342"/>
      <c r="CN169" s="342"/>
      <c r="CO169" s="342"/>
      <c r="CP169" s="342"/>
      <c r="CQ169" s="342"/>
      <c r="CR169" s="342"/>
      <c r="CS169" s="342"/>
      <c r="CT169" s="342"/>
      <c r="CU169" s="342"/>
      <c r="CV169" s="342"/>
      <c r="CW169" s="342"/>
      <c r="CX169" s="342"/>
      <c r="CY169" s="342"/>
      <c r="CZ169" s="342"/>
      <c r="DA169" s="342"/>
      <c r="DB169" s="342"/>
      <c r="DC169" s="342"/>
      <c r="DD169" s="342"/>
      <c r="DE169" s="342"/>
      <c r="DF169" s="342"/>
      <c r="DG169" s="342"/>
      <c r="DH169" s="342"/>
      <c r="DI169" s="342"/>
      <c r="DJ169" s="342"/>
      <c r="DK169" s="342">
        <f>'FBMS-HND LEVEL TWO'!E1167</f>
        <v>10</v>
      </c>
      <c r="DL169" s="342">
        <f>'FBMS-HND LEVEL TWO'!F1167</f>
        <v>26</v>
      </c>
      <c r="DM169" s="342">
        <f>'FBMS-HND LEVEL TWO'!J1167</f>
        <v>42</v>
      </c>
      <c r="DN169" s="342">
        <f>'FBMS-HND LEVEL TWO'!K1167</f>
        <v>78</v>
      </c>
      <c r="DO169" s="342" t="str">
        <f>'FBMS-HND LEVEL TWO'!L1167</f>
        <v>B+</v>
      </c>
      <c r="DP169" s="342">
        <f>'FBMS-HND LEVEL TWO'!E1201</f>
        <v>10</v>
      </c>
      <c r="DQ169" s="342">
        <f>'FBMS-HND LEVEL TWO'!F1201</f>
        <v>26</v>
      </c>
      <c r="DR169" s="342">
        <f>'FBMS-HND LEVEL TWO'!J1201</f>
        <v>53</v>
      </c>
      <c r="DS169" s="342">
        <f>'FBMS-HND LEVEL TWO'!K1201</f>
        <v>89</v>
      </c>
      <c r="DT169" s="342" t="str">
        <f>'FBMS-HND LEVEL TWO'!L1201</f>
        <v>A</v>
      </c>
      <c r="DU169" s="342">
        <f>'FBMS-HND LEVEL TWO'!E1233</f>
        <v>10</v>
      </c>
      <c r="DV169" s="342">
        <f>'FBMS-HND LEVEL TWO'!F1233</f>
        <v>23</v>
      </c>
      <c r="DW169" s="342">
        <f>'FBMS-HND LEVEL TWO'!J1233</f>
        <v>37</v>
      </c>
      <c r="DX169" s="342">
        <f>'FBMS-HND LEVEL TWO'!K1233</f>
        <v>70</v>
      </c>
      <c r="DY169" s="342" t="str">
        <f>'FBMS-HND LEVEL TWO'!L1233</f>
        <v>B+</v>
      </c>
      <c r="DZ169" s="342">
        <f>'FBMS-HND LEVEL TWO'!E1269</f>
        <v>10</v>
      </c>
      <c r="EA169" s="342">
        <f>'FBMS-HND LEVEL TWO'!F1269</f>
        <v>21</v>
      </c>
      <c r="EB169" s="342">
        <f>'FBMS-HND LEVEL TWO'!J1269</f>
        <v>35</v>
      </c>
      <c r="EC169" s="342">
        <f>'FBMS-HND LEVEL TWO'!K1269</f>
        <v>66</v>
      </c>
      <c r="ED169" s="342" t="str">
        <f>'FBMS-HND LEVEL TWO'!L1269</f>
        <v>B</v>
      </c>
    </row>
    <row r="170" spans="1:134" ht="17.25" customHeight="1" x14ac:dyDescent="0.3">
      <c r="A170" s="161">
        <v>44</v>
      </c>
      <c r="B170" s="60" t="s">
        <v>147</v>
      </c>
      <c r="C170" s="12" t="s">
        <v>95</v>
      </c>
      <c r="D170" s="60" t="s">
        <v>147</v>
      </c>
      <c r="E170" s="162">
        <f>'FBMS-HND LEVEL TWO'!E55</f>
        <v>8</v>
      </c>
      <c r="F170" s="157">
        <f>'FBMS-HND LEVEL TWO'!F55</f>
        <v>19</v>
      </c>
      <c r="G170" s="157">
        <f>'FBMS-HND LEVEL TWO'!J55</f>
        <v>17</v>
      </c>
      <c r="H170" s="158">
        <f>'FBMS-HND LEVEL TWO'!K55</f>
        <v>44</v>
      </c>
      <c r="I170" s="163" t="str">
        <f>'FBMS-HND LEVEL TWO'!L55</f>
        <v>D</v>
      </c>
      <c r="J170" s="164">
        <f>'FBMS-HND LEVEL TWO'!E124</f>
        <v>10</v>
      </c>
      <c r="K170" s="157">
        <f>'FBMS-HND LEVEL TWO'!F124</f>
        <v>23</v>
      </c>
      <c r="L170" s="157">
        <f>'FBMS-HND LEVEL TWO'!J124</f>
        <v>44</v>
      </c>
      <c r="M170" s="157">
        <f>'FBMS-HND LEVEL TWO'!K124</f>
        <v>77</v>
      </c>
      <c r="N170" s="165" t="str">
        <f>'FBMS-HND LEVEL TWO'!L124</f>
        <v>B+</v>
      </c>
      <c r="O170" s="166">
        <f>'FBMS-HND LEVEL TWO'!E193</f>
        <v>9</v>
      </c>
      <c r="P170" s="157">
        <f>'FBMS-HND LEVEL TWO'!F193</f>
        <v>21</v>
      </c>
      <c r="Q170" s="157">
        <f>'FBMS-HND LEVEL TWO'!J193</f>
        <v>35</v>
      </c>
      <c r="R170" s="157">
        <f>'FBMS-HND LEVEL TWO'!K193</f>
        <v>65</v>
      </c>
      <c r="S170" s="163" t="str">
        <f>'FBMS-HND LEVEL TWO'!L193</f>
        <v>B</v>
      </c>
      <c r="T170" s="164">
        <f>'FBMS-HND LEVEL TWO'!E265</f>
        <v>10</v>
      </c>
      <c r="U170" s="157">
        <f>'FBMS-HND LEVEL TWO'!F265</f>
        <v>20</v>
      </c>
      <c r="V170" s="157">
        <f>'FBMS-HND LEVEL TWO'!J265</f>
        <v>38</v>
      </c>
      <c r="W170" s="157">
        <f>'FBMS-HND LEVEL TWO'!K265</f>
        <v>68</v>
      </c>
      <c r="X170" s="165" t="str">
        <f>'FBMS-HND LEVEL TWO'!L265</f>
        <v>B</v>
      </c>
      <c r="Y170" s="166">
        <f>'FBMS-HND LEVEL TWO'!E339</f>
        <v>10</v>
      </c>
      <c r="Z170" s="157">
        <f>'FBMS-HND LEVEL TWO'!F339</f>
        <v>22</v>
      </c>
      <c r="AA170" s="157">
        <f>'FBMS-HND LEVEL TWO'!J339</f>
        <v>39</v>
      </c>
      <c r="AB170" s="157">
        <f>'FBMS-HND LEVEL TWO'!K339</f>
        <v>71</v>
      </c>
      <c r="AC170" s="157" t="str">
        <f>'FBMS-HND LEVEL TWO'!L339</f>
        <v>B+</v>
      </c>
      <c r="AD170" s="164">
        <f>'FBMS-HND LEVEL TWO'!E395</f>
        <v>10</v>
      </c>
      <c r="AE170" s="157">
        <f>'FBMS-HND LEVEL TWO'!F395</f>
        <v>24</v>
      </c>
      <c r="AF170" s="157">
        <f>'FBMS-HND LEVEL TWO'!J395</f>
        <v>19</v>
      </c>
      <c r="AG170" s="157">
        <f>'FBMS-HND LEVEL TWO'!K395</f>
        <v>53</v>
      </c>
      <c r="AH170" s="165" t="str">
        <f>'FBMS-HND LEVEL TWO'!L395</f>
        <v>C</v>
      </c>
      <c r="AI170" s="266">
        <f>'FBMS-HND LEVEL TWO'!E465</f>
        <v>9</v>
      </c>
      <c r="AJ170" s="258">
        <f>'FBMS-HND LEVEL TWO'!F465</f>
        <v>24</v>
      </c>
      <c r="AK170" s="258">
        <f>'FBMS-HND LEVEL TWO'!J465</f>
        <v>52</v>
      </c>
      <c r="AL170" s="259">
        <f>'FBMS-HND LEVEL TWO'!K465</f>
        <v>85</v>
      </c>
      <c r="AM170" s="267" t="str">
        <f>'FBMS-HND LEVEL TWO'!L465</f>
        <v>A</v>
      </c>
      <c r="AN170" s="268">
        <f>'FBMS-HND LEVEL TWO'!E540</f>
        <v>10</v>
      </c>
      <c r="AO170" s="258">
        <f>'FBMS-HND LEVEL TWO'!F540</f>
        <v>20</v>
      </c>
      <c r="AP170" s="258">
        <f>'FBMS-HND LEVEL TWO'!J540</f>
        <v>49</v>
      </c>
      <c r="AQ170" s="258">
        <f>'FBMS-HND LEVEL TWO'!K540</f>
        <v>79</v>
      </c>
      <c r="AR170" s="269" t="str">
        <f>'FBMS-HND LEVEL TWO'!L540</f>
        <v>B+</v>
      </c>
      <c r="AS170" s="270">
        <f>'FBMS-HND LEVEL TWO'!E618</f>
        <v>8</v>
      </c>
      <c r="AT170" s="258">
        <f>'FBMS-HND LEVEL TWO'!F618</f>
        <v>24</v>
      </c>
      <c r="AU170" s="258">
        <f>'FBMS-HND LEVEL TWO'!J618</f>
        <v>52</v>
      </c>
      <c r="AV170" s="258">
        <f>'FBMS-HND LEVEL TWO'!K618</f>
        <v>84</v>
      </c>
      <c r="AW170" s="267" t="str">
        <f>'FBMS-HND LEVEL TWO'!L618</f>
        <v>A</v>
      </c>
      <c r="AX170" s="268"/>
      <c r="AY170" s="258"/>
      <c r="AZ170" s="258"/>
      <c r="BA170" s="258"/>
      <c r="BB170" s="269"/>
      <c r="BC170" s="270"/>
      <c r="BD170" s="258"/>
      <c r="BE170" s="258"/>
      <c r="BF170" s="258"/>
      <c r="BG170" s="258"/>
      <c r="BH170" s="268"/>
      <c r="BI170" s="258"/>
      <c r="BJ170" s="258"/>
      <c r="BK170" s="258"/>
      <c r="BL170" s="269"/>
      <c r="BM170" s="268"/>
      <c r="BN170" s="258"/>
      <c r="BO170" s="258"/>
      <c r="BP170" s="258"/>
      <c r="BQ170" s="269"/>
      <c r="BR170" s="268"/>
      <c r="BS170" s="258"/>
      <c r="BT170" s="258"/>
      <c r="BU170" s="258"/>
      <c r="BV170" s="269"/>
      <c r="BW170" s="270"/>
      <c r="BX170" s="258"/>
      <c r="BY170" s="258"/>
      <c r="BZ170" s="258"/>
      <c r="CA170" s="267"/>
      <c r="CB170" s="268"/>
      <c r="CC170" s="258"/>
      <c r="CD170" s="258"/>
      <c r="CE170" s="258"/>
      <c r="CF170" s="269"/>
      <c r="CG170" s="270"/>
      <c r="CH170" s="258"/>
      <c r="CI170" s="258"/>
      <c r="CJ170" s="258"/>
      <c r="CK170" s="258"/>
      <c r="CL170" s="268"/>
      <c r="CM170" s="258"/>
      <c r="CN170" s="258"/>
      <c r="CO170" s="258"/>
      <c r="CP170" s="269"/>
      <c r="CQ170" s="266"/>
      <c r="CR170" s="258"/>
      <c r="CS170" s="258"/>
      <c r="CT170" s="259"/>
      <c r="CU170" s="267"/>
      <c r="CV170" s="268"/>
      <c r="CW170" s="258"/>
      <c r="CX170" s="258"/>
      <c r="CY170" s="258"/>
      <c r="CZ170" s="269"/>
      <c r="DA170" s="268"/>
      <c r="DB170" s="258"/>
      <c r="DC170" s="258"/>
      <c r="DD170" s="258"/>
      <c r="DE170" s="269"/>
      <c r="DF170" s="268"/>
      <c r="DG170" s="258"/>
      <c r="DH170" s="258"/>
      <c r="DI170" s="258"/>
      <c r="DJ170" s="269"/>
      <c r="DK170" s="268">
        <f>'FBMS-HND LEVEL TWO'!E1168</f>
        <v>10</v>
      </c>
      <c r="DL170" s="258">
        <f>'FBMS-HND LEVEL TWO'!F1168</f>
        <v>26</v>
      </c>
      <c r="DM170" s="258">
        <f>'FBMS-HND LEVEL TWO'!J1168</f>
        <v>53</v>
      </c>
      <c r="DN170" s="258">
        <f>'FBMS-HND LEVEL TWO'!K1168</f>
        <v>89</v>
      </c>
      <c r="DO170" s="269" t="str">
        <f>'FBMS-HND LEVEL TWO'!L1168</f>
        <v>A</v>
      </c>
      <c r="DP170" s="268">
        <f>'FBMS-HND LEVEL TWO'!E1202</f>
        <v>10</v>
      </c>
      <c r="DQ170" s="258">
        <f>'FBMS-HND LEVEL TWO'!F1202</f>
        <v>27</v>
      </c>
      <c r="DR170" s="258">
        <f>'FBMS-HND LEVEL TWO'!J1202</f>
        <v>55</v>
      </c>
      <c r="DS170" s="258">
        <f>'FBMS-HND LEVEL TWO'!K1202</f>
        <v>92</v>
      </c>
      <c r="DT170" s="269" t="str">
        <f>'FBMS-HND LEVEL TWO'!L1202</f>
        <v>A</v>
      </c>
      <c r="DU170" s="268">
        <f>'FBMS-HND LEVEL TWO'!E1234</f>
        <v>10</v>
      </c>
      <c r="DV170" s="258">
        <f>'FBMS-HND LEVEL TWO'!F1234</f>
        <v>22</v>
      </c>
      <c r="DW170" s="258">
        <f>'FBMS-HND LEVEL TWO'!J1234</f>
        <v>35</v>
      </c>
      <c r="DX170" s="258">
        <f>'FBMS-HND LEVEL TWO'!K1234</f>
        <v>67</v>
      </c>
      <c r="DY170" s="269" t="str">
        <f>'FBMS-HND LEVEL TWO'!L1234</f>
        <v>B</v>
      </c>
      <c r="DZ170" s="268">
        <f>'FBMS-HND LEVEL TWO'!E1270</f>
        <v>10</v>
      </c>
      <c r="EA170" s="258">
        <f>'FBMS-HND LEVEL TWO'!F1270</f>
        <v>22</v>
      </c>
      <c r="EB170" s="258">
        <f>'FBMS-HND LEVEL TWO'!J1270</f>
        <v>54</v>
      </c>
      <c r="EC170" s="258">
        <f>'FBMS-HND LEVEL TWO'!K1270</f>
        <v>86</v>
      </c>
      <c r="ED170" s="269" t="str">
        <f>'FBMS-HND LEVEL TWO'!L1270</f>
        <v>A</v>
      </c>
    </row>
    <row r="171" spans="1:134" ht="17.25" customHeight="1" x14ac:dyDescent="0.3">
      <c r="A171" s="154">
        <v>45</v>
      </c>
      <c r="B171" s="12" t="s">
        <v>155</v>
      </c>
      <c r="C171" s="12" t="s">
        <v>103</v>
      </c>
      <c r="D171" s="12" t="s">
        <v>155</v>
      </c>
      <c r="E171" s="162">
        <f>'FBMS-HND LEVEL TWO'!E56</f>
        <v>8</v>
      </c>
      <c r="F171" s="157">
        <f>'FBMS-HND LEVEL TWO'!F56</f>
        <v>20</v>
      </c>
      <c r="G171" s="157">
        <f>'FBMS-HND LEVEL TWO'!J56</f>
        <v>16</v>
      </c>
      <c r="H171" s="158">
        <f>'FBMS-HND LEVEL TWO'!K56</f>
        <v>44</v>
      </c>
      <c r="I171" s="163" t="str">
        <f>'FBMS-HND LEVEL TWO'!L56</f>
        <v>D</v>
      </c>
      <c r="J171" s="164">
        <f>'FBMS-HND LEVEL TWO'!E125</f>
        <v>8</v>
      </c>
      <c r="K171" s="157">
        <f>'FBMS-HND LEVEL TWO'!F125</f>
        <v>22</v>
      </c>
      <c r="L171" s="157">
        <f>'FBMS-HND LEVEL TWO'!J125</f>
        <v>46</v>
      </c>
      <c r="M171" s="157">
        <f>'FBMS-HND LEVEL TWO'!K125</f>
        <v>76</v>
      </c>
      <c r="N171" s="165" t="str">
        <f>'FBMS-HND LEVEL TWO'!L125</f>
        <v>B+</v>
      </c>
      <c r="O171" s="166">
        <f>'FBMS-HND LEVEL TWO'!E194</f>
        <v>9</v>
      </c>
      <c r="P171" s="157">
        <f>'FBMS-HND LEVEL TWO'!F194</f>
        <v>20</v>
      </c>
      <c r="Q171" s="157">
        <f>'FBMS-HND LEVEL TWO'!J194</f>
        <v>35</v>
      </c>
      <c r="R171" s="157">
        <f>'FBMS-HND LEVEL TWO'!K194</f>
        <v>64</v>
      </c>
      <c r="S171" s="163" t="str">
        <f>'FBMS-HND LEVEL TWO'!L194</f>
        <v>B</v>
      </c>
      <c r="T171" s="164">
        <f>'FBMS-HND LEVEL TWO'!E266</f>
        <v>8</v>
      </c>
      <c r="U171" s="157">
        <f>'FBMS-HND LEVEL TWO'!F266</f>
        <v>19</v>
      </c>
      <c r="V171" s="157">
        <f>'FBMS-HND LEVEL TWO'!J266</f>
        <v>28</v>
      </c>
      <c r="W171" s="157">
        <f>'FBMS-HND LEVEL TWO'!K266</f>
        <v>55</v>
      </c>
      <c r="X171" s="165" t="str">
        <f>'FBMS-HND LEVEL TWO'!L266</f>
        <v>C+</v>
      </c>
      <c r="Y171" s="166">
        <f>'FBMS-HND LEVEL TWO'!E340</f>
        <v>9</v>
      </c>
      <c r="Z171" s="157">
        <f>'FBMS-HND LEVEL TWO'!F340</f>
        <v>15</v>
      </c>
      <c r="AA171" s="157">
        <f>'FBMS-HND LEVEL TWO'!J340</f>
        <v>21</v>
      </c>
      <c r="AB171" s="157">
        <f>'FBMS-HND LEVEL TWO'!K340</f>
        <v>45</v>
      </c>
      <c r="AC171" s="157" t="str">
        <f>'FBMS-HND LEVEL TWO'!L340</f>
        <v>D+</v>
      </c>
      <c r="AD171" s="164">
        <f>'FBMS-HND LEVEL TWO'!E396</f>
        <v>10</v>
      </c>
      <c r="AE171" s="157">
        <f>'FBMS-HND LEVEL TWO'!F396</f>
        <v>24</v>
      </c>
      <c r="AF171" s="157">
        <f>'FBMS-HND LEVEL TWO'!J396</f>
        <v>47</v>
      </c>
      <c r="AG171" s="157">
        <f>'FBMS-HND LEVEL TWO'!K396</f>
        <v>81</v>
      </c>
      <c r="AH171" s="165" t="str">
        <f>'FBMS-HND LEVEL TWO'!L396</f>
        <v>A</v>
      </c>
      <c r="AI171" s="266">
        <f>'FBMS-HND LEVEL TWO'!E466</f>
        <v>8</v>
      </c>
      <c r="AJ171" s="258">
        <f>'FBMS-HND LEVEL TWO'!F466</f>
        <v>18.5</v>
      </c>
      <c r="AK171" s="258">
        <f>'FBMS-HND LEVEL TWO'!J466</f>
        <v>26</v>
      </c>
      <c r="AL171" s="259">
        <f>'FBMS-HND LEVEL TWO'!K466</f>
        <v>52.5</v>
      </c>
      <c r="AM171" s="267" t="str">
        <f>'FBMS-HND LEVEL TWO'!L466</f>
        <v>C</v>
      </c>
      <c r="AN171" s="268">
        <f>'FBMS-HND LEVEL TWO'!E541</f>
        <v>10</v>
      </c>
      <c r="AO171" s="258">
        <f>'FBMS-HND LEVEL TWO'!F541</f>
        <v>20</v>
      </c>
      <c r="AP171" s="258">
        <f>'FBMS-HND LEVEL TWO'!J541</f>
        <v>37</v>
      </c>
      <c r="AQ171" s="258">
        <f>'FBMS-HND LEVEL TWO'!K541</f>
        <v>67</v>
      </c>
      <c r="AR171" s="269" t="str">
        <f>'FBMS-HND LEVEL TWO'!L541</f>
        <v>B</v>
      </c>
      <c r="AS171" s="270">
        <f>'FBMS-HND LEVEL TWO'!E619</f>
        <v>8</v>
      </c>
      <c r="AT171" s="258">
        <f>'FBMS-HND LEVEL TWO'!F619</f>
        <v>17</v>
      </c>
      <c r="AU171" s="258">
        <f>'FBMS-HND LEVEL TWO'!J619</f>
        <v>31</v>
      </c>
      <c r="AV171" s="258">
        <f>'FBMS-HND LEVEL TWO'!K619</f>
        <v>56</v>
      </c>
      <c r="AW171" s="267" t="str">
        <f>'FBMS-HND LEVEL TWO'!L619</f>
        <v>C+</v>
      </c>
      <c r="AX171" s="268"/>
      <c r="AY171" s="258"/>
      <c r="AZ171" s="258"/>
      <c r="BA171" s="258"/>
      <c r="BB171" s="269"/>
      <c r="BC171" s="270"/>
      <c r="BD171" s="258"/>
      <c r="BE171" s="258"/>
      <c r="BF171" s="258"/>
      <c r="BG171" s="258"/>
      <c r="BH171" s="268"/>
      <c r="BI171" s="258"/>
      <c r="BJ171" s="258"/>
      <c r="BK171" s="258"/>
      <c r="BL171" s="269"/>
      <c r="BM171" s="268"/>
      <c r="BN171" s="258"/>
      <c r="BO171" s="258"/>
      <c r="BP171" s="258"/>
      <c r="BQ171" s="269"/>
      <c r="BR171" s="268"/>
      <c r="BS171" s="258"/>
      <c r="BT171" s="258"/>
      <c r="BU171" s="258"/>
      <c r="BV171" s="269"/>
      <c r="BW171" s="270"/>
      <c r="BX171" s="258"/>
      <c r="BY171" s="258"/>
      <c r="BZ171" s="258"/>
      <c r="CA171" s="267"/>
      <c r="CB171" s="268"/>
      <c r="CC171" s="258"/>
      <c r="CD171" s="258"/>
      <c r="CE171" s="258"/>
      <c r="CF171" s="269"/>
      <c r="CG171" s="270"/>
      <c r="CH171" s="258"/>
      <c r="CI171" s="258"/>
      <c r="CJ171" s="258"/>
      <c r="CK171" s="258"/>
      <c r="CL171" s="268"/>
      <c r="CM171" s="258"/>
      <c r="CN171" s="258"/>
      <c r="CO171" s="258"/>
      <c r="CP171" s="269"/>
      <c r="CQ171" s="266"/>
      <c r="CR171" s="258"/>
      <c r="CS171" s="258"/>
      <c r="CT171" s="259"/>
      <c r="CU171" s="267"/>
      <c r="CV171" s="268"/>
      <c r="CW171" s="258"/>
      <c r="CX171" s="258"/>
      <c r="CY171" s="258"/>
      <c r="CZ171" s="269"/>
      <c r="DA171" s="268"/>
      <c r="DB171" s="258"/>
      <c r="DC171" s="258"/>
      <c r="DD171" s="258"/>
      <c r="DE171" s="269"/>
      <c r="DF171" s="268"/>
      <c r="DG171" s="258"/>
      <c r="DH171" s="258"/>
      <c r="DI171" s="258"/>
      <c r="DJ171" s="269"/>
      <c r="DK171" s="268">
        <f>'FBMS-HND LEVEL TWO'!E1169</f>
        <v>10</v>
      </c>
      <c r="DL171" s="258">
        <f>'FBMS-HND LEVEL TWO'!F1169</f>
        <v>26</v>
      </c>
      <c r="DM171" s="258">
        <f>'FBMS-HND LEVEL TWO'!J1169</f>
        <v>36</v>
      </c>
      <c r="DN171" s="258">
        <f>'FBMS-HND LEVEL TWO'!K1169</f>
        <v>72</v>
      </c>
      <c r="DO171" s="269" t="str">
        <f>'FBMS-HND LEVEL TWO'!L1169</f>
        <v>B+</v>
      </c>
      <c r="DP171" s="268">
        <f>'FBMS-HND LEVEL TWO'!E1203</f>
        <v>10</v>
      </c>
      <c r="DQ171" s="258">
        <f>'FBMS-HND LEVEL TWO'!F1203</f>
        <v>28</v>
      </c>
      <c r="DR171" s="258">
        <f>'FBMS-HND LEVEL TWO'!J1203</f>
        <v>46</v>
      </c>
      <c r="DS171" s="258">
        <f>'FBMS-HND LEVEL TWO'!K1203</f>
        <v>84</v>
      </c>
      <c r="DT171" s="269" t="str">
        <f>'FBMS-HND LEVEL TWO'!L1203</f>
        <v>A</v>
      </c>
      <c r="DU171" s="268">
        <f>'FBMS-HND LEVEL TWO'!E1235</f>
        <v>10</v>
      </c>
      <c r="DV171" s="258">
        <f>'FBMS-HND LEVEL TWO'!F1235</f>
        <v>11</v>
      </c>
      <c r="DW171" s="258">
        <f>'FBMS-HND LEVEL TWO'!J1235</f>
        <v>32</v>
      </c>
      <c r="DX171" s="258">
        <f>'FBMS-HND LEVEL TWO'!K1235</f>
        <v>53</v>
      </c>
      <c r="DY171" s="269" t="str">
        <f>'FBMS-HND LEVEL TWO'!L1235</f>
        <v>C</v>
      </c>
      <c r="DZ171" s="268">
        <f>'FBMS-HND LEVEL TWO'!E1271</f>
        <v>10</v>
      </c>
      <c r="EA171" s="258">
        <f>'FBMS-HND LEVEL TWO'!F1271</f>
        <v>21</v>
      </c>
      <c r="EB171" s="258">
        <f>'FBMS-HND LEVEL TWO'!J1271</f>
        <v>30</v>
      </c>
      <c r="EC171" s="258">
        <f>'FBMS-HND LEVEL TWO'!K1271</f>
        <v>61</v>
      </c>
      <c r="ED171" s="269" t="str">
        <f>'FBMS-HND LEVEL TWO'!L1271</f>
        <v>B</v>
      </c>
    </row>
    <row r="172" spans="1:134" ht="17.25" customHeight="1" x14ac:dyDescent="0.3">
      <c r="A172" s="161">
        <v>46</v>
      </c>
      <c r="B172" s="12" t="s">
        <v>182</v>
      </c>
      <c r="C172" s="12" t="s">
        <v>105</v>
      </c>
      <c r="D172" s="12" t="s">
        <v>182</v>
      </c>
      <c r="E172" s="162">
        <f>'FBMS-HND LEVEL TWO'!E57</f>
        <v>8</v>
      </c>
      <c r="F172" s="157">
        <f>'FBMS-HND LEVEL TWO'!F57</f>
        <v>15</v>
      </c>
      <c r="G172" s="157" t="str">
        <f>'FBMS-HND LEVEL TWO'!J57</f>
        <v>ABS</v>
      </c>
      <c r="H172" s="158">
        <f>'FBMS-HND LEVEL TWO'!K57</f>
        <v>0</v>
      </c>
      <c r="I172" s="163">
        <f>'FBMS-HND LEVEL TWO'!L57</f>
        <v>0</v>
      </c>
      <c r="J172" s="164">
        <f>'FBMS-HND LEVEL TWO'!E126</f>
        <v>5</v>
      </c>
      <c r="K172" s="157">
        <f>'FBMS-HND LEVEL TWO'!F126</f>
        <v>12</v>
      </c>
      <c r="L172" s="157" t="str">
        <f>'FBMS-HND LEVEL TWO'!J126</f>
        <v>ABS</v>
      </c>
      <c r="M172" s="157">
        <f>'FBMS-HND LEVEL TWO'!K126</f>
        <v>0</v>
      </c>
      <c r="N172" s="165">
        <f>'FBMS-HND LEVEL TWO'!L126</f>
        <v>0</v>
      </c>
      <c r="O172" s="166">
        <f>'FBMS-HND LEVEL TWO'!E195</f>
        <v>5</v>
      </c>
      <c r="P172" s="157">
        <f>'FBMS-HND LEVEL TWO'!F195</f>
        <v>20</v>
      </c>
      <c r="Q172" s="157" t="str">
        <f>'FBMS-HND LEVEL TWO'!J195</f>
        <v>ABS</v>
      </c>
      <c r="R172" s="157">
        <f>'FBMS-HND LEVEL TWO'!K195</f>
        <v>0</v>
      </c>
      <c r="S172" s="163">
        <f>'FBMS-HND LEVEL TWO'!L195</f>
        <v>0</v>
      </c>
      <c r="T172" s="164">
        <f>'FBMS-HND LEVEL TWO'!E267</f>
        <v>5</v>
      </c>
      <c r="U172" s="157">
        <f>'FBMS-HND LEVEL TWO'!F267</f>
        <v>20</v>
      </c>
      <c r="V172" s="157" t="str">
        <f>'FBMS-HND LEVEL TWO'!J267</f>
        <v>ABS</v>
      </c>
      <c r="W172" s="157">
        <f>'FBMS-HND LEVEL TWO'!K267</f>
        <v>0</v>
      </c>
      <c r="X172" s="165">
        <f>'FBMS-HND LEVEL TWO'!L267</f>
        <v>0</v>
      </c>
      <c r="Y172" s="166">
        <f>'FBMS-HND LEVEL TWO'!E341</f>
        <v>4</v>
      </c>
      <c r="Z172" s="157">
        <f>'FBMS-HND LEVEL TWO'!F341</f>
        <v>0</v>
      </c>
      <c r="AA172" s="157" t="str">
        <f>'FBMS-HND LEVEL TWO'!J341</f>
        <v>ABS</v>
      </c>
      <c r="AB172" s="157">
        <f>'FBMS-HND LEVEL TWO'!K341</f>
        <v>0</v>
      </c>
      <c r="AC172" s="157">
        <f>'FBMS-HND LEVEL TWO'!L341</f>
        <v>0</v>
      </c>
      <c r="AD172" s="164">
        <f>'FBMS-HND LEVEL TWO'!E397</f>
        <v>0</v>
      </c>
      <c r="AE172" s="157">
        <f>'FBMS-HND LEVEL TWO'!F397</f>
        <v>0</v>
      </c>
      <c r="AF172" s="157">
        <f>'FBMS-HND LEVEL TWO'!J397</f>
        <v>0</v>
      </c>
      <c r="AG172" s="157">
        <f>'FBMS-HND LEVEL TWO'!K397</f>
        <v>0</v>
      </c>
      <c r="AH172" s="165">
        <f>'FBMS-HND LEVEL TWO'!L397</f>
        <v>0</v>
      </c>
      <c r="AI172" s="266">
        <f>'FBMS-HND LEVEL TWO'!E467</f>
        <v>4</v>
      </c>
      <c r="AJ172" s="258">
        <f>'FBMS-HND LEVEL TWO'!F467</f>
        <v>0</v>
      </c>
      <c r="AK172" s="258" t="str">
        <f>'FBMS-HND LEVEL TWO'!J467</f>
        <v>ABS</v>
      </c>
      <c r="AL172" s="259">
        <f>'FBMS-HND LEVEL TWO'!K467</f>
        <v>0</v>
      </c>
      <c r="AM172" s="267">
        <f>'FBMS-HND LEVEL TWO'!L467</f>
        <v>0</v>
      </c>
      <c r="AN172" s="268">
        <f>'FBMS-HND LEVEL TWO'!E542</f>
        <v>0</v>
      </c>
      <c r="AO172" s="258">
        <f>'FBMS-HND LEVEL TWO'!F542</f>
        <v>0</v>
      </c>
      <c r="AP172" s="258">
        <f>'FBMS-HND LEVEL TWO'!J542</f>
        <v>0</v>
      </c>
      <c r="AQ172" s="258">
        <f>'FBMS-HND LEVEL TWO'!K542</f>
        <v>0</v>
      </c>
      <c r="AR172" s="269">
        <f>'FBMS-HND LEVEL TWO'!L542</f>
        <v>0</v>
      </c>
      <c r="AS172" s="270">
        <f>'FBMS-HND LEVEL TWO'!E620</f>
        <v>0</v>
      </c>
      <c r="AT172" s="258">
        <f>'FBMS-HND LEVEL TWO'!F620</f>
        <v>0</v>
      </c>
      <c r="AU172" s="258">
        <f>'FBMS-HND LEVEL TWO'!J620</f>
        <v>0</v>
      </c>
      <c r="AV172" s="258">
        <f>'FBMS-HND LEVEL TWO'!K620</f>
        <v>0</v>
      </c>
      <c r="AW172" s="267">
        <f>'FBMS-HND LEVEL TWO'!L620</f>
        <v>0</v>
      </c>
      <c r="AX172" s="268"/>
      <c r="AY172" s="258"/>
      <c r="AZ172" s="258"/>
      <c r="BA172" s="258"/>
      <c r="BB172" s="269"/>
      <c r="BC172" s="270"/>
      <c r="BD172" s="258"/>
      <c r="BE172" s="258"/>
      <c r="BF172" s="258"/>
      <c r="BG172" s="258"/>
      <c r="BH172" s="268"/>
      <c r="BI172" s="258"/>
      <c r="BJ172" s="258"/>
      <c r="BK172" s="258"/>
      <c r="BL172" s="269"/>
      <c r="BM172" s="268"/>
      <c r="BN172" s="258"/>
      <c r="BO172" s="258"/>
      <c r="BP172" s="258"/>
      <c r="BQ172" s="269"/>
      <c r="BR172" s="268"/>
      <c r="BS172" s="258"/>
      <c r="BT172" s="258"/>
      <c r="BU172" s="258"/>
      <c r="BV172" s="269"/>
      <c r="BW172" s="270"/>
      <c r="BX172" s="258"/>
      <c r="BY172" s="258"/>
      <c r="BZ172" s="258"/>
      <c r="CA172" s="267"/>
      <c r="CB172" s="268"/>
      <c r="CC172" s="258"/>
      <c r="CD172" s="258"/>
      <c r="CE172" s="258"/>
      <c r="CF172" s="269"/>
      <c r="CG172" s="270"/>
      <c r="CH172" s="258"/>
      <c r="CI172" s="258"/>
      <c r="CJ172" s="258"/>
      <c r="CK172" s="258"/>
      <c r="CL172" s="268"/>
      <c r="CM172" s="258"/>
      <c r="CN172" s="258"/>
      <c r="CO172" s="258"/>
      <c r="CP172" s="269"/>
      <c r="CQ172" s="266"/>
      <c r="CR172" s="258"/>
      <c r="CS172" s="258"/>
      <c r="CT172" s="259"/>
      <c r="CU172" s="267"/>
      <c r="CV172" s="268"/>
      <c r="CW172" s="258"/>
      <c r="CX172" s="258"/>
      <c r="CY172" s="258"/>
      <c r="CZ172" s="269"/>
      <c r="DA172" s="268"/>
      <c r="DB172" s="258"/>
      <c r="DC172" s="258"/>
      <c r="DD172" s="258"/>
      <c r="DE172" s="269"/>
      <c r="DF172" s="268"/>
      <c r="DG172" s="258"/>
      <c r="DH172" s="258"/>
      <c r="DI172" s="258"/>
      <c r="DJ172" s="269"/>
      <c r="DK172" s="268">
        <f>'FBMS-HND LEVEL TWO'!E1170</f>
        <v>8</v>
      </c>
      <c r="DL172" s="258">
        <f>'FBMS-HND LEVEL TWO'!F1170</f>
        <v>28</v>
      </c>
      <c r="DM172" s="258" t="str">
        <f>'FBMS-HND LEVEL TWO'!J1170</f>
        <v>ABS</v>
      </c>
      <c r="DN172" s="258">
        <f>'FBMS-HND LEVEL TWO'!K1170</f>
        <v>0</v>
      </c>
      <c r="DO172" s="269">
        <f>'FBMS-HND LEVEL TWO'!L1170</f>
        <v>0</v>
      </c>
      <c r="DP172" s="268">
        <f>'FBMS-HND LEVEL TWO'!E1204</f>
        <v>7.5</v>
      </c>
      <c r="DQ172" s="258">
        <f>'FBMS-HND LEVEL TWO'!F1204</f>
        <v>25</v>
      </c>
      <c r="DR172" s="258" t="str">
        <f>'FBMS-HND LEVEL TWO'!J1204</f>
        <v>ABS</v>
      </c>
      <c r="DS172" s="258">
        <f>'FBMS-HND LEVEL TWO'!K1204</f>
        <v>0</v>
      </c>
      <c r="DT172" s="269">
        <f>'FBMS-HND LEVEL TWO'!L1204</f>
        <v>0</v>
      </c>
      <c r="DU172" s="268">
        <f>'FBMS-HND LEVEL TWO'!E1236</f>
        <v>0</v>
      </c>
      <c r="DV172" s="258">
        <f>'FBMS-HND LEVEL TWO'!F1236</f>
        <v>0</v>
      </c>
      <c r="DW172" s="258">
        <f>'FBMS-HND LEVEL TWO'!J1236</f>
        <v>0</v>
      </c>
      <c r="DX172" s="258">
        <f>'FBMS-HND LEVEL TWO'!K1236</f>
        <v>0</v>
      </c>
      <c r="DY172" s="269">
        <f>'FBMS-HND LEVEL TWO'!L1236</f>
        <v>0</v>
      </c>
      <c r="DZ172" s="268">
        <f>'FBMS-HND LEVEL TWO'!E1272</f>
        <v>0</v>
      </c>
      <c r="EA172" s="258">
        <f>'FBMS-HND LEVEL TWO'!F1272</f>
        <v>0</v>
      </c>
      <c r="EB172" s="258">
        <f>'FBMS-HND LEVEL TWO'!J1272</f>
        <v>0</v>
      </c>
      <c r="EC172" s="258">
        <f>'FBMS-HND LEVEL TWO'!K1272</f>
        <v>0</v>
      </c>
      <c r="ED172" s="269">
        <f>'FBMS-HND LEVEL TWO'!L1272</f>
        <v>0</v>
      </c>
    </row>
    <row r="173" spans="1:134" ht="17.25" customHeight="1" x14ac:dyDescent="0.3">
      <c r="A173" s="154">
        <v>47</v>
      </c>
      <c r="B173" s="12" t="s">
        <v>161</v>
      </c>
      <c r="C173" s="12" t="s">
        <v>111</v>
      </c>
      <c r="D173" s="12" t="s">
        <v>161</v>
      </c>
      <c r="E173" s="162">
        <f>'FBMS-HND LEVEL TWO'!E58</f>
        <v>8</v>
      </c>
      <c r="F173" s="157">
        <f>'FBMS-HND LEVEL TWO'!F58</f>
        <v>14</v>
      </c>
      <c r="G173" s="157" t="str">
        <f>'FBMS-HND LEVEL TWO'!J58</f>
        <v>ABS</v>
      </c>
      <c r="H173" s="158">
        <f>'FBMS-HND LEVEL TWO'!K58</f>
        <v>0</v>
      </c>
      <c r="I173" s="163">
        <f>'FBMS-HND LEVEL TWO'!L58</f>
        <v>0</v>
      </c>
      <c r="J173" s="164">
        <f>'FBMS-HND LEVEL TWO'!E127</f>
        <v>0</v>
      </c>
      <c r="K173" s="157">
        <f>'FBMS-HND LEVEL TWO'!F127</f>
        <v>0</v>
      </c>
      <c r="L173" s="157">
        <f>'FBMS-HND LEVEL TWO'!J127</f>
        <v>0</v>
      </c>
      <c r="M173" s="157">
        <f>'FBMS-HND LEVEL TWO'!K127</f>
        <v>0</v>
      </c>
      <c r="N173" s="165">
        <f>'FBMS-HND LEVEL TWO'!L127</f>
        <v>0</v>
      </c>
      <c r="O173" s="166">
        <f>'FBMS-HND LEVEL TWO'!E196</f>
        <v>7.5</v>
      </c>
      <c r="P173" s="157">
        <f>'FBMS-HND LEVEL TWO'!F196</f>
        <v>21</v>
      </c>
      <c r="Q173" s="157" t="str">
        <f>'FBMS-HND LEVEL TWO'!J196</f>
        <v>ABS</v>
      </c>
      <c r="R173" s="157">
        <f>'FBMS-HND LEVEL TWO'!K196</f>
        <v>0</v>
      </c>
      <c r="S173" s="163">
        <f>'FBMS-HND LEVEL TWO'!L196</f>
        <v>0</v>
      </c>
      <c r="T173" s="164">
        <f>'FBMS-HND LEVEL TWO'!E268</f>
        <v>0</v>
      </c>
      <c r="U173" s="157">
        <f>'FBMS-HND LEVEL TWO'!F268</f>
        <v>0</v>
      </c>
      <c r="V173" s="157">
        <f>'FBMS-HND LEVEL TWO'!J268</f>
        <v>0</v>
      </c>
      <c r="W173" s="157">
        <f>'FBMS-HND LEVEL TWO'!K268</f>
        <v>0</v>
      </c>
      <c r="X173" s="165">
        <f>'FBMS-HND LEVEL TWO'!L268</f>
        <v>0</v>
      </c>
      <c r="Y173" s="166">
        <f>'FBMS-HND LEVEL TWO'!E342</f>
        <v>0</v>
      </c>
      <c r="Z173" s="157">
        <f>'FBMS-HND LEVEL TWO'!F342</f>
        <v>0</v>
      </c>
      <c r="AA173" s="157">
        <f>'FBMS-HND LEVEL TWO'!J342</f>
        <v>0</v>
      </c>
      <c r="AB173" s="157">
        <f>'FBMS-HND LEVEL TWO'!K342</f>
        <v>0</v>
      </c>
      <c r="AC173" s="157">
        <f>'FBMS-HND LEVEL TWO'!L342</f>
        <v>0</v>
      </c>
      <c r="AD173" s="164">
        <f>'FBMS-HND LEVEL TWO'!E398</f>
        <v>0</v>
      </c>
      <c r="AE173" s="157">
        <f>'FBMS-HND LEVEL TWO'!F398</f>
        <v>0</v>
      </c>
      <c r="AF173" s="157">
        <f>'FBMS-HND LEVEL TWO'!J398</f>
        <v>0</v>
      </c>
      <c r="AG173" s="157">
        <f>'FBMS-HND LEVEL TWO'!K398</f>
        <v>0</v>
      </c>
      <c r="AH173" s="165">
        <f>'FBMS-HND LEVEL TWO'!L398</f>
        <v>0</v>
      </c>
      <c r="AI173" s="266">
        <f>'FBMS-HND LEVEL TWO'!E468</f>
        <v>0</v>
      </c>
      <c r="AJ173" s="258">
        <f>'FBMS-HND LEVEL TWO'!F468</f>
        <v>0</v>
      </c>
      <c r="AK173" s="258">
        <f>'FBMS-HND LEVEL TWO'!J468</f>
        <v>0</v>
      </c>
      <c r="AL173" s="259">
        <f>'FBMS-HND LEVEL TWO'!K468</f>
        <v>0</v>
      </c>
      <c r="AM173" s="267">
        <f>'FBMS-HND LEVEL TWO'!L468</f>
        <v>0</v>
      </c>
      <c r="AN173" s="268">
        <f>'FBMS-HND LEVEL TWO'!E543</f>
        <v>0</v>
      </c>
      <c r="AO173" s="258">
        <f>'FBMS-HND LEVEL TWO'!F543</f>
        <v>0</v>
      </c>
      <c r="AP173" s="258">
        <f>'FBMS-HND LEVEL TWO'!J543</f>
        <v>0</v>
      </c>
      <c r="AQ173" s="258">
        <f>'FBMS-HND LEVEL TWO'!K543</f>
        <v>0</v>
      </c>
      <c r="AR173" s="269">
        <f>'FBMS-HND LEVEL TWO'!L543</f>
        <v>0</v>
      </c>
      <c r="AS173" s="270">
        <f>'FBMS-HND LEVEL TWO'!E621</f>
        <v>0</v>
      </c>
      <c r="AT173" s="258">
        <f>'FBMS-HND LEVEL TWO'!F621</f>
        <v>0</v>
      </c>
      <c r="AU173" s="258">
        <f>'FBMS-HND LEVEL TWO'!J621</f>
        <v>0</v>
      </c>
      <c r="AV173" s="258">
        <f>'FBMS-HND LEVEL TWO'!K621</f>
        <v>0</v>
      </c>
      <c r="AW173" s="267">
        <f>'FBMS-HND LEVEL TWO'!L621</f>
        <v>0</v>
      </c>
      <c r="AX173" s="268"/>
      <c r="AY173" s="258"/>
      <c r="AZ173" s="258"/>
      <c r="BA173" s="258"/>
      <c r="BB173" s="269"/>
      <c r="BC173" s="270"/>
      <c r="BD173" s="258"/>
      <c r="BE173" s="258"/>
      <c r="BF173" s="258"/>
      <c r="BG173" s="258"/>
      <c r="BH173" s="268"/>
      <c r="BI173" s="258"/>
      <c r="BJ173" s="258"/>
      <c r="BK173" s="258"/>
      <c r="BL173" s="269"/>
      <c r="BM173" s="268"/>
      <c r="BN173" s="258"/>
      <c r="BO173" s="258"/>
      <c r="BP173" s="258"/>
      <c r="BQ173" s="269"/>
      <c r="BR173" s="268"/>
      <c r="BS173" s="258"/>
      <c r="BT173" s="258"/>
      <c r="BU173" s="258"/>
      <c r="BV173" s="269"/>
      <c r="BW173" s="270"/>
      <c r="BX173" s="258"/>
      <c r="BY173" s="258"/>
      <c r="BZ173" s="258"/>
      <c r="CA173" s="267"/>
      <c r="CB173" s="268"/>
      <c r="CC173" s="258"/>
      <c r="CD173" s="258"/>
      <c r="CE173" s="258"/>
      <c r="CF173" s="269"/>
      <c r="CG173" s="270"/>
      <c r="CH173" s="258"/>
      <c r="CI173" s="258"/>
      <c r="CJ173" s="258"/>
      <c r="CK173" s="258"/>
      <c r="CL173" s="268"/>
      <c r="CM173" s="258"/>
      <c r="CN173" s="258"/>
      <c r="CO173" s="258"/>
      <c r="CP173" s="269"/>
      <c r="CQ173" s="266"/>
      <c r="CR173" s="258"/>
      <c r="CS173" s="258"/>
      <c r="CT173" s="259"/>
      <c r="CU173" s="267"/>
      <c r="CV173" s="268"/>
      <c r="CW173" s="258"/>
      <c r="CX173" s="258"/>
      <c r="CY173" s="258"/>
      <c r="CZ173" s="269"/>
      <c r="DA173" s="268"/>
      <c r="DB173" s="258"/>
      <c r="DC173" s="258"/>
      <c r="DD173" s="258"/>
      <c r="DE173" s="269"/>
      <c r="DF173" s="268"/>
      <c r="DG173" s="258"/>
      <c r="DH173" s="258"/>
      <c r="DI173" s="258"/>
      <c r="DJ173" s="269"/>
      <c r="DK173" s="268">
        <f>'FBMS-HND LEVEL TWO'!E1171</f>
        <v>0</v>
      </c>
      <c r="DL173" s="258">
        <f>'FBMS-HND LEVEL TWO'!F1171</f>
        <v>0</v>
      </c>
      <c r="DM173" s="258">
        <f>'FBMS-HND LEVEL TWO'!J1171</f>
        <v>0</v>
      </c>
      <c r="DN173" s="258">
        <f>'FBMS-HND LEVEL TWO'!K1171</f>
        <v>0</v>
      </c>
      <c r="DO173" s="269">
        <f>'FBMS-HND LEVEL TWO'!L1171</f>
        <v>0</v>
      </c>
      <c r="DP173" s="268">
        <f>'FBMS-HND LEVEL TWO'!E1205</f>
        <v>0</v>
      </c>
      <c r="DQ173" s="258">
        <f>'FBMS-HND LEVEL TWO'!F1205</f>
        <v>0</v>
      </c>
      <c r="DR173" s="258">
        <f>'FBMS-HND LEVEL TWO'!J1205</f>
        <v>0</v>
      </c>
      <c r="DS173" s="258">
        <f>'FBMS-HND LEVEL TWO'!K1205</f>
        <v>0</v>
      </c>
      <c r="DT173" s="269">
        <f>'FBMS-HND LEVEL TWO'!L1205</f>
        <v>0</v>
      </c>
      <c r="DU173" s="268">
        <f>'FBMS-HND LEVEL TWO'!E1237</f>
        <v>0</v>
      </c>
      <c r="DV173" s="258">
        <f>'FBMS-HND LEVEL TWO'!F1237</f>
        <v>0</v>
      </c>
      <c r="DW173" s="258">
        <f>'FBMS-HND LEVEL TWO'!J1237</f>
        <v>0</v>
      </c>
      <c r="DX173" s="258">
        <f>'FBMS-HND LEVEL TWO'!K1237</f>
        <v>0</v>
      </c>
      <c r="DY173" s="269">
        <f>'FBMS-HND LEVEL TWO'!L1237</f>
        <v>0</v>
      </c>
      <c r="DZ173" s="268">
        <f>'FBMS-HND LEVEL TWO'!E1273</f>
        <v>0</v>
      </c>
      <c r="EA173" s="258">
        <f>'FBMS-HND LEVEL TWO'!F1273</f>
        <v>0</v>
      </c>
      <c r="EB173" s="258">
        <f>'FBMS-HND LEVEL TWO'!J1273</f>
        <v>0</v>
      </c>
      <c r="EC173" s="258">
        <f>'FBMS-HND LEVEL TWO'!K1273</f>
        <v>0</v>
      </c>
      <c r="ED173" s="269">
        <f>'FBMS-HND LEVEL TWO'!L1273</f>
        <v>0</v>
      </c>
    </row>
    <row r="174" spans="1:134" ht="17.25" customHeight="1" x14ac:dyDescent="0.3">
      <c r="A174" s="161">
        <v>48</v>
      </c>
      <c r="B174" s="12" t="s">
        <v>169</v>
      </c>
      <c r="C174" s="12" t="s">
        <v>122</v>
      </c>
      <c r="D174" s="12" t="s">
        <v>169</v>
      </c>
      <c r="E174" s="162">
        <f>'FBMS-HND LEVEL TWO'!E59</f>
        <v>8</v>
      </c>
      <c r="F174" s="157">
        <f>'FBMS-HND LEVEL TWO'!F59</f>
        <v>16</v>
      </c>
      <c r="G174" s="157" t="str">
        <f>'FBMS-HND LEVEL TWO'!J59</f>
        <v>ABS</v>
      </c>
      <c r="H174" s="158">
        <f>'FBMS-HND LEVEL TWO'!K59</f>
        <v>0</v>
      </c>
      <c r="I174" s="163">
        <f>'FBMS-HND LEVEL TWO'!L59</f>
        <v>0</v>
      </c>
      <c r="J174" s="164">
        <f>'FBMS-HND LEVEL TWO'!E128</f>
        <v>0</v>
      </c>
      <c r="K174" s="157">
        <f>'FBMS-HND LEVEL TWO'!F128</f>
        <v>0</v>
      </c>
      <c r="L174" s="157">
        <f>'FBMS-HND LEVEL TWO'!J128</f>
        <v>0</v>
      </c>
      <c r="M174" s="157">
        <f>'FBMS-HND LEVEL TWO'!K128</f>
        <v>0</v>
      </c>
      <c r="N174" s="165">
        <f>'FBMS-HND LEVEL TWO'!L128</f>
        <v>0</v>
      </c>
      <c r="O174" s="166">
        <f>'FBMS-HND LEVEL TWO'!E197</f>
        <v>0</v>
      </c>
      <c r="P174" s="157">
        <f>'FBMS-HND LEVEL TWO'!F197</f>
        <v>0</v>
      </c>
      <c r="Q174" s="157">
        <f>'FBMS-HND LEVEL TWO'!J197</f>
        <v>0</v>
      </c>
      <c r="R174" s="157">
        <f>'FBMS-HND LEVEL TWO'!K197</f>
        <v>0</v>
      </c>
      <c r="S174" s="163">
        <f>'FBMS-HND LEVEL TWO'!L197</f>
        <v>0</v>
      </c>
      <c r="T174" s="164">
        <f>'FBMS-HND LEVEL TWO'!E269</f>
        <v>0</v>
      </c>
      <c r="U174" s="157">
        <f>'FBMS-HND LEVEL TWO'!F269</f>
        <v>0</v>
      </c>
      <c r="V174" s="157">
        <f>'FBMS-HND LEVEL TWO'!J269</f>
        <v>0</v>
      </c>
      <c r="W174" s="157">
        <f>'FBMS-HND LEVEL TWO'!K269</f>
        <v>0</v>
      </c>
      <c r="X174" s="165">
        <f>'FBMS-HND LEVEL TWO'!L269</f>
        <v>0</v>
      </c>
      <c r="Y174" s="166">
        <f>'FBMS-HND LEVEL TWO'!E343</f>
        <v>0</v>
      </c>
      <c r="Z174" s="157">
        <f>'FBMS-HND LEVEL TWO'!F343</f>
        <v>0</v>
      </c>
      <c r="AA174" s="157">
        <f>'FBMS-HND LEVEL TWO'!J343</f>
        <v>0</v>
      </c>
      <c r="AB174" s="157">
        <f>'FBMS-HND LEVEL TWO'!K343</f>
        <v>0</v>
      </c>
      <c r="AC174" s="157">
        <f>'FBMS-HND LEVEL TWO'!L343</f>
        <v>0</v>
      </c>
      <c r="AD174" s="164">
        <f>'FBMS-HND LEVEL TWO'!E399</f>
        <v>0</v>
      </c>
      <c r="AE174" s="157">
        <f>'FBMS-HND LEVEL TWO'!F399</f>
        <v>0</v>
      </c>
      <c r="AF174" s="157">
        <f>'FBMS-HND LEVEL TWO'!J399</f>
        <v>0</v>
      </c>
      <c r="AG174" s="157">
        <f>'FBMS-HND LEVEL TWO'!K399</f>
        <v>0</v>
      </c>
      <c r="AH174" s="165">
        <f>'FBMS-HND LEVEL TWO'!L399</f>
        <v>0</v>
      </c>
      <c r="AI174" s="266">
        <f>'FBMS-HND LEVEL TWO'!E469</f>
        <v>0</v>
      </c>
      <c r="AJ174" s="258">
        <f>'FBMS-HND LEVEL TWO'!F469</f>
        <v>0</v>
      </c>
      <c r="AK174" s="258">
        <f>'FBMS-HND LEVEL TWO'!J469</f>
        <v>0</v>
      </c>
      <c r="AL174" s="259">
        <f>'FBMS-HND LEVEL TWO'!K469</f>
        <v>0</v>
      </c>
      <c r="AM174" s="267">
        <f>'FBMS-HND LEVEL TWO'!L469</f>
        <v>0</v>
      </c>
      <c r="AN174" s="268">
        <f>'FBMS-HND LEVEL TWO'!E544</f>
        <v>0</v>
      </c>
      <c r="AO174" s="258">
        <f>'FBMS-HND LEVEL TWO'!F544</f>
        <v>0</v>
      </c>
      <c r="AP174" s="258">
        <f>'FBMS-HND LEVEL TWO'!J544</f>
        <v>0</v>
      </c>
      <c r="AQ174" s="258">
        <f>'FBMS-HND LEVEL TWO'!K544</f>
        <v>0</v>
      </c>
      <c r="AR174" s="269">
        <f>'FBMS-HND LEVEL TWO'!L544</f>
        <v>0</v>
      </c>
      <c r="AS174" s="270">
        <f>'FBMS-HND LEVEL TWO'!E622</f>
        <v>0</v>
      </c>
      <c r="AT174" s="258">
        <f>'FBMS-HND LEVEL TWO'!F622</f>
        <v>0</v>
      </c>
      <c r="AU174" s="258">
        <f>'FBMS-HND LEVEL TWO'!J622</f>
        <v>0</v>
      </c>
      <c r="AV174" s="258">
        <f>'FBMS-HND LEVEL TWO'!K622</f>
        <v>0</v>
      </c>
      <c r="AW174" s="267">
        <f>'FBMS-HND LEVEL TWO'!L622</f>
        <v>0</v>
      </c>
      <c r="AX174" s="268"/>
      <c r="AY174" s="258"/>
      <c r="AZ174" s="258"/>
      <c r="BA174" s="258"/>
      <c r="BB174" s="269"/>
      <c r="BC174" s="270"/>
      <c r="BD174" s="258"/>
      <c r="BE174" s="258"/>
      <c r="BF174" s="258"/>
      <c r="BG174" s="258"/>
      <c r="BH174" s="268"/>
      <c r="BI174" s="258"/>
      <c r="BJ174" s="258"/>
      <c r="BK174" s="258"/>
      <c r="BL174" s="269"/>
      <c r="BM174" s="268"/>
      <c r="BN174" s="258"/>
      <c r="BO174" s="258"/>
      <c r="BP174" s="258"/>
      <c r="BQ174" s="269"/>
      <c r="BR174" s="268"/>
      <c r="BS174" s="258"/>
      <c r="BT174" s="258"/>
      <c r="BU174" s="258"/>
      <c r="BV174" s="269"/>
      <c r="BW174" s="270"/>
      <c r="BX174" s="258"/>
      <c r="BY174" s="258"/>
      <c r="BZ174" s="258"/>
      <c r="CA174" s="267"/>
      <c r="CB174" s="268"/>
      <c r="CC174" s="258"/>
      <c r="CD174" s="258"/>
      <c r="CE174" s="258"/>
      <c r="CF174" s="269"/>
      <c r="CG174" s="270"/>
      <c r="CH174" s="258"/>
      <c r="CI174" s="258"/>
      <c r="CJ174" s="258"/>
      <c r="CK174" s="258"/>
      <c r="CL174" s="268"/>
      <c r="CM174" s="258"/>
      <c r="CN174" s="258"/>
      <c r="CO174" s="258"/>
      <c r="CP174" s="269"/>
      <c r="CQ174" s="266"/>
      <c r="CR174" s="258"/>
      <c r="CS174" s="258"/>
      <c r="CT174" s="259"/>
      <c r="CU174" s="267"/>
      <c r="CV174" s="268"/>
      <c r="CW174" s="258"/>
      <c r="CX174" s="258"/>
      <c r="CY174" s="258"/>
      <c r="CZ174" s="269"/>
      <c r="DA174" s="268"/>
      <c r="DB174" s="258"/>
      <c r="DC174" s="258"/>
      <c r="DD174" s="258"/>
      <c r="DE174" s="269"/>
      <c r="DF174" s="268"/>
      <c r="DG174" s="258"/>
      <c r="DH174" s="258"/>
      <c r="DI174" s="258"/>
      <c r="DJ174" s="269"/>
      <c r="DK174" s="268">
        <f>'FBMS-HND LEVEL TWO'!E1172</f>
        <v>0</v>
      </c>
      <c r="DL174" s="258">
        <f>'FBMS-HND LEVEL TWO'!F1172</f>
        <v>0</v>
      </c>
      <c r="DM174" s="258">
        <f>'FBMS-HND LEVEL TWO'!J1172</f>
        <v>0</v>
      </c>
      <c r="DN174" s="258">
        <f>'FBMS-HND LEVEL TWO'!K1172</f>
        <v>0</v>
      </c>
      <c r="DO174" s="269">
        <f>'FBMS-HND LEVEL TWO'!L1172</f>
        <v>0</v>
      </c>
      <c r="DP174" s="268">
        <f>'FBMS-HND LEVEL TWO'!E1206</f>
        <v>0</v>
      </c>
      <c r="DQ174" s="258">
        <f>'FBMS-HND LEVEL TWO'!F1206</f>
        <v>0</v>
      </c>
      <c r="DR174" s="258">
        <f>'FBMS-HND LEVEL TWO'!J1206</f>
        <v>0</v>
      </c>
      <c r="DS174" s="258">
        <f>'FBMS-HND LEVEL TWO'!K1206</f>
        <v>0</v>
      </c>
      <c r="DT174" s="269">
        <f>'FBMS-HND LEVEL TWO'!L1206</f>
        <v>0</v>
      </c>
      <c r="DU174" s="268">
        <f>'FBMS-HND LEVEL TWO'!E1238</f>
        <v>0</v>
      </c>
      <c r="DV174" s="258">
        <f>'FBMS-HND LEVEL TWO'!F1238</f>
        <v>0</v>
      </c>
      <c r="DW174" s="258">
        <f>'FBMS-HND LEVEL TWO'!J1238</f>
        <v>0</v>
      </c>
      <c r="DX174" s="258">
        <f>'FBMS-HND LEVEL TWO'!K1238</f>
        <v>0</v>
      </c>
      <c r="DY174" s="269">
        <f>'FBMS-HND LEVEL TWO'!L1238</f>
        <v>0</v>
      </c>
      <c r="DZ174" s="268">
        <f>'FBMS-HND LEVEL TWO'!E1274</f>
        <v>0</v>
      </c>
      <c r="EA174" s="258">
        <f>'FBMS-HND LEVEL TWO'!F1274</f>
        <v>0</v>
      </c>
      <c r="EB174" s="258">
        <f>'FBMS-HND LEVEL TWO'!J1274</f>
        <v>0</v>
      </c>
      <c r="EC174" s="258">
        <f>'FBMS-HND LEVEL TWO'!K1274</f>
        <v>0</v>
      </c>
      <c r="ED174" s="269">
        <f>'FBMS-HND LEVEL TWO'!L1274</f>
        <v>0</v>
      </c>
    </row>
    <row r="175" spans="1:134" ht="17.25" customHeight="1" x14ac:dyDescent="0.3">
      <c r="A175" s="154">
        <v>49</v>
      </c>
      <c r="B175" s="12" t="s">
        <v>421</v>
      </c>
      <c r="C175" s="12" t="s">
        <v>129</v>
      </c>
      <c r="D175" s="45" t="s">
        <v>648</v>
      </c>
      <c r="E175" s="162">
        <f>'FBMS-HND LEVEL TWO'!E60</f>
        <v>8</v>
      </c>
      <c r="F175" s="157">
        <f>'FBMS-HND LEVEL TWO'!F60</f>
        <v>18</v>
      </c>
      <c r="G175" s="157">
        <f>'FBMS-HND LEVEL TWO'!J60</f>
        <v>33</v>
      </c>
      <c r="H175" s="158">
        <f>'FBMS-HND LEVEL TWO'!K60</f>
        <v>59</v>
      </c>
      <c r="I175" s="163" t="str">
        <f>'FBMS-HND LEVEL TWO'!L60</f>
        <v>C+</v>
      </c>
      <c r="J175" s="164">
        <f>'FBMS-HND LEVEL TWO'!E129</f>
        <v>10</v>
      </c>
      <c r="K175" s="157">
        <f>'FBMS-HND LEVEL TWO'!F129</f>
        <v>24</v>
      </c>
      <c r="L175" s="157">
        <f>'FBMS-HND LEVEL TWO'!J129</f>
        <v>50</v>
      </c>
      <c r="M175" s="157">
        <f>'FBMS-HND LEVEL TWO'!K129</f>
        <v>84</v>
      </c>
      <c r="N175" s="165" t="str">
        <f>'FBMS-HND LEVEL TWO'!L129</f>
        <v>A</v>
      </c>
      <c r="O175" s="166">
        <f>'FBMS-HND LEVEL TWO'!E198</f>
        <v>9</v>
      </c>
      <c r="P175" s="157">
        <f>'FBMS-HND LEVEL TWO'!F198</f>
        <v>23</v>
      </c>
      <c r="Q175" s="157">
        <f>'FBMS-HND LEVEL TWO'!J198</f>
        <v>35</v>
      </c>
      <c r="R175" s="157">
        <f>'FBMS-HND LEVEL TWO'!K198</f>
        <v>67</v>
      </c>
      <c r="S175" s="163" t="str">
        <f>'FBMS-HND LEVEL TWO'!L198</f>
        <v>B</v>
      </c>
      <c r="T175" s="164">
        <f>'FBMS-HND LEVEL TWO'!E270</f>
        <v>9</v>
      </c>
      <c r="U175" s="157">
        <f>'FBMS-HND LEVEL TWO'!F270</f>
        <v>20</v>
      </c>
      <c r="V175" s="157">
        <f>'FBMS-HND LEVEL TWO'!J270</f>
        <v>36</v>
      </c>
      <c r="W175" s="157">
        <f>'FBMS-HND LEVEL TWO'!K270</f>
        <v>65</v>
      </c>
      <c r="X175" s="165" t="str">
        <f>'FBMS-HND LEVEL TWO'!L270</f>
        <v>B</v>
      </c>
      <c r="Y175" s="166">
        <f>'FBMS-HND LEVEL TWO'!E344</f>
        <v>10</v>
      </c>
      <c r="Z175" s="157">
        <f>'FBMS-HND LEVEL TWO'!F344</f>
        <v>16</v>
      </c>
      <c r="AA175" s="157">
        <f>'FBMS-HND LEVEL TWO'!J344</f>
        <v>34</v>
      </c>
      <c r="AB175" s="157">
        <f>'FBMS-HND LEVEL TWO'!K344</f>
        <v>60</v>
      </c>
      <c r="AC175" s="157" t="str">
        <f>'FBMS-HND LEVEL TWO'!L344</f>
        <v>B</v>
      </c>
      <c r="AD175" s="164">
        <f>'FBMS-HND LEVEL TWO'!E400</f>
        <v>10</v>
      </c>
      <c r="AE175" s="157">
        <f>'FBMS-HND LEVEL TWO'!F400</f>
        <v>14</v>
      </c>
      <c r="AF175" s="157">
        <f>'FBMS-HND LEVEL TWO'!J400</f>
        <v>41</v>
      </c>
      <c r="AG175" s="157">
        <f>'FBMS-HND LEVEL TWO'!K400</f>
        <v>65</v>
      </c>
      <c r="AH175" s="165" t="str">
        <f>'FBMS-HND LEVEL TWO'!L400</f>
        <v>B</v>
      </c>
      <c r="AI175" s="266">
        <f>'FBMS-HND LEVEL TWO'!E470</f>
        <v>9</v>
      </c>
      <c r="AJ175" s="258">
        <f>'FBMS-HND LEVEL TWO'!F470</f>
        <v>29</v>
      </c>
      <c r="AK175" s="258">
        <f>'FBMS-HND LEVEL TWO'!J470</f>
        <v>49</v>
      </c>
      <c r="AL175" s="259">
        <f>'FBMS-HND LEVEL TWO'!K470</f>
        <v>87</v>
      </c>
      <c r="AM175" s="267" t="str">
        <f>'FBMS-HND LEVEL TWO'!L470</f>
        <v>A</v>
      </c>
      <c r="AN175" s="268">
        <f>'FBMS-HND LEVEL TWO'!E545</f>
        <v>10</v>
      </c>
      <c r="AO175" s="258">
        <f>'FBMS-HND LEVEL TWO'!F545</f>
        <v>22</v>
      </c>
      <c r="AP175" s="258">
        <f>'FBMS-HND LEVEL TWO'!J545</f>
        <v>27</v>
      </c>
      <c r="AQ175" s="258">
        <f>'FBMS-HND LEVEL TWO'!K545</f>
        <v>59</v>
      </c>
      <c r="AR175" s="269" t="str">
        <f>'FBMS-HND LEVEL TWO'!L545</f>
        <v>C+</v>
      </c>
      <c r="AS175" s="270">
        <f>'FBMS-HND LEVEL TWO'!E623</f>
        <v>10</v>
      </c>
      <c r="AT175" s="258">
        <f>'FBMS-HND LEVEL TWO'!F623</f>
        <v>23</v>
      </c>
      <c r="AU175" s="258">
        <f>'FBMS-HND LEVEL TWO'!J623</f>
        <v>49</v>
      </c>
      <c r="AV175" s="258">
        <f>'FBMS-HND LEVEL TWO'!K623</f>
        <v>82</v>
      </c>
      <c r="AW175" s="267" t="str">
        <f>'FBMS-HND LEVEL TWO'!L623</f>
        <v>A</v>
      </c>
      <c r="AX175" s="268"/>
      <c r="AY175" s="258"/>
      <c r="AZ175" s="258"/>
      <c r="BA175" s="258"/>
      <c r="BB175" s="269"/>
      <c r="BC175" s="270"/>
      <c r="BD175" s="258"/>
      <c r="BE175" s="258"/>
      <c r="BF175" s="258"/>
      <c r="BG175" s="258"/>
      <c r="BH175" s="268"/>
      <c r="BI175" s="258"/>
      <c r="BJ175" s="258"/>
      <c r="BK175" s="258"/>
      <c r="BL175" s="269"/>
      <c r="BM175" s="268"/>
      <c r="BN175" s="258"/>
      <c r="BO175" s="258"/>
      <c r="BP175" s="258"/>
      <c r="BQ175" s="269"/>
      <c r="BR175" s="268"/>
      <c r="BS175" s="258"/>
      <c r="BT175" s="258"/>
      <c r="BU175" s="258"/>
      <c r="BV175" s="269"/>
      <c r="BW175" s="270"/>
      <c r="BX175" s="258"/>
      <c r="BY175" s="258"/>
      <c r="BZ175" s="258"/>
      <c r="CA175" s="267"/>
      <c r="CB175" s="268"/>
      <c r="CC175" s="258"/>
      <c r="CD175" s="258"/>
      <c r="CE175" s="258"/>
      <c r="CF175" s="269"/>
      <c r="CG175" s="270"/>
      <c r="CH175" s="258"/>
      <c r="CI175" s="258"/>
      <c r="CJ175" s="258"/>
      <c r="CK175" s="258"/>
      <c r="CL175" s="268"/>
      <c r="CM175" s="258"/>
      <c r="CN175" s="258"/>
      <c r="CO175" s="258"/>
      <c r="CP175" s="269"/>
      <c r="CQ175" s="266"/>
      <c r="CR175" s="258"/>
      <c r="CS175" s="258"/>
      <c r="CT175" s="259"/>
      <c r="CU175" s="267"/>
      <c r="CV175" s="268"/>
      <c r="CW175" s="258"/>
      <c r="CX175" s="258"/>
      <c r="CY175" s="258"/>
      <c r="CZ175" s="269"/>
      <c r="DA175" s="268"/>
      <c r="DB175" s="258"/>
      <c r="DC175" s="258"/>
      <c r="DD175" s="258"/>
      <c r="DE175" s="269"/>
      <c r="DF175" s="268"/>
      <c r="DG175" s="258"/>
      <c r="DH175" s="258"/>
      <c r="DI175" s="258"/>
      <c r="DJ175" s="269"/>
      <c r="DK175" s="268">
        <f>'FBMS-HND LEVEL TWO'!E1173</f>
        <v>10</v>
      </c>
      <c r="DL175" s="258">
        <f>'FBMS-HND LEVEL TWO'!F1173</f>
        <v>26</v>
      </c>
      <c r="DM175" s="258">
        <f>'FBMS-HND LEVEL TWO'!J1173</f>
        <v>48</v>
      </c>
      <c r="DN175" s="258">
        <f>'FBMS-HND LEVEL TWO'!K1173</f>
        <v>84</v>
      </c>
      <c r="DO175" s="269" t="str">
        <f>'FBMS-HND LEVEL TWO'!L1173</f>
        <v>A</v>
      </c>
      <c r="DP175" s="268">
        <f>'FBMS-HND LEVEL TWO'!E1207</f>
        <v>10</v>
      </c>
      <c r="DQ175" s="258">
        <f>'FBMS-HND LEVEL TWO'!F1207</f>
        <v>27</v>
      </c>
      <c r="DR175" s="258">
        <f>'FBMS-HND LEVEL TWO'!J1207</f>
        <v>52</v>
      </c>
      <c r="DS175" s="258">
        <f>'FBMS-HND LEVEL TWO'!K1207</f>
        <v>89</v>
      </c>
      <c r="DT175" s="269" t="str">
        <f>'FBMS-HND LEVEL TWO'!L1207</f>
        <v>A</v>
      </c>
      <c r="DU175" s="268">
        <f>'FBMS-HND LEVEL TWO'!E1239</f>
        <v>10</v>
      </c>
      <c r="DV175" s="258">
        <f>'FBMS-HND LEVEL TWO'!F1239</f>
        <v>19</v>
      </c>
      <c r="DW175" s="258">
        <f>'FBMS-HND LEVEL TWO'!J1239</f>
        <v>39</v>
      </c>
      <c r="DX175" s="258">
        <f>'FBMS-HND LEVEL TWO'!K1239</f>
        <v>68</v>
      </c>
      <c r="DY175" s="269" t="str">
        <f>'FBMS-HND LEVEL TWO'!L1239</f>
        <v>B</v>
      </c>
      <c r="DZ175" s="268">
        <f>'FBMS-HND LEVEL TWO'!E1275</f>
        <v>10</v>
      </c>
      <c r="EA175" s="258">
        <f>'FBMS-HND LEVEL TWO'!F1275</f>
        <v>26</v>
      </c>
      <c r="EB175" s="258">
        <f>'FBMS-HND LEVEL TWO'!J1275</f>
        <v>42</v>
      </c>
      <c r="EC175" s="258">
        <f>'FBMS-HND LEVEL TWO'!K1275</f>
        <v>78</v>
      </c>
      <c r="ED175" s="269" t="str">
        <f>'FBMS-HND LEVEL TWO'!L1275</f>
        <v>B+</v>
      </c>
    </row>
    <row r="176" spans="1:134" ht="17.25" customHeight="1" x14ac:dyDescent="0.3">
      <c r="A176" s="161">
        <v>50</v>
      </c>
      <c r="B176" s="12" t="s">
        <v>177</v>
      </c>
      <c r="C176" s="12" t="s">
        <v>132</v>
      </c>
      <c r="D176" s="12" t="s">
        <v>177</v>
      </c>
      <c r="E176" s="162">
        <f>'FBMS-HND LEVEL TWO'!E61</f>
        <v>8</v>
      </c>
      <c r="F176" s="157">
        <f>'FBMS-HND LEVEL TWO'!F61</f>
        <v>17</v>
      </c>
      <c r="G176" s="157">
        <f>'FBMS-HND LEVEL TWO'!J61</f>
        <v>25</v>
      </c>
      <c r="H176" s="158">
        <f>'FBMS-HND LEVEL TWO'!K61</f>
        <v>50</v>
      </c>
      <c r="I176" s="163" t="str">
        <f>'FBMS-HND LEVEL TWO'!L61</f>
        <v>C</v>
      </c>
      <c r="J176" s="164">
        <f>'FBMS-HND LEVEL TWO'!E130</f>
        <v>10</v>
      </c>
      <c r="K176" s="157">
        <f>'FBMS-HND LEVEL TWO'!F130</f>
        <v>24</v>
      </c>
      <c r="L176" s="157">
        <f>'FBMS-HND LEVEL TWO'!J130</f>
        <v>33</v>
      </c>
      <c r="M176" s="157">
        <f>'FBMS-HND LEVEL TWO'!K130</f>
        <v>67</v>
      </c>
      <c r="N176" s="165" t="str">
        <f>'FBMS-HND LEVEL TWO'!L130</f>
        <v>B</v>
      </c>
      <c r="O176" s="166">
        <f>'FBMS-HND LEVEL TWO'!E199</f>
        <v>9</v>
      </c>
      <c r="P176" s="157">
        <f>'FBMS-HND LEVEL TWO'!F199</f>
        <v>27</v>
      </c>
      <c r="Q176" s="157">
        <f>'FBMS-HND LEVEL TWO'!J199</f>
        <v>42</v>
      </c>
      <c r="R176" s="157">
        <f>'FBMS-HND LEVEL TWO'!K199</f>
        <v>78</v>
      </c>
      <c r="S176" s="163" t="str">
        <f>'FBMS-HND LEVEL TWO'!L199</f>
        <v>B+</v>
      </c>
      <c r="T176" s="164">
        <f>'FBMS-HND LEVEL TWO'!E271</f>
        <v>10</v>
      </c>
      <c r="U176" s="157">
        <f>'FBMS-HND LEVEL TWO'!F271</f>
        <v>23</v>
      </c>
      <c r="V176" s="157">
        <f>'FBMS-HND LEVEL TWO'!J271</f>
        <v>40</v>
      </c>
      <c r="W176" s="157">
        <f>'FBMS-HND LEVEL TWO'!K271</f>
        <v>73</v>
      </c>
      <c r="X176" s="165" t="str">
        <f>'FBMS-HND LEVEL TWO'!L271</f>
        <v>B+</v>
      </c>
      <c r="Y176" s="166">
        <f>'FBMS-HND LEVEL TWO'!E345</f>
        <v>10</v>
      </c>
      <c r="Z176" s="157">
        <f>'FBMS-HND LEVEL TWO'!F345</f>
        <v>22</v>
      </c>
      <c r="AA176" s="157">
        <f>'FBMS-HND LEVEL TWO'!J345</f>
        <v>29</v>
      </c>
      <c r="AB176" s="157">
        <f>'FBMS-HND LEVEL TWO'!K345</f>
        <v>61</v>
      </c>
      <c r="AC176" s="157" t="str">
        <f>'FBMS-HND LEVEL TWO'!L345</f>
        <v>B</v>
      </c>
      <c r="AD176" s="164">
        <f>'FBMS-HND LEVEL TWO'!E401</f>
        <v>10</v>
      </c>
      <c r="AE176" s="157">
        <f>'FBMS-HND LEVEL TWO'!F401</f>
        <v>24</v>
      </c>
      <c r="AF176" s="157">
        <f>'FBMS-HND LEVEL TWO'!J401</f>
        <v>28</v>
      </c>
      <c r="AG176" s="157">
        <f>'FBMS-HND LEVEL TWO'!K401</f>
        <v>62</v>
      </c>
      <c r="AH176" s="165" t="str">
        <f>'FBMS-HND LEVEL TWO'!L401</f>
        <v>B</v>
      </c>
      <c r="AI176" s="266">
        <f>'FBMS-HND LEVEL TWO'!E471</f>
        <v>9</v>
      </c>
      <c r="AJ176" s="258">
        <f>'FBMS-HND LEVEL TWO'!F471</f>
        <v>30</v>
      </c>
      <c r="AK176" s="258">
        <f>'FBMS-HND LEVEL TWO'!J471</f>
        <v>54</v>
      </c>
      <c r="AL176" s="259">
        <f>'FBMS-HND LEVEL TWO'!K471</f>
        <v>93</v>
      </c>
      <c r="AM176" s="267" t="str">
        <f>'FBMS-HND LEVEL TWO'!L471</f>
        <v>A</v>
      </c>
      <c r="AN176" s="268">
        <f>'FBMS-HND LEVEL TWO'!E546</f>
        <v>10</v>
      </c>
      <c r="AO176" s="258">
        <f>'FBMS-HND LEVEL TWO'!F546</f>
        <v>22</v>
      </c>
      <c r="AP176" s="258">
        <f>'FBMS-HND LEVEL TWO'!J546</f>
        <v>53</v>
      </c>
      <c r="AQ176" s="258">
        <f>'FBMS-HND LEVEL TWO'!K546</f>
        <v>85</v>
      </c>
      <c r="AR176" s="269" t="str">
        <f>'FBMS-HND LEVEL TWO'!L546</f>
        <v>A</v>
      </c>
      <c r="AS176" s="270">
        <f>'FBMS-HND LEVEL TWO'!E624</f>
        <v>10</v>
      </c>
      <c r="AT176" s="258">
        <f>'FBMS-HND LEVEL TWO'!F624</f>
        <v>25</v>
      </c>
      <c r="AU176" s="258">
        <f>'FBMS-HND LEVEL TWO'!J624</f>
        <v>42</v>
      </c>
      <c r="AV176" s="258">
        <f>'FBMS-HND LEVEL TWO'!K624</f>
        <v>77</v>
      </c>
      <c r="AW176" s="267" t="str">
        <f>'FBMS-HND LEVEL TWO'!L624</f>
        <v>B+</v>
      </c>
      <c r="AX176" s="268"/>
      <c r="AY176" s="258"/>
      <c r="AZ176" s="258"/>
      <c r="BA176" s="258"/>
      <c r="BB176" s="269"/>
      <c r="BC176" s="270"/>
      <c r="BD176" s="258"/>
      <c r="BE176" s="258"/>
      <c r="BF176" s="258"/>
      <c r="BG176" s="258"/>
      <c r="BH176" s="268"/>
      <c r="BI176" s="258"/>
      <c r="BJ176" s="258"/>
      <c r="BK176" s="258"/>
      <c r="BL176" s="269"/>
      <c r="BM176" s="268"/>
      <c r="BN176" s="258"/>
      <c r="BO176" s="258"/>
      <c r="BP176" s="258"/>
      <c r="BQ176" s="269"/>
      <c r="BR176" s="268"/>
      <c r="BS176" s="258"/>
      <c r="BT176" s="258"/>
      <c r="BU176" s="258"/>
      <c r="BV176" s="269"/>
      <c r="BW176" s="270"/>
      <c r="BX176" s="258"/>
      <c r="BY176" s="258"/>
      <c r="BZ176" s="258"/>
      <c r="CA176" s="267"/>
      <c r="CB176" s="268"/>
      <c r="CC176" s="258"/>
      <c r="CD176" s="258"/>
      <c r="CE176" s="258"/>
      <c r="CF176" s="269"/>
      <c r="CG176" s="270"/>
      <c r="CH176" s="258"/>
      <c r="CI176" s="258"/>
      <c r="CJ176" s="258"/>
      <c r="CK176" s="258"/>
      <c r="CL176" s="268"/>
      <c r="CM176" s="258"/>
      <c r="CN176" s="258"/>
      <c r="CO176" s="258"/>
      <c r="CP176" s="269"/>
      <c r="CQ176" s="266"/>
      <c r="CR176" s="258"/>
      <c r="CS176" s="258"/>
      <c r="CT176" s="259"/>
      <c r="CU176" s="267"/>
      <c r="CV176" s="268"/>
      <c r="CW176" s="258"/>
      <c r="CX176" s="258"/>
      <c r="CY176" s="258"/>
      <c r="CZ176" s="269"/>
      <c r="DA176" s="268"/>
      <c r="DB176" s="258"/>
      <c r="DC176" s="258"/>
      <c r="DD176" s="258"/>
      <c r="DE176" s="269"/>
      <c r="DF176" s="268"/>
      <c r="DG176" s="258"/>
      <c r="DH176" s="258"/>
      <c r="DI176" s="258"/>
      <c r="DJ176" s="269"/>
      <c r="DK176" s="268">
        <f>'FBMS-HND LEVEL TWO'!E1174</f>
        <v>10</v>
      </c>
      <c r="DL176" s="258">
        <f>'FBMS-HND LEVEL TWO'!F1174</f>
        <v>28</v>
      </c>
      <c r="DM176" s="258">
        <f>'FBMS-HND LEVEL TWO'!J1174</f>
        <v>42</v>
      </c>
      <c r="DN176" s="258">
        <f>'FBMS-HND LEVEL TWO'!K1174</f>
        <v>80</v>
      </c>
      <c r="DO176" s="269" t="str">
        <f>'FBMS-HND LEVEL TWO'!L1174</f>
        <v>A</v>
      </c>
      <c r="DP176" s="268">
        <f>'FBMS-HND LEVEL TWO'!E1208</f>
        <v>10</v>
      </c>
      <c r="DQ176" s="258">
        <f>'FBMS-HND LEVEL TWO'!F1208</f>
        <v>28</v>
      </c>
      <c r="DR176" s="258">
        <f>'FBMS-HND LEVEL TWO'!J1208</f>
        <v>55</v>
      </c>
      <c r="DS176" s="258">
        <f>'FBMS-HND LEVEL TWO'!K1208</f>
        <v>93</v>
      </c>
      <c r="DT176" s="269" t="str">
        <f>'FBMS-HND LEVEL TWO'!L1208</f>
        <v>A</v>
      </c>
      <c r="DU176" s="268">
        <f>'FBMS-HND LEVEL TWO'!E1240</f>
        <v>10</v>
      </c>
      <c r="DV176" s="258">
        <f>'FBMS-HND LEVEL TWO'!F1240</f>
        <v>22</v>
      </c>
      <c r="DW176" s="258">
        <f>'FBMS-HND LEVEL TWO'!J1240</f>
        <v>39</v>
      </c>
      <c r="DX176" s="258">
        <f>'FBMS-HND LEVEL TWO'!K1240</f>
        <v>71</v>
      </c>
      <c r="DY176" s="269" t="str">
        <f>'FBMS-HND LEVEL TWO'!L1240</f>
        <v>B+</v>
      </c>
      <c r="DZ176" s="268">
        <f>'FBMS-HND LEVEL TWO'!E1276</f>
        <v>10</v>
      </c>
      <c r="EA176" s="258">
        <f>'FBMS-HND LEVEL TWO'!F1276</f>
        <v>28</v>
      </c>
      <c r="EB176" s="258">
        <f>'FBMS-HND LEVEL TWO'!J1276</f>
        <v>37</v>
      </c>
      <c r="EC176" s="258">
        <f>'FBMS-HND LEVEL TWO'!K1276</f>
        <v>75</v>
      </c>
      <c r="ED176" s="269" t="str">
        <f>'FBMS-HND LEVEL TWO'!L1276</f>
        <v>B+</v>
      </c>
    </row>
    <row r="177" spans="1:134" ht="17.25" customHeight="1" x14ac:dyDescent="0.3">
      <c r="A177" s="154">
        <v>51</v>
      </c>
      <c r="B177" s="12" t="s">
        <v>179</v>
      </c>
      <c r="C177" s="12" t="s">
        <v>134</v>
      </c>
      <c r="D177" s="12" t="s">
        <v>179</v>
      </c>
      <c r="E177" s="162">
        <f>'FBMS-HND LEVEL TWO'!E62</f>
        <v>8</v>
      </c>
      <c r="F177" s="157">
        <f>'FBMS-HND LEVEL TWO'!F62</f>
        <v>19</v>
      </c>
      <c r="G177" s="157">
        <f>'FBMS-HND LEVEL TWO'!J62</f>
        <v>24</v>
      </c>
      <c r="H177" s="158">
        <f>'FBMS-HND LEVEL TWO'!K62</f>
        <v>51</v>
      </c>
      <c r="I177" s="163" t="str">
        <f>'FBMS-HND LEVEL TWO'!L62</f>
        <v>C</v>
      </c>
      <c r="J177" s="164">
        <f>'FBMS-HND LEVEL TWO'!E131</f>
        <v>10</v>
      </c>
      <c r="K177" s="157">
        <f>'FBMS-HND LEVEL TWO'!F131</f>
        <v>25</v>
      </c>
      <c r="L177" s="157">
        <f>'FBMS-HND LEVEL TWO'!J131</f>
        <v>34</v>
      </c>
      <c r="M177" s="157">
        <f>'FBMS-HND LEVEL TWO'!K131</f>
        <v>69</v>
      </c>
      <c r="N177" s="165" t="str">
        <f>'FBMS-HND LEVEL TWO'!L131</f>
        <v>B</v>
      </c>
      <c r="O177" s="166">
        <f>'FBMS-HND LEVEL TWO'!E200</f>
        <v>8</v>
      </c>
      <c r="P177" s="157">
        <f>'FBMS-HND LEVEL TWO'!F200</f>
        <v>18</v>
      </c>
      <c r="Q177" s="157">
        <f>'FBMS-HND LEVEL TWO'!J200</f>
        <v>30</v>
      </c>
      <c r="R177" s="157">
        <f>'FBMS-HND LEVEL TWO'!K200</f>
        <v>56</v>
      </c>
      <c r="S177" s="163" t="str">
        <f>'FBMS-HND LEVEL TWO'!L200</f>
        <v>C+</v>
      </c>
      <c r="T177" s="164">
        <f>'FBMS-HND LEVEL TWO'!E272</f>
        <v>10</v>
      </c>
      <c r="U177" s="157">
        <f>'FBMS-HND LEVEL TWO'!F272</f>
        <v>21</v>
      </c>
      <c r="V177" s="157">
        <f>'FBMS-HND LEVEL TWO'!J272</f>
        <v>36</v>
      </c>
      <c r="W177" s="157">
        <f>'FBMS-HND LEVEL TWO'!K272</f>
        <v>67</v>
      </c>
      <c r="X177" s="165" t="str">
        <f>'FBMS-HND LEVEL TWO'!L272</f>
        <v>B</v>
      </c>
      <c r="Y177" s="166">
        <f>'FBMS-HND LEVEL TWO'!E346</f>
        <v>8</v>
      </c>
      <c r="Z177" s="157">
        <f>'FBMS-HND LEVEL TWO'!F346</f>
        <v>29</v>
      </c>
      <c r="AA177" s="157">
        <f>'FBMS-HND LEVEL TWO'!J346</f>
        <v>23</v>
      </c>
      <c r="AB177" s="157">
        <f>'FBMS-HND LEVEL TWO'!K346</f>
        <v>60</v>
      </c>
      <c r="AC177" s="157" t="str">
        <f>'FBMS-HND LEVEL TWO'!L346</f>
        <v>B</v>
      </c>
      <c r="AD177" s="164">
        <f>'FBMS-HND LEVEL TWO'!E402</f>
        <v>10</v>
      </c>
      <c r="AE177" s="157">
        <f>'FBMS-HND LEVEL TWO'!F402</f>
        <v>24</v>
      </c>
      <c r="AF177" s="157">
        <f>'FBMS-HND LEVEL TWO'!J402</f>
        <v>16</v>
      </c>
      <c r="AG177" s="157">
        <f>'FBMS-HND LEVEL TWO'!K402</f>
        <v>50</v>
      </c>
      <c r="AH177" s="165" t="str">
        <f>'FBMS-HND LEVEL TWO'!L402</f>
        <v>C</v>
      </c>
      <c r="AI177" s="266">
        <f>'FBMS-HND LEVEL TWO'!E472</f>
        <v>10</v>
      </c>
      <c r="AJ177" s="258">
        <f>'FBMS-HND LEVEL TWO'!F472</f>
        <v>22</v>
      </c>
      <c r="AK177" s="258">
        <f>'FBMS-HND LEVEL TWO'!J472</f>
        <v>38</v>
      </c>
      <c r="AL177" s="259">
        <f>'FBMS-HND LEVEL TWO'!K472</f>
        <v>70</v>
      </c>
      <c r="AM177" s="267" t="str">
        <f>'FBMS-HND LEVEL TWO'!L472</f>
        <v>B+</v>
      </c>
      <c r="AN177" s="268">
        <f>'FBMS-HND LEVEL TWO'!E547</f>
        <v>10</v>
      </c>
      <c r="AO177" s="258">
        <f>'FBMS-HND LEVEL TWO'!F547</f>
        <v>25</v>
      </c>
      <c r="AP177" s="258">
        <f>'FBMS-HND LEVEL TWO'!J547</f>
        <v>50</v>
      </c>
      <c r="AQ177" s="258">
        <f>'FBMS-HND LEVEL TWO'!K547</f>
        <v>85</v>
      </c>
      <c r="AR177" s="269" t="str">
        <f>'FBMS-HND LEVEL TWO'!L547</f>
        <v>A</v>
      </c>
      <c r="AS177" s="270">
        <f>'FBMS-HND LEVEL TWO'!E625</f>
        <v>10</v>
      </c>
      <c r="AT177" s="258">
        <f>'FBMS-HND LEVEL TWO'!F625</f>
        <v>23</v>
      </c>
      <c r="AU177" s="258">
        <f>'FBMS-HND LEVEL TWO'!J625</f>
        <v>39</v>
      </c>
      <c r="AV177" s="258">
        <f>'FBMS-HND LEVEL TWO'!K625</f>
        <v>72</v>
      </c>
      <c r="AW177" s="267" t="str">
        <f>'FBMS-HND LEVEL TWO'!L625</f>
        <v>B+</v>
      </c>
      <c r="AX177" s="268"/>
      <c r="AY177" s="258"/>
      <c r="AZ177" s="258"/>
      <c r="BA177" s="258"/>
      <c r="BB177" s="269"/>
      <c r="BC177" s="270"/>
      <c r="BD177" s="258"/>
      <c r="BE177" s="258"/>
      <c r="BF177" s="258"/>
      <c r="BG177" s="258"/>
      <c r="BH177" s="268"/>
      <c r="BI177" s="258"/>
      <c r="BJ177" s="258"/>
      <c r="BK177" s="258"/>
      <c r="BL177" s="269"/>
      <c r="BM177" s="268"/>
      <c r="BN177" s="258"/>
      <c r="BO177" s="258"/>
      <c r="BP177" s="258"/>
      <c r="BQ177" s="269"/>
      <c r="BR177" s="268"/>
      <c r="BS177" s="258"/>
      <c r="BT177" s="258"/>
      <c r="BU177" s="258"/>
      <c r="BV177" s="269"/>
      <c r="BW177" s="270"/>
      <c r="BX177" s="258"/>
      <c r="BY177" s="258"/>
      <c r="BZ177" s="258"/>
      <c r="CA177" s="267"/>
      <c r="CB177" s="268"/>
      <c r="CC177" s="258"/>
      <c r="CD177" s="258"/>
      <c r="CE177" s="258"/>
      <c r="CF177" s="269"/>
      <c r="CG177" s="270"/>
      <c r="CH177" s="258"/>
      <c r="CI177" s="258"/>
      <c r="CJ177" s="258"/>
      <c r="CK177" s="258"/>
      <c r="CL177" s="268"/>
      <c r="CM177" s="258"/>
      <c r="CN177" s="258"/>
      <c r="CO177" s="258"/>
      <c r="CP177" s="269"/>
      <c r="CQ177" s="266"/>
      <c r="CR177" s="258"/>
      <c r="CS177" s="258"/>
      <c r="CT177" s="259"/>
      <c r="CU177" s="267"/>
      <c r="CV177" s="268"/>
      <c r="CW177" s="258"/>
      <c r="CX177" s="258"/>
      <c r="CY177" s="258"/>
      <c r="CZ177" s="269"/>
      <c r="DA177" s="268"/>
      <c r="DB177" s="258"/>
      <c r="DC177" s="258"/>
      <c r="DD177" s="258"/>
      <c r="DE177" s="269"/>
      <c r="DF177" s="268"/>
      <c r="DG177" s="258"/>
      <c r="DH177" s="258"/>
      <c r="DI177" s="258"/>
      <c r="DJ177" s="269"/>
      <c r="DK177" s="268">
        <f>'FBMS-HND LEVEL TWO'!E1175</f>
        <v>10</v>
      </c>
      <c r="DL177" s="258">
        <f>'FBMS-HND LEVEL TWO'!F1175</f>
        <v>27</v>
      </c>
      <c r="DM177" s="258">
        <f>'FBMS-HND LEVEL TWO'!J1175</f>
        <v>38</v>
      </c>
      <c r="DN177" s="258">
        <f>'FBMS-HND LEVEL TWO'!K1175</f>
        <v>75</v>
      </c>
      <c r="DO177" s="269" t="str">
        <f>'FBMS-HND LEVEL TWO'!L1175</f>
        <v>B+</v>
      </c>
      <c r="DP177" s="268">
        <f>'FBMS-HND LEVEL TWO'!E1209</f>
        <v>10</v>
      </c>
      <c r="DQ177" s="258">
        <f>'FBMS-HND LEVEL TWO'!F1209</f>
        <v>28</v>
      </c>
      <c r="DR177" s="258">
        <f>'FBMS-HND LEVEL TWO'!J1209</f>
        <v>34</v>
      </c>
      <c r="DS177" s="258">
        <f>'FBMS-HND LEVEL TWO'!K1209</f>
        <v>72</v>
      </c>
      <c r="DT177" s="269" t="str">
        <f>'FBMS-HND LEVEL TWO'!L1209</f>
        <v>B+</v>
      </c>
      <c r="DU177" s="268">
        <f>'FBMS-HND LEVEL TWO'!E1241</f>
        <v>10</v>
      </c>
      <c r="DV177" s="258">
        <f>'FBMS-HND LEVEL TWO'!F1241</f>
        <v>22</v>
      </c>
      <c r="DW177" s="258">
        <f>'FBMS-HND LEVEL TWO'!J1241</f>
        <v>42</v>
      </c>
      <c r="DX177" s="258">
        <f>'FBMS-HND LEVEL TWO'!K1241</f>
        <v>74</v>
      </c>
      <c r="DY177" s="269" t="str">
        <f>'FBMS-HND LEVEL TWO'!L1241</f>
        <v>B+</v>
      </c>
      <c r="DZ177" s="268">
        <f>'FBMS-HND LEVEL TWO'!E1277</f>
        <v>10</v>
      </c>
      <c r="EA177" s="258">
        <f>'FBMS-HND LEVEL TWO'!F1277</f>
        <v>18</v>
      </c>
      <c r="EB177" s="258">
        <f>'FBMS-HND LEVEL TWO'!J1277</f>
        <v>22</v>
      </c>
      <c r="EC177" s="258">
        <f>'FBMS-HND LEVEL TWO'!K1277</f>
        <v>50</v>
      </c>
      <c r="ED177" s="269" t="str">
        <f>'FBMS-HND LEVEL TWO'!L1277</f>
        <v>C</v>
      </c>
    </row>
    <row r="178" spans="1:134" ht="17.25" customHeight="1" x14ac:dyDescent="0.3">
      <c r="A178" s="161">
        <v>52</v>
      </c>
      <c r="B178" s="12" t="s">
        <v>180</v>
      </c>
      <c r="C178" s="12" t="s">
        <v>136</v>
      </c>
      <c r="D178" s="12" t="s">
        <v>180</v>
      </c>
      <c r="E178" s="162">
        <f>'FBMS-HND LEVEL TWO'!E63</f>
        <v>8</v>
      </c>
      <c r="F178" s="157">
        <f>'FBMS-HND LEVEL TWO'!F63</f>
        <v>15</v>
      </c>
      <c r="G178" s="157">
        <f>'FBMS-HND LEVEL TWO'!J63</f>
        <v>30</v>
      </c>
      <c r="H178" s="158">
        <f>'FBMS-HND LEVEL TWO'!K63</f>
        <v>53</v>
      </c>
      <c r="I178" s="163" t="str">
        <f>'FBMS-HND LEVEL TWO'!L63</f>
        <v>C</v>
      </c>
      <c r="J178" s="164">
        <f>'FBMS-HND LEVEL TWO'!E132</f>
        <v>10</v>
      </c>
      <c r="K178" s="157">
        <f>'FBMS-HND LEVEL TWO'!F132</f>
        <v>9</v>
      </c>
      <c r="L178" s="157">
        <f>'FBMS-HND LEVEL TWO'!J132</f>
        <v>39</v>
      </c>
      <c r="M178" s="157">
        <f>'FBMS-HND LEVEL TWO'!K132</f>
        <v>58</v>
      </c>
      <c r="N178" s="165" t="str">
        <f>'FBMS-HND LEVEL TWO'!L132</f>
        <v>C+</v>
      </c>
      <c r="O178" s="166">
        <f>'FBMS-HND LEVEL TWO'!E201</f>
        <v>8</v>
      </c>
      <c r="P178" s="157">
        <f>'FBMS-HND LEVEL TWO'!F201</f>
        <v>18</v>
      </c>
      <c r="Q178" s="157">
        <f>'FBMS-HND LEVEL TWO'!J201</f>
        <v>35</v>
      </c>
      <c r="R178" s="157">
        <f>'FBMS-HND LEVEL TWO'!K201</f>
        <v>61</v>
      </c>
      <c r="S178" s="163" t="str">
        <f>'FBMS-HND LEVEL TWO'!L201</f>
        <v>B</v>
      </c>
      <c r="T178" s="164">
        <f>'FBMS-HND LEVEL TWO'!E273</f>
        <v>10</v>
      </c>
      <c r="U178" s="157">
        <f>'FBMS-HND LEVEL TWO'!F273</f>
        <v>22</v>
      </c>
      <c r="V178" s="157">
        <f>'FBMS-HND LEVEL TWO'!J273</f>
        <v>15</v>
      </c>
      <c r="W178" s="157">
        <f>'FBMS-HND LEVEL TWO'!K273</f>
        <v>47</v>
      </c>
      <c r="X178" s="165" t="str">
        <f>'FBMS-HND LEVEL TWO'!L273</f>
        <v>D+</v>
      </c>
      <c r="Y178" s="166">
        <f>'FBMS-HND LEVEL TWO'!E347</f>
        <v>8</v>
      </c>
      <c r="Z178" s="157">
        <f>'FBMS-HND LEVEL TWO'!F347</f>
        <v>21</v>
      </c>
      <c r="AA178" s="157">
        <f>'FBMS-HND LEVEL TWO'!J347</f>
        <v>26</v>
      </c>
      <c r="AB178" s="157">
        <f>'FBMS-HND LEVEL TWO'!K347</f>
        <v>55</v>
      </c>
      <c r="AC178" s="157" t="str">
        <f>'FBMS-HND LEVEL TWO'!L347</f>
        <v>C+</v>
      </c>
      <c r="AD178" s="164">
        <f>'FBMS-HND LEVEL TWO'!E403</f>
        <v>10</v>
      </c>
      <c r="AE178" s="157">
        <f>'FBMS-HND LEVEL TWO'!F403</f>
        <v>20</v>
      </c>
      <c r="AF178" s="157">
        <f>'FBMS-HND LEVEL TWO'!J403</f>
        <v>20</v>
      </c>
      <c r="AG178" s="157">
        <f>'FBMS-HND LEVEL TWO'!K403</f>
        <v>50</v>
      </c>
      <c r="AH178" s="165" t="str">
        <f>'FBMS-HND LEVEL TWO'!L403</f>
        <v>C</v>
      </c>
      <c r="AI178" s="266">
        <f>'FBMS-HND LEVEL TWO'!E473</f>
        <v>9</v>
      </c>
      <c r="AJ178" s="258">
        <f>'FBMS-HND LEVEL TWO'!F473</f>
        <v>23</v>
      </c>
      <c r="AK178" s="258">
        <f>'FBMS-HND LEVEL TWO'!J473</f>
        <v>45</v>
      </c>
      <c r="AL178" s="259">
        <f>'FBMS-HND LEVEL TWO'!K473</f>
        <v>77</v>
      </c>
      <c r="AM178" s="267" t="str">
        <f>'FBMS-HND LEVEL TWO'!L473</f>
        <v>B+</v>
      </c>
      <c r="AN178" s="268">
        <f>'FBMS-HND LEVEL TWO'!E548</f>
        <v>10</v>
      </c>
      <c r="AO178" s="258">
        <f>'FBMS-HND LEVEL TWO'!F548</f>
        <v>24</v>
      </c>
      <c r="AP178" s="258">
        <f>'FBMS-HND LEVEL TWO'!J548</f>
        <v>11</v>
      </c>
      <c r="AQ178" s="258">
        <f>'FBMS-HND LEVEL TWO'!K548</f>
        <v>45</v>
      </c>
      <c r="AR178" s="269" t="str">
        <f>'FBMS-HND LEVEL TWO'!L548</f>
        <v>D+</v>
      </c>
      <c r="AS178" s="270">
        <f>'FBMS-HND LEVEL TWO'!E626</f>
        <v>10</v>
      </c>
      <c r="AT178" s="258">
        <f>'FBMS-HND LEVEL TWO'!F626</f>
        <v>23</v>
      </c>
      <c r="AU178" s="258">
        <f>'FBMS-HND LEVEL TWO'!J626</f>
        <v>47</v>
      </c>
      <c r="AV178" s="258">
        <f>'FBMS-HND LEVEL TWO'!K626</f>
        <v>80</v>
      </c>
      <c r="AW178" s="267" t="str">
        <f>'FBMS-HND LEVEL TWO'!L626</f>
        <v>A</v>
      </c>
      <c r="AX178" s="268"/>
      <c r="AY178" s="258"/>
      <c r="AZ178" s="258"/>
      <c r="BA178" s="258"/>
      <c r="BB178" s="269"/>
      <c r="BC178" s="270"/>
      <c r="BD178" s="258"/>
      <c r="BE178" s="258"/>
      <c r="BF178" s="258"/>
      <c r="BG178" s="258"/>
      <c r="BH178" s="268"/>
      <c r="BI178" s="258"/>
      <c r="BJ178" s="258"/>
      <c r="BK178" s="258"/>
      <c r="BL178" s="269"/>
      <c r="BM178" s="268"/>
      <c r="BN178" s="258"/>
      <c r="BO178" s="258"/>
      <c r="BP178" s="258"/>
      <c r="BQ178" s="269"/>
      <c r="BR178" s="268"/>
      <c r="BS178" s="258"/>
      <c r="BT178" s="258"/>
      <c r="BU178" s="258"/>
      <c r="BV178" s="269"/>
      <c r="BW178" s="270"/>
      <c r="BX178" s="258"/>
      <c r="BY178" s="258"/>
      <c r="BZ178" s="258"/>
      <c r="CA178" s="267"/>
      <c r="CB178" s="268"/>
      <c r="CC178" s="258"/>
      <c r="CD178" s="258"/>
      <c r="CE178" s="258"/>
      <c r="CF178" s="269"/>
      <c r="CG178" s="270"/>
      <c r="CH178" s="258"/>
      <c r="CI178" s="258"/>
      <c r="CJ178" s="258"/>
      <c r="CK178" s="258"/>
      <c r="CL178" s="268"/>
      <c r="CM178" s="258"/>
      <c r="CN178" s="258"/>
      <c r="CO178" s="258"/>
      <c r="CP178" s="269"/>
      <c r="CQ178" s="266"/>
      <c r="CR178" s="258"/>
      <c r="CS178" s="258"/>
      <c r="CT178" s="259"/>
      <c r="CU178" s="267"/>
      <c r="CV178" s="268"/>
      <c r="CW178" s="258"/>
      <c r="CX178" s="258"/>
      <c r="CY178" s="258"/>
      <c r="CZ178" s="269"/>
      <c r="DA178" s="268"/>
      <c r="DB178" s="258"/>
      <c r="DC178" s="258"/>
      <c r="DD178" s="258"/>
      <c r="DE178" s="269"/>
      <c r="DF178" s="268"/>
      <c r="DG178" s="258"/>
      <c r="DH178" s="258"/>
      <c r="DI178" s="258"/>
      <c r="DJ178" s="269"/>
      <c r="DK178" s="268">
        <f>'FBMS-HND LEVEL TWO'!E1176</f>
        <v>10</v>
      </c>
      <c r="DL178" s="258">
        <f>'FBMS-HND LEVEL TWO'!F1176</f>
        <v>27</v>
      </c>
      <c r="DM178" s="258">
        <f>'FBMS-HND LEVEL TWO'!J1176</f>
        <v>46</v>
      </c>
      <c r="DN178" s="258">
        <f>'FBMS-HND LEVEL TWO'!K1176</f>
        <v>83</v>
      </c>
      <c r="DO178" s="269" t="str">
        <f>'FBMS-HND LEVEL TWO'!L1176</f>
        <v>A</v>
      </c>
      <c r="DP178" s="268">
        <f>'FBMS-HND LEVEL TWO'!E1210</f>
        <v>10</v>
      </c>
      <c r="DQ178" s="258">
        <f>'FBMS-HND LEVEL TWO'!F1210</f>
        <v>27</v>
      </c>
      <c r="DR178" s="258">
        <f>'FBMS-HND LEVEL TWO'!J1210</f>
        <v>40</v>
      </c>
      <c r="DS178" s="258">
        <f>'FBMS-HND LEVEL TWO'!K1210</f>
        <v>77</v>
      </c>
      <c r="DT178" s="269" t="str">
        <f>'FBMS-HND LEVEL TWO'!L1210</f>
        <v>B+</v>
      </c>
      <c r="DU178" s="268">
        <f>'FBMS-HND LEVEL TWO'!E1242</f>
        <v>9</v>
      </c>
      <c r="DV178" s="258">
        <f>'FBMS-HND LEVEL TWO'!F1242</f>
        <v>18</v>
      </c>
      <c r="DW178" s="258">
        <f>'FBMS-HND LEVEL TWO'!J1242</f>
        <v>37</v>
      </c>
      <c r="DX178" s="258">
        <f>'FBMS-HND LEVEL TWO'!K1242</f>
        <v>64</v>
      </c>
      <c r="DY178" s="269" t="str">
        <f>'FBMS-HND LEVEL TWO'!L1242</f>
        <v>B</v>
      </c>
      <c r="DZ178" s="268">
        <f>'FBMS-HND LEVEL TWO'!E1278</f>
        <v>9</v>
      </c>
      <c r="EA178" s="258">
        <f>'FBMS-HND LEVEL TWO'!F1278</f>
        <v>21</v>
      </c>
      <c r="EB178" s="258">
        <f>'FBMS-HND LEVEL TWO'!J1278</f>
        <v>30</v>
      </c>
      <c r="EC178" s="258">
        <f>'FBMS-HND LEVEL TWO'!K1278</f>
        <v>60</v>
      </c>
      <c r="ED178" s="269" t="str">
        <f>'FBMS-HND LEVEL TWO'!L1278</f>
        <v>B</v>
      </c>
    </row>
    <row r="179" spans="1:134" ht="17.25" customHeight="1" x14ac:dyDescent="0.3">
      <c r="A179" s="154">
        <v>53</v>
      </c>
      <c r="B179" s="12" t="s">
        <v>183</v>
      </c>
      <c r="C179" s="12" t="s">
        <v>140</v>
      </c>
      <c r="D179" s="12" t="s">
        <v>183</v>
      </c>
      <c r="E179" s="162">
        <f>'FBMS-HND LEVEL TWO'!E64</f>
        <v>8</v>
      </c>
      <c r="F179" s="157">
        <f>'FBMS-HND LEVEL TWO'!F64</f>
        <v>23</v>
      </c>
      <c r="G179" s="157">
        <f>'FBMS-HND LEVEL TWO'!J64</f>
        <v>26</v>
      </c>
      <c r="H179" s="158">
        <f>'FBMS-HND LEVEL TWO'!K64</f>
        <v>57</v>
      </c>
      <c r="I179" s="163" t="str">
        <f>'FBMS-HND LEVEL TWO'!L64</f>
        <v>C+</v>
      </c>
      <c r="J179" s="164">
        <f>'FBMS-HND LEVEL TWO'!E133</f>
        <v>9</v>
      </c>
      <c r="K179" s="157">
        <f>'FBMS-HND LEVEL TWO'!F133</f>
        <v>23</v>
      </c>
      <c r="L179" s="157">
        <f>'FBMS-HND LEVEL TWO'!J133</f>
        <v>42</v>
      </c>
      <c r="M179" s="157">
        <f>'FBMS-HND LEVEL TWO'!K133</f>
        <v>74</v>
      </c>
      <c r="N179" s="165" t="str">
        <f>'FBMS-HND LEVEL TWO'!L133</f>
        <v>B+</v>
      </c>
      <c r="O179" s="166">
        <f>'FBMS-HND LEVEL TWO'!E202</f>
        <v>9</v>
      </c>
      <c r="P179" s="157">
        <f>'FBMS-HND LEVEL TWO'!F202</f>
        <v>23</v>
      </c>
      <c r="Q179" s="157">
        <f>'FBMS-HND LEVEL TWO'!J202</f>
        <v>25</v>
      </c>
      <c r="R179" s="157">
        <f>'FBMS-HND LEVEL TWO'!K202</f>
        <v>57</v>
      </c>
      <c r="S179" s="163" t="str">
        <f>'FBMS-HND LEVEL TWO'!L202</f>
        <v>C+</v>
      </c>
      <c r="T179" s="164">
        <f>'FBMS-HND LEVEL TWO'!E274</f>
        <v>10</v>
      </c>
      <c r="U179" s="157">
        <f>'FBMS-HND LEVEL TWO'!F274</f>
        <v>23</v>
      </c>
      <c r="V179" s="157">
        <f>'FBMS-HND LEVEL TWO'!J274</f>
        <v>21</v>
      </c>
      <c r="W179" s="157">
        <f>'FBMS-HND LEVEL TWO'!K274</f>
        <v>54</v>
      </c>
      <c r="X179" s="165" t="str">
        <f>'FBMS-HND LEVEL TWO'!L274</f>
        <v>C</v>
      </c>
      <c r="Y179" s="166">
        <f>'FBMS-HND LEVEL TWO'!E348</f>
        <v>10</v>
      </c>
      <c r="Z179" s="157">
        <f>'FBMS-HND LEVEL TWO'!F348</f>
        <v>18</v>
      </c>
      <c r="AA179" s="157">
        <f>'FBMS-HND LEVEL TWO'!J348</f>
        <v>26</v>
      </c>
      <c r="AB179" s="157">
        <f>'FBMS-HND LEVEL TWO'!K348</f>
        <v>54</v>
      </c>
      <c r="AC179" s="157" t="str">
        <f>'FBMS-HND LEVEL TWO'!L348</f>
        <v>C</v>
      </c>
      <c r="AD179" s="164">
        <f>'FBMS-HND LEVEL TWO'!E404</f>
        <v>10</v>
      </c>
      <c r="AE179" s="157">
        <f>'FBMS-HND LEVEL TWO'!F404</f>
        <v>23</v>
      </c>
      <c r="AF179" s="157">
        <f>'FBMS-HND LEVEL TWO'!J404</f>
        <v>34</v>
      </c>
      <c r="AG179" s="157">
        <f>'FBMS-HND LEVEL TWO'!K404</f>
        <v>67</v>
      </c>
      <c r="AH179" s="165" t="str">
        <f>'FBMS-HND LEVEL TWO'!L404</f>
        <v>B</v>
      </c>
      <c r="AI179" s="266">
        <f>'FBMS-HND LEVEL TWO'!E474</f>
        <v>10</v>
      </c>
      <c r="AJ179" s="258">
        <f>'FBMS-HND LEVEL TWO'!F474</f>
        <v>23.5</v>
      </c>
      <c r="AK179" s="258">
        <f>'FBMS-HND LEVEL TWO'!J474</f>
        <v>51</v>
      </c>
      <c r="AL179" s="259">
        <f>'FBMS-HND LEVEL TWO'!K474</f>
        <v>84.5</v>
      </c>
      <c r="AM179" s="267" t="str">
        <f>'FBMS-HND LEVEL TWO'!L474</f>
        <v>A</v>
      </c>
      <c r="AN179" s="268">
        <f>'FBMS-HND LEVEL TWO'!E549</f>
        <v>10</v>
      </c>
      <c r="AO179" s="258">
        <f>'FBMS-HND LEVEL TWO'!F549</f>
        <v>23</v>
      </c>
      <c r="AP179" s="258">
        <f>'FBMS-HND LEVEL TWO'!J549</f>
        <v>37</v>
      </c>
      <c r="AQ179" s="258">
        <f>'FBMS-HND LEVEL TWO'!K549</f>
        <v>70</v>
      </c>
      <c r="AR179" s="269" t="str">
        <f>'FBMS-HND LEVEL TWO'!L549</f>
        <v>B+</v>
      </c>
      <c r="AS179" s="270">
        <f>'FBMS-HND LEVEL TWO'!E627</f>
        <v>8</v>
      </c>
      <c r="AT179" s="258">
        <f>'FBMS-HND LEVEL TWO'!F627</f>
        <v>23</v>
      </c>
      <c r="AU179" s="258">
        <f>'FBMS-HND LEVEL TWO'!J627</f>
        <v>33</v>
      </c>
      <c r="AV179" s="258">
        <f>'FBMS-HND LEVEL TWO'!K627</f>
        <v>64</v>
      </c>
      <c r="AW179" s="267" t="str">
        <f>'FBMS-HND LEVEL TWO'!L627</f>
        <v>B</v>
      </c>
      <c r="AX179" s="268"/>
      <c r="AY179" s="258"/>
      <c r="AZ179" s="258"/>
      <c r="BA179" s="258"/>
      <c r="BB179" s="269"/>
      <c r="BC179" s="270"/>
      <c r="BD179" s="258"/>
      <c r="BE179" s="258"/>
      <c r="BF179" s="258"/>
      <c r="BG179" s="258"/>
      <c r="BH179" s="268"/>
      <c r="BI179" s="258"/>
      <c r="BJ179" s="258"/>
      <c r="BK179" s="258"/>
      <c r="BL179" s="269"/>
      <c r="BM179" s="268"/>
      <c r="BN179" s="258"/>
      <c r="BO179" s="258"/>
      <c r="BP179" s="258"/>
      <c r="BQ179" s="269"/>
      <c r="BR179" s="268"/>
      <c r="BS179" s="258"/>
      <c r="BT179" s="258"/>
      <c r="BU179" s="258"/>
      <c r="BV179" s="269"/>
      <c r="BW179" s="270"/>
      <c r="BX179" s="258"/>
      <c r="BY179" s="258"/>
      <c r="BZ179" s="258"/>
      <c r="CA179" s="267"/>
      <c r="CB179" s="268"/>
      <c r="CC179" s="258"/>
      <c r="CD179" s="258"/>
      <c r="CE179" s="258"/>
      <c r="CF179" s="269"/>
      <c r="CG179" s="270"/>
      <c r="CH179" s="258"/>
      <c r="CI179" s="258"/>
      <c r="CJ179" s="258"/>
      <c r="CK179" s="258"/>
      <c r="CL179" s="268"/>
      <c r="CM179" s="258"/>
      <c r="CN179" s="258"/>
      <c r="CO179" s="258"/>
      <c r="CP179" s="269"/>
      <c r="CQ179" s="266"/>
      <c r="CR179" s="258"/>
      <c r="CS179" s="258"/>
      <c r="CT179" s="259"/>
      <c r="CU179" s="267"/>
      <c r="CV179" s="268"/>
      <c r="CW179" s="258"/>
      <c r="CX179" s="258"/>
      <c r="CY179" s="258"/>
      <c r="CZ179" s="269"/>
      <c r="DA179" s="268"/>
      <c r="DB179" s="258"/>
      <c r="DC179" s="258"/>
      <c r="DD179" s="258"/>
      <c r="DE179" s="269"/>
      <c r="DF179" s="268"/>
      <c r="DG179" s="258"/>
      <c r="DH179" s="258"/>
      <c r="DI179" s="258"/>
      <c r="DJ179" s="269"/>
      <c r="DK179" s="268">
        <f>'FBMS-HND LEVEL TWO'!E1177</f>
        <v>10</v>
      </c>
      <c r="DL179" s="258">
        <f>'FBMS-HND LEVEL TWO'!F1177</f>
        <v>26</v>
      </c>
      <c r="DM179" s="258">
        <f>'FBMS-HND LEVEL TWO'!J1177</f>
        <v>50</v>
      </c>
      <c r="DN179" s="258">
        <f>'FBMS-HND LEVEL TWO'!K1177</f>
        <v>86</v>
      </c>
      <c r="DO179" s="269" t="str">
        <f>'FBMS-HND LEVEL TWO'!L1177</f>
        <v>A</v>
      </c>
      <c r="DP179" s="268">
        <f>'FBMS-HND LEVEL TWO'!E1211</f>
        <v>10</v>
      </c>
      <c r="DQ179" s="258">
        <f>'FBMS-HND LEVEL TWO'!F1211</f>
        <v>26</v>
      </c>
      <c r="DR179" s="258">
        <f>'FBMS-HND LEVEL TWO'!J1211</f>
        <v>50</v>
      </c>
      <c r="DS179" s="258">
        <f>'FBMS-HND LEVEL TWO'!K1211</f>
        <v>86</v>
      </c>
      <c r="DT179" s="269" t="str">
        <f>'FBMS-HND LEVEL TWO'!L1211</f>
        <v>A</v>
      </c>
      <c r="DU179" s="268">
        <f>'FBMS-HND LEVEL TWO'!E1243</f>
        <v>9</v>
      </c>
      <c r="DV179" s="258">
        <f>'FBMS-HND LEVEL TWO'!F1243</f>
        <v>12</v>
      </c>
      <c r="DW179" s="258">
        <f>'FBMS-HND LEVEL TWO'!J1243</f>
        <v>36</v>
      </c>
      <c r="DX179" s="258">
        <f>'FBMS-HND LEVEL TWO'!K1243</f>
        <v>57</v>
      </c>
      <c r="DY179" s="269" t="str">
        <f>'FBMS-HND LEVEL TWO'!L1243</f>
        <v>C+</v>
      </c>
      <c r="DZ179" s="268">
        <f>'FBMS-HND LEVEL TWO'!E1279</f>
        <v>9</v>
      </c>
      <c r="EA179" s="258">
        <f>'FBMS-HND LEVEL TWO'!F1279</f>
        <v>24</v>
      </c>
      <c r="EB179" s="258">
        <f>'FBMS-HND LEVEL TWO'!J1279</f>
        <v>34</v>
      </c>
      <c r="EC179" s="258">
        <f>'FBMS-HND LEVEL TWO'!K1279</f>
        <v>67</v>
      </c>
      <c r="ED179" s="269" t="str">
        <f>'FBMS-HND LEVEL TWO'!L1279</f>
        <v>B</v>
      </c>
    </row>
    <row r="180" spans="1:134" ht="17.25" customHeight="1" x14ac:dyDescent="0.3">
      <c r="A180" s="161">
        <v>54</v>
      </c>
      <c r="B180" s="12" t="s">
        <v>184</v>
      </c>
      <c r="C180" s="12" t="s">
        <v>142</v>
      </c>
      <c r="D180" s="12" t="s">
        <v>184</v>
      </c>
      <c r="E180" s="162">
        <f>'FBMS-HND LEVEL TWO'!E65</f>
        <v>8</v>
      </c>
      <c r="F180" s="157">
        <f>'FBMS-HND LEVEL TWO'!F65</f>
        <v>15</v>
      </c>
      <c r="G180" s="157">
        <f>'FBMS-HND LEVEL TWO'!J65</f>
        <v>31</v>
      </c>
      <c r="H180" s="158">
        <f>'FBMS-HND LEVEL TWO'!K65</f>
        <v>54</v>
      </c>
      <c r="I180" s="163" t="str">
        <f>'FBMS-HND LEVEL TWO'!L65</f>
        <v>C</v>
      </c>
      <c r="J180" s="164">
        <f>'FBMS-HND LEVEL TWO'!E134</f>
        <v>9</v>
      </c>
      <c r="K180" s="157">
        <f>'FBMS-HND LEVEL TWO'!F134</f>
        <v>24</v>
      </c>
      <c r="L180" s="157">
        <f>'FBMS-HND LEVEL TWO'!J134</f>
        <v>41</v>
      </c>
      <c r="M180" s="157">
        <f>'FBMS-HND LEVEL TWO'!K134</f>
        <v>74</v>
      </c>
      <c r="N180" s="165" t="str">
        <f>'FBMS-HND LEVEL TWO'!L134</f>
        <v>B+</v>
      </c>
      <c r="O180" s="166">
        <f>'FBMS-HND LEVEL TWO'!E203</f>
        <v>7.5</v>
      </c>
      <c r="P180" s="157">
        <f>'FBMS-HND LEVEL TWO'!F203</f>
        <v>20</v>
      </c>
      <c r="Q180" s="157">
        <f>'FBMS-HND LEVEL TWO'!J203</f>
        <v>40</v>
      </c>
      <c r="R180" s="157">
        <f>'FBMS-HND LEVEL TWO'!K203</f>
        <v>67.5</v>
      </c>
      <c r="S180" s="163" t="str">
        <f>'FBMS-HND LEVEL TWO'!L203</f>
        <v>B</v>
      </c>
      <c r="T180" s="164">
        <f>'FBMS-HND LEVEL TWO'!E275</f>
        <v>8</v>
      </c>
      <c r="U180" s="157">
        <f>'FBMS-HND LEVEL TWO'!F275</f>
        <v>20</v>
      </c>
      <c r="V180" s="157">
        <f>'FBMS-HND LEVEL TWO'!J275</f>
        <v>36</v>
      </c>
      <c r="W180" s="157">
        <f>'FBMS-HND LEVEL TWO'!K275</f>
        <v>64</v>
      </c>
      <c r="X180" s="165" t="str">
        <f>'FBMS-HND LEVEL TWO'!L275</f>
        <v>B</v>
      </c>
      <c r="Y180" s="166">
        <f>'FBMS-HND LEVEL TWO'!E349</f>
        <v>8</v>
      </c>
      <c r="Z180" s="157">
        <f>'FBMS-HND LEVEL TWO'!F349</f>
        <v>26</v>
      </c>
      <c r="AA180" s="157">
        <f>'FBMS-HND LEVEL TWO'!J349</f>
        <v>24</v>
      </c>
      <c r="AB180" s="157">
        <f>'FBMS-HND LEVEL TWO'!K349</f>
        <v>58</v>
      </c>
      <c r="AC180" s="157" t="str">
        <f>'FBMS-HND LEVEL TWO'!L349</f>
        <v>C+</v>
      </c>
      <c r="AD180" s="164">
        <f>'FBMS-HND LEVEL TWO'!E405</f>
        <v>10</v>
      </c>
      <c r="AE180" s="157">
        <f>'FBMS-HND LEVEL TWO'!F405</f>
        <v>26</v>
      </c>
      <c r="AF180" s="157">
        <f>'FBMS-HND LEVEL TWO'!J405</f>
        <v>21</v>
      </c>
      <c r="AG180" s="157">
        <f>'FBMS-HND LEVEL TWO'!K405</f>
        <v>57</v>
      </c>
      <c r="AH180" s="165" t="str">
        <f>'FBMS-HND LEVEL TWO'!L405</f>
        <v>C+</v>
      </c>
      <c r="AI180" s="266">
        <f>'FBMS-HND LEVEL TWO'!E475</f>
        <v>8</v>
      </c>
      <c r="AJ180" s="258">
        <f>'FBMS-HND LEVEL TWO'!F475</f>
        <v>19</v>
      </c>
      <c r="AK180" s="258">
        <f>'FBMS-HND LEVEL TWO'!J475</f>
        <v>42</v>
      </c>
      <c r="AL180" s="259">
        <f>'FBMS-HND LEVEL TWO'!K475</f>
        <v>69</v>
      </c>
      <c r="AM180" s="267" t="str">
        <f>'FBMS-HND LEVEL TWO'!L475</f>
        <v>B</v>
      </c>
      <c r="AN180" s="268">
        <f>'FBMS-HND LEVEL TWO'!E550</f>
        <v>10</v>
      </c>
      <c r="AO180" s="258">
        <f>'FBMS-HND LEVEL TWO'!F550</f>
        <v>17</v>
      </c>
      <c r="AP180" s="258">
        <f>'FBMS-HND LEVEL TWO'!J550</f>
        <v>40</v>
      </c>
      <c r="AQ180" s="258">
        <f>'FBMS-HND LEVEL TWO'!K550</f>
        <v>67</v>
      </c>
      <c r="AR180" s="269" t="str">
        <f>'FBMS-HND LEVEL TWO'!L550</f>
        <v>B</v>
      </c>
      <c r="AS180" s="270">
        <f>'FBMS-HND LEVEL TWO'!E628</f>
        <v>8</v>
      </c>
      <c r="AT180" s="258">
        <f>'FBMS-HND LEVEL TWO'!F628</f>
        <v>23</v>
      </c>
      <c r="AU180" s="258">
        <f>'FBMS-HND LEVEL TWO'!J628</f>
        <v>50</v>
      </c>
      <c r="AV180" s="258">
        <f>'FBMS-HND LEVEL TWO'!K628</f>
        <v>81</v>
      </c>
      <c r="AW180" s="267" t="str">
        <f>'FBMS-HND LEVEL TWO'!L628</f>
        <v>A</v>
      </c>
      <c r="AX180" s="268"/>
      <c r="AY180" s="258"/>
      <c r="AZ180" s="258"/>
      <c r="BA180" s="258"/>
      <c r="BB180" s="269"/>
      <c r="BC180" s="270"/>
      <c r="BD180" s="258"/>
      <c r="BE180" s="258"/>
      <c r="BF180" s="258"/>
      <c r="BG180" s="258"/>
      <c r="BH180" s="268"/>
      <c r="BI180" s="258"/>
      <c r="BJ180" s="258"/>
      <c r="BK180" s="258"/>
      <c r="BL180" s="269"/>
      <c r="BM180" s="268"/>
      <c r="BN180" s="258"/>
      <c r="BO180" s="258"/>
      <c r="BP180" s="258"/>
      <c r="BQ180" s="269"/>
      <c r="BR180" s="268"/>
      <c r="BS180" s="258"/>
      <c r="BT180" s="258"/>
      <c r="BU180" s="258"/>
      <c r="BV180" s="269"/>
      <c r="BW180" s="270"/>
      <c r="BX180" s="258"/>
      <c r="BY180" s="258"/>
      <c r="BZ180" s="258"/>
      <c r="CA180" s="267"/>
      <c r="CB180" s="268"/>
      <c r="CC180" s="258"/>
      <c r="CD180" s="258"/>
      <c r="CE180" s="258"/>
      <c r="CF180" s="269"/>
      <c r="CG180" s="270"/>
      <c r="CH180" s="258"/>
      <c r="CI180" s="258"/>
      <c r="CJ180" s="258"/>
      <c r="CK180" s="258"/>
      <c r="CL180" s="268"/>
      <c r="CM180" s="258"/>
      <c r="CN180" s="258"/>
      <c r="CO180" s="258"/>
      <c r="CP180" s="269"/>
      <c r="CQ180" s="266"/>
      <c r="CR180" s="258"/>
      <c r="CS180" s="258"/>
      <c r="CT180" s="259"/>
      <c r="CU180" s="267"/>
      <c r="CV180" s="268"/>
      <c r="CW180" s="258"/>
      <c r="CX180" s="258"/>
      <c r="CY180" s="258"/>
      <c r="CZ180" s="269"/>
      <c r="DA180" s="268"/>
      <c r="DB180" s="258"/>
      <c r="DC180" s="258"/>
      <c r="DD180" s="258"/>
      <c r="DE180" s="269"/>
      <c r="DF180" s="268"/>
      <c r="DG180" s="258"/>
      <c r="DH180" s="258"/>
      <c r="DI180" s="258"/>
      <c r="DJ180" s="269"/>
      <c r="DK180" s="268">
        <f>'FBMS-HND LEVEL TWO'!E1178</f>
        <v>9</v>
      </c>
      <c r="DL180" s="258">
        <f>'FBMS-HND LEVEL TWO'!F1178</f>
        <v>26</v>
      </c>
      <c r="DM180" s="258">
        <f>'FBMS-HND LEVEL TWO'!J1178</f>
        <v>34</v>
      </c>
      <c r="DN180" s="258">
        <f>'FBMS-HND LEVEL TWO'!K1178</f>
        <v>69</v>
      </c>
      <c r="DO180" s="269" t="str">
        <f>'FBMS-HND LEVEL TWO'!L1178</f>
        <v>B</v>
      </c>
      <c r="DP180" s="268">
        <f>'FBMS-HND LEVEL TWO'!E1212</f>
        <v>10</v>
      </c>
      <c r="DQ180" s="258">
        <f>'FBMS-HND LEVEL TWO'!F1212</f>
        <v>26</v>
      </c>
      <c r="DR180" s="258">
        <f>'FBMS-HND LEVEL TWO'!J1212</f>
        <v>43</v>
      </c>
      <c r="DS180" s="258">
        <f>'FBMS-HND LEVEL TWO'!K1212</f>
        <v>79</v>
      </c>
      <c r="DT180" s="269" t="str">
        <f>'FBMS-HND LEVEL TWO'!L1212</f>
        <v>B+</v>
      </c>
      <c r="DU180" s="268">
        <f>'FBMS-HND LEVEL TWO'!E1244</f>
        <v>9</v>
      </c>
      <c r="DV180" s="258">
        <f>'FBMS-HND LEVEL TWO'!F1244</f>
        <v>14</v>
      </c>
      <c r="DW180" s="258">
        <f>'FBMS-HND LEVEL TWO'!J1244</f>
        <v>30</v>
      </c>
      <c r="DX180" s="258">
        <f>'FBMS-HND LEVEL TWO'!K1244</f>
        <v>53</v>
      </c>
      <c r="DY180" s="269" t="str">
        <f>'FBMS-HND LEVEL TWO'!L1244</f>
        <v>C</v>
      </c>
      <c r="DZ180" s="268">
        <f>'FBMS-HND LEVEL TWO'!E1280</f>
        <v>9</v>
      </c>
      <c r="EA180" s="258">
        <f>'FBMS-HND LEVEL TWO'!F1280</f>
        <v>12</v>
      </c>
      <c r="EB180" s="258">
        <f>'FBMS-HND LEVEL TWO'!J1280</f>
        <v>42</v>
      </c>
      <c r="EC180" s="258">
        <f>'FBMS-HND LEVEL TWO'!K1280</f>
        <v>63</v>
      </c>
      <c r="ED180" s="269" t="str">
        <f>'FBMS-HND LEVEL TWO'!L1280</f>
        <v>B</v>
      </c>
    </row>
    <row r="181" spans="1:134" ht="17.25" customHeight="1" thickBot="1" x14ac:dyDescent="0.35">
      <c r="A181" s="161">
        <v>55</v>
      </c>
      <c r="B181" s="368" t="s">
        <v>532</v>
      </c>
      <c r="C181" s="368" t="s">
        <v>533</v>
      </c>
      <c r="D181" s="375"/>
      <c r="E181" s="162"/>
      <c r="F181" s="157"/>
      <c r="G181" s="157"/>
      <c r="H181" s="158"/>
      <c r="I181" s="163"/>
      <c r="J181" s="164"/>
      <c r="K181" s="157"/>
      <c r="L181" s="157"/>
      <c r="M181" s="157"/>
      <c r="N181" s="165"/>
      <c r="O181" s="166"/>
      <c r="P181" s="157"/>
      <c r="Q181" s="157"/>
      <c r="R181" s="157"/>
      <c r="S181" s="163"/>
      <c r="T181" s="164"/>
      <c r="U181" s="157"/>
      <c r="V181" s="157"/>
      <c r="W181" s="157"/>
      <c r="X181" s="165"/>
      <c r="Y181" s="166"/>
      <c r="Z181" s="157"/>
      <c r="AA181" s="157"/>
      <c r="AB181" s="157"/>
      <c r="AC181" s="157"/>
      <c r="AD181" s="164"/>
      <c r="AE181" s="157"/>
      <c r="AF181" s="157"/>
      <c r="AG181" s="157"/>
      <c r="AH181" s="165"/>
      <c r="AI181" s="266"/>
      <c r="AJ181" s="258"/>
      <c r="AK181" s="258"/>
      <c r="AL181" s="259"/>
      <c r="AM181" s="267"/>
      <c r="AN181" s="268"/>
      <c r="AO181" s="258"/>
      <c r="AP181" s="258"/>
      <c r="AQ181" s="258"/>
      <c r="AR181" s="269"/>
      <c r="AS181" s="270"/>
      <c r="AT181" s="258"/>
      <c r="AU181" s="258"/>
      <c r="AV181" s="258"/>
      <c r="AW181" s="267"/>
      <c r="AX181" s="268"/>
      <c r="AY181" s="258"/>
      <c r="AZ181" s="258"/>
      <c r="BA181" s="258"/>
      <c r="BB181" s="269"/>
      <c r="BC181" s="270"/>
      <c r="BD181" s="258"/>
      <c r="BE181" s="258"/>
      <c r="BF181" s="258"/>
      <c r="BG181" s="258"/>
      <c r="BH181" s="342">
        <f>'FBMS-HND LEVEL TWO'!E777</f>
        <v>7.5</v>
      </c>
      <c r="BI181" s="342">
        <f>'FBMS-HND LEVEL TWO'!F777</f>
        <v>18</v>
      </c>
      <c r="BJ181" s="342">
        <f>'FBMS-HND LEVEL TWO'!J777</f>
        <v>28</v>
      </c>
      <c r="BK181" s="342">
        <f>'FBMS-HND LEVEL TWO'!K777</f>
        <v>53.5</v>
      </c>
      <c r="BL181" s="342" t="str">
        <f>'FBMS-HND LEVEL TWO'!L777</f>
        <v>C</v>
      </c>
      <c r="BM181" s="268"/>
      <c r="BN181" s="258"/>
      <c r="BO181" s="258"/>
      <c r="BP181" s="258"/>
      <c r="BQ181" s="269"/>
      <c r="BR181" s="268"/>
      <c r="BS181" s="258"/>
      <c r="BT181" s="258"/>
      <c r="BU181" s="258"/>
      <c r="BV181" s="269"/>
      <c r="BW181" s="270"/>
      <c r="BX181" s="258"/>
      <c r="BY181" s="258"/>
      <c r="BZ181" s="258"/>
      <c r="CA181" s="267"/>
      <c r="CB181" s="268"/>
      <c r="CC181" s="258"/>
      <c r="CD181" s="258"/>
      <c r="CE181" s="258"/>
      <c r="CF181" s="269"/>
      <c r="CG181" s="270"/>
      <c r="CH181" s="258"/>
      <c r="CI181" s="258"/>
      <c r="CJ181" s="258"/>
      <c r="CK181" s="258"/>
      <c r="CL181" s="268"/>
      <c r="CM181" s="258"/>
      <c r="CN181" s="258"/>
      <c r="CO181" s="258"/>
      <c r="CP181" s="269"/>
      <c r="CQ181" s="266"/>
      <c r="CR181" s="258"/>
      <c r="CS181" s="258"/>
      <c r="CT181" s="259"/>
      <c r="CU181" s="267"/>
      <c r="CV181" s="268"/>
      <c r="CW181" s="258"/>
      <c r="CX181" s="258"/>
      <c r="CY181" s="258"/>
      <c r="CZ181" s="269"/>
      <c r="DA181" s="268"/>
      <c r="DB181" s="258"/>
      <c r="DC181" s="258"/>
      <c r="DD181" s="258"/>
      <c r="DE181" s="269"/>
      <c r="DF181" s="268"/>
      <c r="DG181" s="258"/>
      <c r="DH181" s="258"/>
      <c r="DI181" s="258"/>
      <c r="DJ181" s="269"/>
      <c r="DK181" s="268"/>
      <c r="DL181" s="258"/>
      <c r="DM181" s="258"/>
      <c r="DN181" s="258"/>
      <c r="DO181" s="269"/>
      <c r="DP181" s="268"/>
      <c r="DQ181" s="258"/>
      <c r="DR181" s="258"/>
      <c r="DS181" s="258"/>
      <c r="DT181" s="269"/>
      <c r="DU181" s="268"/>
      <c r="DV181" s="258"/>
      <c r="DW181" s="258"/>
      <c r="DX181" s="258"/>
      <c r="DY181" s="269"/>
      <c r="DZ181" s="268"/>
      <c r="EA181" s="258"/>
      <c r="EB181" s="258"/>
      <c r="EC181" s="258"/>
      <c r="ED181" s="269"/>
    </row>
    <row r="182" spans="1:134" ht="17.25" customHeight="1" x14ac:dyDescent="0.3">
      <c r="A182" s="161"/>
      <c r="B182" s="155"/>
      <c r="C182" s="5"/>
      <c r="D182" s="375"/>
      <c r="E182" s="162"/>
      <c r="F182" s="157"/>
      <c r="G182" s="157"/>
      <c r="H182" s="158"/>
      <c r="I182" s="163"/>
      <c r="J182" s="164"/>
      <c r="K182" s="157"/>
      <c r="L182" s="157"/>
      <c r="M182" s="157"/>
      <c r="N182" s="165"/>
      <c r="O182" s="166"/>
      <c r="P182" s="157"/>
      <c r="Q182" s="157"/>
      <c r="R182" s="157"/>
      <c r="S182" s="163"/>
      <c r="T182" s="164"/>
      <c r="U182" s="157"/>
      <c r="V182" s="157"/>
      <c r="W182" s="157"/>
      <c r="X182" s="165"/>
      <c r="Y182" s="166"/>
      <c r="Z182" s="157"/>
      <c r="AA182" s="157"/>
      <c r="AB182" s="157"/>
      <c r="AC182" s="157"/>
      <c r="AD182" s="164"/>
      <c r="AE182" s="157"/>
      <c r="AF182" s="157"/>
      <c r="AG182" s="157"/>
      <c r="AH182" s="165"/>
      <c r="AI182" s="266"/>
      <c r="AJ182" s="258"/>
      <c r="AK182" s="258"/>
      <c r="AL182" s="259"/>
      <c r="AM182" s="267"/>
      <c r="AN182" s="268"/>
      <c r="AO182" s="258"/>
      <c r="AP182" s="258"/>
      <c r="AQ182" s="258"/>
      <c r="AR182" s="269"/>
      <c r="AS182" s="270"/>
      <c r="AT182" s="258"/>
      <c r="AU182" s="258"/>
      <c r="AV182" s="258"/>
      <c r="AW182" s="267"/>
      <c r="AX182" s="268"/>
      <c r="AY182" s="258"/>
      <c r="AZ182" s="258"/>
      <c r="BA182" s="258"/>
      <c r="BB182" s="269"/>
      <c r="BC182" s="270"/>
      <c r="BD182" s="258"/>
      <c r="BE182" s="258"/>
      <c r="BF182" s="258"/>
      <c r="BG182" s="258"/>
      <c r="BH182" s="268"/>
      <c r="BI182" s="258"/>
      <c r="BJ182" s="258"/>
      <c r="BK182" s="258"/>
      <c r="BL182" s="269"/>
      <c r="BM182" s="268"/>
      <c r="BN182" s="258"/>
      <c r="BO182" s="258"/>
      <c r="BP182" s="258"/>
      <c r="BQ182" s="269"/>
      <c r="BR182" s="268"/>
      <c r="BS182" s="258"/>
      <c r="BT182" s="258"/>
      <c r="BU182" s="258"/>
      <c r="BV182" s="269"/>
      <c r="BW182" s="270"/>
      <c r="BX182" s="258"/>
      <c r="BY182" s="258"/>
      <c r="BZ182" s="258"/>
      <c r="CA182" s="267"/>
      <c r="CB182" s="268"/>
      <c r="CC182" s="258"/>
      <c r="CD182" s="258"/>
      <c r="CE182" s="258"/>
      <c r="CF182" s="269"/>
      <c r="CG182" s="270"/>
      <c r="CH182" s="258"/>
      <c r="CI182" s="258"/>
      <c r="CJ182" s="258"/>
      <c r="CK182" s="258"/>
      <c r="CL182" s="268"/>
      <c r="CM182" s="258"/>
      <c r="CN182" s="258"/>
      <c r="CO182" s="258"/>
      <c r="CP182" s="269"/>
      <c r="CQ182" s="266"/>
      <c r="CR182" s="258"/>
      <c r="CS182" s="258"/>
      <c r="CT182" s="259"/>
      <c r="CU182" s="267"/>
      <c r="CV182" s="268"/>
      <c r="CW182" s="258"/>
      <c r="CX182" s="258"/>
      <c r="CY182" s="258"/>
      <c r="CZ182" s="269"/>
      <c r="DA182" s="268"/>
      <c r="DB182" s="258"/>
      <c r="DC182" s="258"/>
      <c r="DD182" s="258"/>
      <c r="DE182" s="269"/>
      <c r="DF182" s="268"/>
      <c r="DG182" s="258"/>
      <c r="DH182" s="258"/>
      <c r="DI182" s="258"/>
      <c r="DJ182" s="269"/>
      <c r="DK182" s="268"/>
      <c r="DL182" s="258"/>
      <c r="DM182" s="258"/>
      <c r="DN182" s="258"/>
      <c r="DO182" s="269"/>
      <c r="DP182" s="268"/>
      <c r="DQ182" s="258"/>
      <c r="DR182" s="258"/>
      <c r="DS182" s="258"/>
      <c r="DT182" s="269"/>
      <c r="DU182" s="268"/>
      <c r="DV182" s="258"/>
      <c r="DW182" s="258"/>
      <c r="DX182" s="258"/>
      <c r="DY182" s="269"/>
      <c r="DZ182" s="268"/>
      <c r="EA182" s="258"/>
      <c r="EB182" s="258"/>
      <c r="EC182" s="258"/>
      <c r="ED182" s="269"/>
    </row>
    <row r="183" spans="1:134" ht="19.5" customHeight="1" thickBot="1" x14ac:dyDescent="0.35">
      <c r="A183" s="161"/>
      <c r="B183" s="155"/>
      <c r="C183" s="5"/>
      <c r="D183" s="375"/>
      <c r="E183" s="162"/>
      <c r="F183" s="157"/>
      <c r="G183" s="157"/>
      <c r="H183" s="158"/>
      <c r="I183" s="163"/>
      <c r="J183" s="164"/>
      <c r="K183" s="157"/>
      <c r="L183" s="157"/>
      <c r="M183" s="157"/>
      <c r="N183" s="165"/>
      <c r="O183" s="166"/>
      <c r="P183" s="157"/>
      <c r="Q183" s="157"/>
      <c r="R183" s="157"/>
      <c r="S183" s="163"/>
      <c r="T183" s="164"/>
      <c r="U183" s="157"/>
      <c r="V183" s="157"/>
      <c r="W183" s="157"/>
      <c r="X183" s="165"/>
      <c r="Y183" s="166"/>
      <c r="Z183" s="157"/>
      <c r="AA183" s="157"/>
      <c r="AB183" s="157"/>
      <c r="AC183" s="157"/>
      <c r="AD183" s="164"/>
      <c r="AE183" s="157"/>
      <c r="AF183" s="157"/>
      <c r="AG183" s="157"/>
      <c r="AH183" s="165"/>
      <c r="AI183" s="266"/>
      <c r="AJ183" s="258"/>
      <c r="AK183" s="258"/>
      <c r="AL183" s="259"/>
      <c r="AM183" s="267"/>
      <c r="AN183" s="268"/>
      <c r="AO183" s="258"/>
      <c r="AP183" s="258"/>
      <c r="AQ183" s="258"/>
      <c r="AR183" s="269"/>
      <c r="AS183" s="270"/>
      <c r="AT183" s="258"/>
      <c r="AU183" s="258"/>
      <c r="AV183" s="258"/>
      <c r="AW183" s="267"/>
      <c r="AX183" s="268"/>
      <c r="AY183" s="258"/>
      <c r="AZ183" s="258"/>
      <c r="BA183" s="258"/>
      <c r="BB183" s="269"/>
      <c r="BC183" s="270"/>
      <c r="BD183" s="258"/>
      <c r="BE183" s="258"/>
      <c r="BF183" s="258"/>
      <c r="BG183" s="258"/>
      <c r="BH183" s="268"/>
      <c r="BI183" s="258"/>
      <c r="BJ183" s="258"/>
      <c r="BK183" s="258"/>
      <c r="BL183" s="269"/>
      <c r="BM183" s="268"/>
      <c r="BN183" s="258"/>
      <c r="BO183" s="258"/>
      <c r="BP183" s="258"/>
      <c r="BQ183" s="269"/>
      <c r="BR183" s="268"/>
      <c r="BS183" s="258"/>
      <c r="BT183" s="258"/>
      <c r="BU183" s="258"/>
      <c r="BV183" s="269"/>
      <c r="BW183" s="270"/>
      <c r="BX183" s="258"/>
      <c r="BY183" s="258"/>
      <c r="BZ183" s="258"/>
      <c r="CA183" s="267"/>
      <c r="CB183" s="268"/>
      <c r="CC183" s="258"/>
      <c r="CD183" s="258"/>
      <c r="CE183" s="258"/>
      <c r="CF183" s="269"/>
      <c r="CG183" s="270"/>
      <c r="CH183" s="258"/>
      <c r="CI183" s="258"/>
      <c r="CJ183" s="258"/>
      <c r="CK183" s="258"/>
      <c r="CL183" s="268"/>
      <c r="CM183" s="258"/>
      <c r="CN183" s="258"/>
      <c r="CO183" s="258"/>
      <c r="CP183" s="269"/>
      <c r="CQ183" s="266"/>
      <c r="CR183" s="258"/>
      <c r="CS183" s="258"/>
      <c r="CT183" s="259"/>
      <c r="CU183" s="267"/>
      <c r="CV183" s="268"/>
      <c r="CW183" s="258"/>
      <c r="CX183" s="258"/>
      <c r="CY183" s="258"/>
      <c r="CZ183" s="269"/>
      <c r="DA183" s="268"/>
      <c r="DB183" s="258"/>
      <c r="DC183" s="258"/>
      <c r="DD183" s="258"/>
      <c r="DE183" s="269"/>
      <c r="DF183" s="268"/>
      <c r="DG183" s="258"/>
      <c r="DH183" s="258"/>
      <c r="DI183" s="258"/>
      <c r="DJ183" s="269"/>
      <c r="DK183" s="268"/>
      <c r="DL183" s="258"/>
      <c r="DM183" s="258"/>
      <c r="DN183" s="258"/>
      <c r="DO183" s="269"/>
      <c r="DP183" s="268"/>
      <c r="DQ183" s="258"/>
      <c r="DR183" s="258"/>
      <c r="DS183" s="258"/>
      <c r="DT183" s="269"/>
      <c r="DU183" s="268"/>
      <c r="DV183" s="258"/>
      <c r="DW183" s="258"/>
      <c r="DX183" s="258"/>
      <c r="DY183" s="269"/>
      <c r="DZ183" s="268"/>
      <c r="EA183" s="258"/>
      <c r="EB183" s="258"/>
      <c r="EC183" s="258"/>
      <c r="ED183" s="269"/>
    </row>
    <row r="184" spans="1:134" ht="15" customHeight="1" x14ac:dyDescent="0.3">
      <c r="A184" s="612" t="s">
        <v>4</v>
      </c>
      <c r="B184" s="613"/>
      <c r="C184" s="614"/>
      <c r="D184" s="366"/>
      <c r="E184" s="586" t="s">
        <v>67</v>
      </c>
      <c r="F184" s="618"/>
      <c r="G184" s="618"/>
      <c r="H184" s="618"/>
      <c r="I184" s="619"/>
      <c r="J184" s="592" t="s">
        <v>71</v>
      </c>
      <c r="K184" s="607"/>
      <c r="L184" s="607"/>
      <c r="M184" s="607"/>
      <c r="N184" s="608"/>
      <c r="O184" s="535" t="s">
        <v>292</v>
      </c>
      <c r="P184" s="536"/>
      <c r="Q184" s="536"/>
      <c r="R184" s="536"/>
      <c r="S184" s="537"/>
      <c r="T184" s="535" t="s">
        <v>293</v>
      </c>
      <c r="U184" s="618"/>
      <c r="V184" s="618"/>
      <c r="W184" s="618"/>
      <c r="X184" s="619"/>
      <c r="Y184" s="586" t="s">
        <v>75</v>
      </c>
      <c r="Z184" s="618"/>
      <c r="AA184" s="618"/>
      <c r="AB184" s="618"/>
      <c r="AC184" s="619"/>
      <c r="AD184" s="604" t="s">
        <v>496</v>
      </c>
      <c r="AE184" s="605"/>
      <c r="AF184" s="605"/>
      <c r="AG184" s="605"/>
      <c r="AH184" s="606"/>
      <c r="AI184" s="592" t="s">
        <v>294</v>
      </c>
      <c r="AJ184" s="607"/>
      <c r="AK184" s="607"/>
      <c r="AL184" s="607"/>
      <c r="AM184" s="608"/>
      <c r="AN184" s="535" t="s">
        <v>295</v>
      </c>
      <c r="AO184" s="536"/>
      <c r="AP184" s="536"/>
      <c r="AQ184" s="536"/>
      <c r="AR184" s="537"/>
      <c r="AS184" s="592" t="s">
        <v>1961</v>
      </c>
      <c r="AT184" s="593"/>
      <c r="AU184" s="593"/>
      <c r="AV184" s="593"/>
      <c r="AW184" s="594"/>
      <c r="AX184" s="535" t="s">
        <v>296</v>
      </c>
      <c r="AY184" s="536"/>
      <c r="AZ184" s="536"/>
      <c r="BA184" s="536"/>
      <c r="BB184" s="537"/>
      <c r="BC184" s="535" t="s">
        <v>85</v>
      </c>
      <c r="BD184" s="536"/>
      <c r="BE184" s="536"/>
      <c r="BF184" s="536"/>
      <c r="BG184" s="537"/>
      <c r="BH184" s="583" t="s">
        <v>1962</v>
      </c>
      <c r="BI184" s="584"/>
      <c r="BJ184" s="584"/>
      <c r="BK184" s="584"/>
      <c r="BL184" s="585"/>
      <c r="BM184" s="535" t="s">
        <v>1963</v>
      </c>
      <c r="BN184" s="536"/>
      <c r="BO184" s="536"/>
      <c r="BP184" s="536"/>
      <c r="BQ184" s="537"/>
      <c r="BR184" s="598" t="s">
        <v>221</v>
      </c>
      <c r="BS184" s="599"/>
      <c r="BT184" s="599"/>
      <c r="BU184" s="599"/>
      <c r="BV184" s="600"/>
      <c r="BW184" s="592" t="s">
        <v>1964</v>
      </c>
      <c r="BX184" s="593"/>
      <c r="BY184" s="593"/>
      <c r="BZ184" s="593"/>
      <c r="CA184" s="594"/>
      <c r="CB184" s="535" t="s">
        <v>485</v>
      </c>
      <c r="CC184" s="536"/>
      <c r="CD184" s="536"/>
      <c r="CE184" s="536"/>
      <c r="CF184" s="537"/>
      <c r="CG184" s="535" t="s">
        <v>1950</v>
      </c>
      <c r="CH184" s="536"/>
      <c r="CI184" s="536"/>
      <c r="CJ184" s="536"/>
      <c r="CK184" s="537"/>
      <c r="CL184" s="583" t="s">
        <v>188</v>
      </c>
      <c r="CM184" s="584"/>
      <c r="CN184" s="584"/>
      <c r="CO184" s="584"/>
      <c r="CP184" s="585"/>
      <c r="CQ184" s="586" t="s">
        <v>498</v>
      </c>
      <c r="CR184" s="587"/>
      <c r="CS184" s="587"/>
      <c r="CT184" s="587"/>
      <c r="CU184" s="588"/>
      <c r="CV184" s="592" t="s">
        <v>1965</v>
      </c>
      <c r="CW184" s="593"/>
      <c r="CX184" s="593"/>
      <c r="CY184" s="593"/>
      <c r="CZ184" s="594"/>
      <c r="DA184" s="535" t="s">
        <v>194</v>
      </c>
      <c r="DB184" s="536"/>
      <c r="DC184" s="536"/>
      <c r="DD184" s="536"/>
      <c r="DE184" s="537"/>
      <c r="DF184" s="535" t="s">
        <v>1966</v>
      </c>
      <c r="DG184" s="536"/>
      <c r="DH184" s="536"/>
      <c r="DI184" s="536"/>
      <c r="DJ184" s="537"/>
      <c r="DK184" s="535" t="s">
        <v>1967</v>
      </c>
      <c r="DL184" s="536"/>
      <c r="DM184" s="536"/>
      <c r="DN184" s="536"/>
      <c r="DO184" s="537"/>
      <c r="DP184" s="535" t="s">
        <v>499</v>
      </c>
      <c r="DQ184" s="536"/>
      <c r="DR184" s="536"/>
      <c r="DS184" s="536"/>
      <c r="DT184" s="537"/>
      <c r="DU184" s="535" t="s">
        <v>492</v>
      </c>
      <c r="DV184" s="536"/>
      <c r="DW184" s="536"/>
      <c r="DX184" s="536"/>
      <c r="DY184" s="537"/>
      <c r="DZ184" s="535" t="s">
        <v>500</v>
      </c>
      <c r="EA184" s="536"/>
      <c r="EB184" s="536"/>
      <c r="EC184" s="536"/>
      <c r="ED184" s="537"/>
    </row>
    <row r="185" spans="1:134" ht="34.5" customHeight="1" x14ac:dyDescent="0.3">
      <c r="A185" s="615"/>
      <c r="B185" s="616"/>
      <c r="C185" s="617"/>
      <c r="D185" s="367"/>
      <c r="E185" s="620"/>
      <c r="F185" s="621"/>
      <c r="G185" s="621"/>
      <c r="H185" s="621"/>
      <c r="I185" s="622"/>
      <c r="J185" s="609"/>
      <c r="K185" s="610"/>
      <c r="L185" s="610"/>
      <c r="M185" s="610"/>
      <c r="N185" s="611"/>
      <c r="O185" s="538"/>
      <c r="P185" s="539"/>
      <c r="Q185" s="539"/>
      <c r="R185" s="539"/>
      <c r="S185" s="540"/>
      <c r="T185" s="620"/>
      <c r="U185" s="621"/>
      <c r="V185" s="621"/>
      <c r="W185" s="621"/>
      <c r="X185" s="622"/>
      <c r="Y185" s="620"/>
      <c r="Z185" s="621"/>
      <c r="AA185" s="621"/>
      <c r="AB185" s="621"/>
      <c r="AC185" s="622"/>
      <c r="AD185" s="589"/>
      <c r="AE185" s="590"/>
      <c r="AF185" s="590"/>
      <c r="AG185" s="590"/>
      <c r="AH185" s="591"/>
      <c r="AI185" s="609"/>
      <c r="AJ185" s="610"/>
      <c r="AK185" s="610"/>
      <c r="AL185" s="610"/>
      <c r="AM185" s="611"/>
      <c r="AN185" s="538"/>
      <c r="AO185" s="539"/>
      <c r="AP185" s="539"/>
      <c r="AQ185" s="539"/>
      <c r="AR185" s="540"/>
      <c r="AS185" s="595"/>
      <c r="AT185" s="596"/>
      <c r="AU185" s="596"/>
      <c r="AV185" s="596"/>
      <c r="AW185" s="597"/>
      <c r="AX185" s="538"/>
      <c r="AY185" s="539"/>
      <c r="AZ185" s="539"/>
      <c r="BA185" s="539"/>
      <c r="BB185" s="540"/>
      <c r="BC185" s="538"/>
      <c r="BD185" s="539"/>
      <c r="BE185" s="539"/>
      <c r="BF185" s="539"/>
      <c r="BG185" s="540"/>
      <c r="BH185" s="538"/>
      <c r="BI185" s="539"/>
      <c r="BJ185" s="539"/>
      <c r="BK185" s="539"/>
      <c r="BL185" s="540"/>
      <c r="BM185" s="538"/>
      <c r="BN185" s="539"/>
      <c r="BO185" s="539"/>
      <c r="BP185" s="539"/>
      <c r="BQ185" s="540"/>
      <c r="BR185" s="601"/>
      <c r="BS185" s="602"/>
      <c r="BT185" s="602"/>
      <c r="BU185" s="602"/>
      <c r="BV185" s="603"/>
      <c r="BW185" s="595"/>
      <c r="BX185" s="596"/>
      <c r="BY185" s="596"/>
      <c r="BZ185" s="596"/>
      <c r="CA185" s="597"/>
      <c r="CB185" s="538"/>
      <c r="CC185" s="539"/>
      <c r="CD185" s="539"/>
      <c r="CE185" s="539"/>
      <c r="CF185" s="540"/>
      <c r="CG185" s="538"/>
      <c r="CH185" s="539"/>
      <c r="CI185" s="539"/>
      <c r="CJ185" s="539"/>
      <c r="CK185" s="540"/>
      <c r="CL185" s="538"/>
      <c r="CM185" s="539"/>
      <c r="CN185" s="539"/>
      <c r="CO185" s="539"/>
      <c r="CP185" s="540"/>
      <c r="CQ185" s="589"/>
      <c r="CR185" s="590"/>
      <c r="CS185" s="590"/>
      <c r="CT185" s="590"/>
      <c r="CU185" s="591"/>
      <c r="CV185" s="595"/>
      <c r="CW185" s="596"/>
      <c r="CX185" s="596"/>
      <c r="CY185" s="596"/>
      <c r="CZ185" s="597"/>
      <c r="DA185" s="538"/>
      <c r="DB185" s="539"/>
      <c r="DC185" s="539"/>
      <c r="DD185" s="539"/>
      <c r="DE185" s="540"/>
      <c r="DF185" s="538"/>
      <c r="DG185" s="539"/>
      <c r="DH185" s="539"/>
      <c r="DI185" s="539"/>
      <c r="DJ185" s="540"/>
      <c r="DK185" s="538"/>
      <c r="DL185" s="539"/>
      <c r="DM185" s="539"/>
      <c r="DN185" s="539"/>
      <c r="DO185" s="540"/>
      <c r="DP185" s="538"/>
      <c r="DQ185" s="539"/>
      <c r="DR185" s="539"/>
      <c r="DS185" s="539"/>
      <c r="DT185" s="540"/>
      <c r="DU185" s="538"/>
      <c r="DV185" s="539"/>
      <c r="DW185" s="539"/>
      <c r="DX185" s="539"/>
      <c r="DY185" s="540"/>
      <c r="DZ185" s="538"/>
      <c r="EA185" s="539"/>
      <c r="EB185" s="539"/>
      <c r="EC185" s="539"/>
      <c r="ED185" s="540"/>
    </row>
    <row r="186" spans="1:134" x14ac:dyDescent="0.3">
      <c r="A186" s="167"/>
      <c r="B186" s="167"/>
      <c r="C186" s="167"/>
      <c r="D186" s="167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9"/>
      <c r="P186" s="169"/>
      <c r="Q186" s="169"/>
      <c r="R186" s="169"/>
      <c r="S186" s="169"/>
      <c r="T186" s="169"/>
      <c r="U186" s="169"/>
      <c r="V186" s="169"/>
      <c r="W186" s="169"/>
      <c r="X186" s="169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70"/>
      <c r="AJ186" s="170"/>
      <c r="AK186" s="170"/>
      <c r="AL186" s="170"/>
      <c r="AM186" s="170"/>
      <c r="AN186" s="170"/>
      <c r="AO186" s="170"/>
      <c r="AP186" s="170"/>
      <c r="AQ186" s="170"/>
      <c r="AR186" s="170"/>
      <c r="AS186" s="170"/>
      <c r="AT186" s="170"/>
      <c r="AU186" s="170"/>
      <c r="AV186" s="170"/>
      <c r="AW186" s="170"/>
      <c r="AX186" s="170"/>
      <c r="AY186" s="170"/>
      <c r="AZ186" s="170"/>
      <c r="BA186" s="170"/>
      <c r="BB186" s="170"/>
      <c r="BC186" s="170"/>
      <c r="BD186" s="170"/>
      <c r="BE186" s="170"/>
      <c r="BF186" s="170"/>
      <c r="BG186" s="170"/>
      <c r="BH186" s="170"/>
      <c r="BI186" s="170"/>
      <c r="BJ186" s="170"/>
      <c r="BK186" s="170"/>
      <c r="BL186" s="170"/>
      <c r="BM186" s="170"/>
      <c r="BN186" s="170"/>
      <c r="BO186" s="170"/>
      <c r="BP186" s="170"/>
      <c r="BQ186" s="170"/>
      <c r="BR186" s="170"/>
      <c r="BS186" s="170"/>
      <c r="BT186" s="170"/>
      <c r="BU186" s="170"/>
      <c r="BV186" s="170"/>
      <c r="BW186" s="170"/>
      <c r="BX186" s="170"/>
      <c r="BY186" s="170"/>
      <c r="BZ186" s="170"/>
      <c r="CA186" s="170"/>
      <c r="CB186" s="170"/>
      <c r="CC186" s="170"/>
      <c r="CD186" s="170"/>
      <c r="CE186" s="170"/>
      <c r="CF186" s="170"/>
      <c r="CG186" s="170"/>
      <c r="CH186" s="170"/>
      <c r="CI186" s="170"/>
      <c r="CJ186" s="170"/>
      <c r="CK186" s="170"/>
      <c r="CL186" s="170"/>
      <c r="CM186" s="170"/>
      <c r="CN186" s="170"/>
      <c r="CO186" s="170"/>
      <c r="CP186" s="170"/>
      <c r="CQ186" s="170"/>
      <c r="CR186" s="170"/>
      <c r="CS186" s="170"/>
      <c r="CT186" s="170"/>
      <c r="CU186" s="170"/>
      <c r="CV186" s="170"/>
      <c r="CW186" s="170"/>
      <c r="CX186" s="170"/>
      <c r="CY186" s="170"/>
      <c r="CZ186" s="170"/>
      <c r="DA186" s="170"/>
      <c r="DB186" s="170"/>
      <c r="DC186" s="170"/>
      <c r="DD186" s="170"/>
      <c r="DE186" s="170"/>
      <c r="DF186" s="170"/>
      <c r="DG186" s="170"/>
      <c r="DH186" s="170"/>
      <c r="DI186" s="170"/>
      <c r="DJ186" s="170"/>
      <c r="DK186" s="170"/>
      <c r="DL186" s="170"/>
      <c r="DM186" s="170"/>
      <c r="DN186" s="170"/>
      <c r="DO186" s="170"/>
    </row>
    <row r="187" spans="1:134" ht="18" x14ac:dyDescent="0.35">
      <c r="A187" s="555" t="s">
        <v>19</v>
      </c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5"/>
      <c r="P187" s="555"/>
      <c r="Q187" s="555"/>
      <c r="R187" s="555"/>
      <c r="S187" s="555"/>
      <c r="T187" s="555"/>
      <c r="U187" s="555"/>
      <c r="V187" s="555"/>
      <c r="W187" s="555"/>
      <c r="X187" s="555"/>
      <c r="Y187" s="555"/>
      <c r="Z187" s="555"/>
      <c r="AA187" s="555"/>
      <c r="AB187" s="555"/>
      <c r="AC187" s="555"/>
      <c r="AD187" s="555"/>
      <c r="AE187" s="555"/>
      <c r="AF187" s="555"/>
      <c r="AG187" s="555"/>
      <c r="AH187" s="555"/>
      <c r="BM187" s="555"/>
      <c r="BN187" s="555"/>
      <c r="BO187" s="555"/>
      <c r="BP187" s="555"/>
      <c r="BQ187" s="555"/>
      <c r="BR187" s="555"/>
      <c r="BS187" s="555"/>
      <c r="BT187" s="555"/>
      <c r="BU187" s="555"/>
      <c r="BV187" s="555"/>
      <c r="BW187" s="555"/>
      <c r="BX187" s="555"/>
      <c r="BY187" s="555"/>
      <c r="BZ187" s="555"/>
      <c r="CA187" s="555"/>
      <c r="CB187" s="555"/>
      <c r="CC187" s="555"/>
      <c r="CD187" s="555"/>
      <c r="CE187" s="555"/>
      <c r="CF187" s="555"/>
      <c r="CG187" s="555"/>
      <c r="CH187" s="555"/>
      <c r="CI187" s="555"/>
      <c r="CJ187" s="555"/>
      <c r="CK187" s="555"/>
      <c r="CL187" s="555"/>
      <c r="CM187" s="555"/>
      <c r="CN187" s="555"/>
      <c r="CO187" s="555"/>
      <c r="CP187" s="555"/>
    </row>
    <row r="188" spans="1:134" x14ac:dyDescent="0.3">
      <c r="A188" s="123"/>
      <c r="B188" s="100"/>
      <c r="C188" s="132" t="s">
        <v>20</v>
      </c>
      <c r="D188" s="371"/>
      <c r="E188" s="123"/>
      <c r="F188" s="100"/>
      <c r="G188" s="100"/>
      <c r="H188" s="133"/>
      <c r="I188" s="134">
        <f>'FBMS-HND LEVEL TWO'!O10</f>
        <v>51</v>
      </c>
      <c r="J188" s="123"/>
      <c r="K188" s="100"/>
      <c r="L188" s="100"/>
      <c r="M188" s="133"/>
      <c r="N188" s="134">
        <f>'FBMS-HND LEVEL TWO'!O79</f>
        <v>50</v>
      </c>
      <c r="O188" s="123"/>
      <c r="P188" s="100"/>
      <c r="Q188" s="100"/>
      <c r="R188" s="133"/>
      <c r="S188" s="134">
        <f>'FBMS-HND LEVEL TWO'!O148</f>
        <v>51</v>
      </c>
      <c r="T188" s="123"/>
      <c r="U188" s="100"/>
      <c r="V188" s="100"/>
      <c r="W188" s="133"/>
      <c r="X188" s="134">
        <f>'FBMS-HND LEVEL TWO'!O221</f>
        <v>50</v>
      </c>
      <c r="Y188" s="123"/>
      <c r="Z188" s="100"/>
      <c r="AA188" s="100"/>
      <c r="AB188" s="133"/>
      <c r="AC188" s="134">
        <f>'FBMS-HND LEVEL TWO'!O295</f>
        <v>50</v>
      </c>
      <c r="AD188" s="123"/>
      <c r="AE188" s="100"/>
      <c r="AF188" s="100"/>
      <c r="AG188" s="133"/>
      <c r="AH188" s="134">
        <f>'FBMS-HND LEVEL TWO'!O370</f>
        <v>29</v>
      </c>
      <c r="AI188" s="123"/>
      <c r="AJ188" s="100"/>
      <c r="AK188" s="100"/>
      <c r="AL188" s="133"/>
      <c r="AM188" s="134">
        <f>'FBMS-HND LEVEL TWO'!O421</f>
        <v>49</v>
      </c>
      <c r="AN188" s="123"/>
      <c r="AO188" s="100"/>
      <c r="AP188" s="100"/>
      <c r="AQ188" s="133"/>
      <c r="AR188" s="134">
        <f>'FBMS-HND LEVEL TWO'!O496</f>
        <v>49</v>
      </c>
      <c r="AS188" s="123"/>
      <c r="AT188" s="100"/>
      <c r="AU188" s="100"/>
      <c r="AV188" s="133"/>
      <c r="AW188" s="134">
        <f>'FBMS-HND LEVEL TWO'!O574</f>
        <v>49</v>
      </c>
      <c r="AX188" s="123"/>
      <c r="AY188" s="100"/>
      <c r="AZ188" s="100"/>
      <c r="BA188" s="133"/>
      <c r="BB188" s="134">
        <f>'FBMS-HND LEVEL TWO'!O647</f>
        <v>29</v>
      </c>
      <c r="BC188" s="123"/>
      <c r="BD188" s="100"/>
      <c r="BE188" s="100"/>
      <c r="BF188" s="133"/>
      <c r="BG188" s="134">
        <f>'FBMS-HND LEVEL TWO'!O699</f>
        <v>29</v>
      </c>
      <c r="BH188" s="123"/>
      <c r="BI188" s="100"/>
      <c r="BJ188" s="100"/>
      <c r="BK188" s="133"/>
      <c r="BL188" s="134">
        <f>'FBMS-HND LEVEL TWO'!O753</f>
        <v>23</v>
      </c>
      <c r="BM188" s="123"/>
      <c r="BN188" s="100"/>
      <c r="BO188" s="100"/>
      <c r="BP188" s="133"/>
      <c r="BQ188" s="134">
        <f>'FBMS-HND LEVEL TWO'!O797</f>
        <v>21</v>
      </c>
      <c r="BR188" s="123"/>
      <c r="BS188" s="100"/>
      <c r="BT188" s="100"/>
      <c r="BU188" s="133"/>
      <c r="BV188" s="134">
        <f>'FBMS-HND LEVEL TWO'!O838</f>
        <v>31</v>
      </c>
      <c r="BW188" s="123"/>
      <c r="BX188" s="100"/>
      <c r="BY188" s="100"/>
      <c r="BZ188" s="133"/>
      <c r="CA188" s="134">
        <f>'FBMS-HND LEVEL TWO'!O894</f>
        <v>9</v>
      </c>
      <c r="CB188" s="123"/>
      <c r="CC188" s="100"/>
      <c r="CD188" s="100"/>
      <c r="CE188" s="133"/>
      <c r="CF188" s="134">
        <f>'FBMS-HND LEVEL TWO'!O929</f>
        <v>9</v>
      </c>
      <c r="CG188" s="123"/>
      <c r="CH188" s="100"/>
      <c r="CI188" s="100"/>
      <c r="CJ188" s="133"/>
      <c r="CK188" s="134">
        <f>'FBMS-HND LEVEL TWO'!O962</f>
        <v>9</v>
      </c>
      <c r="CL188" s="123"/>
      <c r="CM188" s="100"/>
      <c r="CN188" s="100"/>
      <c r="CO188" s="133"/>
      <c r="CP188" s="134">
        <f>'FBMS-HND LEVEL TWO'!O996</f>
        <v>10</v>
      </c>
      <c r="CQ188" s="123"/>
      <c r="CR188" s="100"/>
      <c r="CS188" s="100"/>
      <c r="CT188" s="133"/>
      <c r="CU188" s="134">
        <f>'FBMS-HND LEVEL TWO'!O1028</f>
        <v>10</v>
      </c>
      <c r="CV188" s="123"/>
      <c r="CW188" s="100"/>
      <c r="CX188" s="100"/>
      <c r="CY188" s="133"/>
      <c r="CZ188" s="134">
        <f>'FBMS-HND LEVEL TWO'!O1063</f>
        <v>10</v>
      </c>
      <c r="DA188" s="123"/>
      <c r="DB188" s="101"/>
      <c r="DC188" s="101"/>
      <c r="DD188" s="133"/>
      <c r="DE188" s="134">
        <f>'FBMS-HND LEVEL TWO'!O1098</f>
        <v>10</v>
      </c>
      <c r="DF188" s="123"/>
      <c r="DG188" s="101"/>
      <c r="DH188" s="101"/>
      <c r="DI188" s="133"/>
      <c r="DJ188" s="134">
        <f>'FBMS-HND LEVEL TWO'!O1130</f>
        <v>10</v>
      </c>
      <c r="DK188" s="123"/>
      <c r="DL188" s="101"/>
      <c r="DM188" s="101"/>
      <c r="DN188" s="133"/>
      <c r="DO188" s="134">
        <f>'FBMS-HND LEVEL TWO'!O1166</f>
        <v>10</v>
      </c>
      <c r="DP188" s="123"/>
      <c r="DQ188" s="330"/>
      <c r="DR188" s="330"/>
      <c r="DS188" s="330"/>
      <c r="DT188" s="344">
        <f>'FBMS-HND LEVEL TWO'!O1200</f>
        <v>10</v>
      </c>
      <c r="DU188" s="123"/>
      <c r="DV188" s="330"/>
      <c r="DW188" s="330"/>
      <c r="DX188" s="330"/>
      <c r="DY188" s="344">
        <f>'FBMS-HND LEVEL TWO'!O1232</f>
        <v>9</v>
      </c>
      <c r="DZ188" s="123"/>
      <c r="EA188" s="330"/>
      <c r="EB188" s="330"/>
      <c r="EC188" s="330"/>
      <c r="ED188" s="344">
        <f>COUNT(EA127:EA180)</f>
        <v>12</v>
      </c>
    </row>
    <row r="189" spans="1:134" x14ac:dyDescent="0.3">
      <c r="A189" s="131"/>
      <c r="B189" s="56"/>
      <c r="C189" s="135" t="s">
        <v>21</v>
      </c>
      <c r="D189" s="372"/>
      <c r="E189" s="131"/>
      <c r="F189" s="56"/>
      <c r="G189" s="56"/>
      <c r="H189" s="136"/>
      <c r="I189" s="137">
        <f>'FBMS-HND LEVEL TWO'!O11</f>
        <v>48</v>
      </c>
      <c r="J189" s="131"/>
      <c r="K189" s="56"/>
      <c r="L189" s="56"/>
      <c r="M189" s="136"/>
      <c r="N189" s="137">
        <f>'FBMS-HND LEVEL TWO'!O80</f>
        <v>48</v>
      </c>
      <c r="O189" s="131"/>
      <c r="P189" s="56"/>
      <c r="Q189" s="56"/>
      <c r="R189" s="136"/>
      <c r="S189" s="137">
        <f>'FBMS-HND LEVEL TWO'!O149</f>
        <v>49</v>
      </c>
      <c r="T189" s="131"/>
      <c r="U189" s="56"/>
      <c r="V189" s="56"/>
      <c r="W189" s="136"/>
      <c r="X189" s="137">
        <f>'FBMS-HND LEVEL TWO'!O222</f>
        <v>49</v>
      </c>
      <c r="Y189" s="131"/>
      <c r="Z189" s="56"/>
      <c r="AA189" s="56"/>
      <c r="AB189" s="136"/>
      <c r="AC189" s="137">
        <f>'FBMS-HND LEVEL TWO'!O296</f>
        <v>49</v>
      </c>
      <c r="AD189" s="131"/>
      <c r="AE189" s="56"/>
      <c r="AF189" s="56"/>
      <c r="AG189" s="136"/>
      <c r="AH189" s="137">
        <f>'FBMS-HND LEVEL TWO'!O371</f>
        <v>29</v>
      </c>
      <c r="AI189" s="131"/>
      <c r="AJ189" s="56"/>
      <c r="AK189" s="56"/>
      <c r="AL189" s="136"/>
      <c r="AM189" s="137">
        <f>'FBMS-HND LEVEL TWO'!O422</f>
        <v>47</v>
      </c>
      <c r="AN189" s="131"/>
      <c r="AO189" s="56"/>
      <c r="AP189" s="56"/>
      <c r="AQ189" s="136"/>
      <c r="AR189" s="137">
        <f>'FBMS-HND LEVEL TWO'!O497</f>
        <v>48</v>
      </c>
      <c r="AS189" s="131"/>
      <c r="AT189" s="56"/>
      <c r="AU189" s="56"/>
      <c r="AV189" s="136"/>
      <c r="AW189" s="137">
        <f>'FBMS-HND LEVEL TWO'!O575</f>
        <v>49</v>
      </c>
      <c r="AX189" s="131"/>
      <c r="AY189" s="56"/>
      <c r="AZ189" s="56"/>
      <c r="BA189" s="136"/>
      <c r="BB189" s="137">
        <f>'FBMS-HND LEVEL TWO'!O648</f>
        <v>29</v>
      </c>
      <c r="BC189" s="131"/>
      <c r="BD189" s="56"/>
      <c r="BE189" s="56"/>
      <c r="BF189" s="136"/>
      <c r="BG189" s="137">
        <f>'FBMS-HND LEVEL TWO'!O700</f>
        <v>28</v>
      </c>
      <c r="BH189" s="131"/>
      <c r="BI189" s="56"/>
      <c r="BJ189" s="56"/>
      <c r="BK189" s="136"/>
      <c r="BL189" s="137">
        <f>'FBMS-HND LEVEL TWO'!O754</f>
        <v>20</v>
      </c>
      <c r="BM189" s="131"/>
      <c r="BN189" s="56"/>
      <c r="BO189" s="56"/>
      <c r="BP189" s="136"/>
      <c r="BQ189" s="137">
        <f>'FBMS-HND LEVEL TWO'!O798</f>
        <v>21</v>
      </c>
      <c r="BR189" s="131"/>
      <c r="BS189" s="56"/>
      <c r="BT189" s="56"/>
      <c r="BU189" s="136"/>
      <c r="BV189" s="137">
        <f>'FBMS-HND LEVEL TWO'!O839</f>
        <v>30</v>
      </c>
      <c r="BW189" s="131"/>
      <c r="BX189" s="56"/>
      <c r="BY189" s="56"/>
      <c r="BZ189" s="136"/>
      <c r="CA189" s="137">
        <f>'FBMS-HND LEVEL TWO'!O895</f>
        <v>9</v>
      </c>
      <c r="CB189" s="131"/>
      <c r="CC189" s="56"/>
      <c r="CD189" s="56"/>
      <c r="CE189" s="136"/>
      <c r="CF189" s="137">
        <f>'FBMS-HND LEVEL TWO'!O930</f>
        <v>9</v>
      </c>
      <c r="CG189" s="131"/>
      <c r="CH189" s="56"/>
      <c r="CI189" s="56"/>
      <c r="CJ189" s="136"/>
      <c r="CK189" s="137">
        <f>'FBMS-HND LEVEL TWO'!O963</f>
        <v>9</v>
      </c>
      <c r="CL189" s="131"/>
      <c r="CM189" s="56"/>
      <c r="CN189" s="56"/>
      <c r="CO189" s="136"/>
      <c r="CP189" s="137">
        <f>'FBMS-HND LEVEL TWO'!O997</f>
        <v>10</v>
      </c>
      <c r="CQ189" s="131"/>
      <c r="CR189" s="56"/>
      <c r="CS189" s="56"/>
      <c r="CT189" s="136"/>
      <c r="CU189" s="137">
        <f>'FBMS-HND LEVEL TWO'!O1029</f>
        <v>10</v>
      </c>
      <c r="CV189" s="131"/>
      <c r="CW189" s="56"/>
      <c r="CX189" s="56"/>
      <c r="CY189" s="136"/>
      <c r="CZ189" s="137">
        <f>'FBMS-HND LEVEL TWO'!O1064</f>
        <v>10</v>
      </c>
      <c r="DA189" s="131"/>
      <c r="DB189" s="56"/>
      <c r="DC189" s="56"/>
      <c r="DD189" s="136"/>
      <c r="DE189" s="137">
        <f>'FBMS-HND LEVEL TWO'!O1099</f>
        <v>10</v>
      </c>
      <c r="DF189" s="131"/>
      <c r="DG189" s="56"/>
      <c r="DH189" s="56"/>
      <c r="DI189" s="136"/>
      <c r="DJ189" s="137">
        <f>'FBMS-HND LEVEL TWO'!O1131</f>
        <v>10</v>
      </c>
      <c r="DK189" s="131"/>
      <c r="DL189" s="56"/>
      <c r="DM189" s="56"/>
      <c r="DN189" s="136"/>
      <c r="DO189" s="137">
        <f>'FBMS-HND LEVEL TWO'!O1167</f>
        <v>9</v>
      </c>
      <c r="DP189" s="131"/>
      <c r="DQ189" s="56"/>
      <c r="DR189" s="56"/>
      <c r="DS189" s="56"/>
      <c r="DT189" s="142">
        <f>'FBMS-HND LEVEL TWO'!O1201</f>
        <v>9</v>
      </c>
      <c r="DU189" s="131"/>
      <c r="DV189" s="56"/>
      <c r="DW189" s="56"/>
      <c r="DX189" s="56"/>
      <c r="DY189" s="142">
        <f>'FBMS-HND LEVEL TWO'!O1233</f>
        <v>9</v>
      </c>
      <c r="DZ189" s="131"/>
      <c r="EA189" s="56"/>
      <c r="EB189" s="56"/>
      <c r="EC189" s="56"/>
      <c r="ED189" s="142">
        <f>COUNT(EB127:EB180)</f>
        <v>12</v>
      </c>
    </row>
    <row r="190" spans="1:134" x14ac:dyDescent="0.3">
      <c r="A190" s="131"/>
      <c r="B190" s="56"/>
      <c r="C190" s="135" t="s">
        <v>22</v>
      </c>
      <c r="D190" s="372"/>
      <c r="E190" s="131"/>
      <c r="F190" s="56"/>
      <c r="G190" s="56"/>
      <c r="H190" s="136"/>
      <c r="I190" s="137">
        <f>'FBMS-HND LEVEL TWO'!O12</f>
        <v>3</v>
      </c>
      <c r="J190" s="131"/>
      <c r="K190" s="56"/>
      <c r="L190" s="56"/>
      <c r="M190" s="136"/>
      <c r="N190" s="137">
        <f>'FBMS-HND LEVEL TWO'!O81</f>
        <v>2</v>
      </c>
      <c r="O190" s="131"/>
      <c r="P190" s="56"/>
      <c r="Q190" s="56"/>
      <c r="R190" s="136"/>
      <c r="S190" s="137">
        <f>'FBMS-HND LEVEL TWO'!O150</f>
        <v>2</v>
      </c>
      <c r="T190" s="131"/>
      <c r="U190" s="56"/>
      <c r="V190" s="56"/>
      <c r="W190" s="136"/>
      <c r="X190" s="137">
        <f>'FBMS-HND LEVEL TWO'!O223</f>
        <v>1</v>
      </c>
      <c r="Y190" s="131"/>
      <c r="Z190" s="56"/>
      <c r="AA190" s="56"/>
      <c r="AB190" s="136"/>
      <c r="AC190" s="137">
        <f>'FBMS-HND LEVEL TWO'!O297</f>
        <v>1</v>
      </c>
      <c r="AD190" s="131"/>
      <c r="AE190" s="56"/>
      <c r="AF190" s="56"/>
      <c r="AG190" s="136"/>
      <c r="AH190" s="137">
        <f>'FBMS-HND LEVEL TWO'!O372</f>
        <v>0</v>
      </c>
      <c r="AI190" s="131"/>
      <c r="AJ190" s="56"/>
      <c r="AK190" s="56"/>
      <c r="AL190" s="136"/>
      <c r="AM190" s="137">
        <f>'FBMS-HND LEVEL TWO'!O423</f>
        <v>2</v>
      </c>
      <c r="AN190" s="131"/>
      <c r="AO190" s="56"/>
      <c r="AP190" s="56"/>
      <c r="AQ190" s="136"/>
      <c r="AR190" s="137">
        <f>'FBMS-HND LEVEL TWO'!O498</f>
        <v>1</v>
      </c>
      <c r="AS190" s="131"/>
      <c r="AT190" s="56"/>
      <c r="AU190" s="56"/>
      <c r="AV190" s="136"/>
      <c r="AW190" s="137">
        <f>'FBMS-HND LEVEL TWO'!O576</f>
        <v>0</v>
      </c>
      <c r="AX190" s="131"/>
      <c r="AY190" s="56"/>
      <c r="AZ190" s="56"/>
      <c r="BA190" s="136"/>
      <c r="BB190" s="137">
        <f>'FBMS-HND LEVEL TWO'!O649</f>
        <v>0</v>
      </c>
      <c r="BC190" s="131"/>
      <c r="BD190" s="56"/>
      <c r="BE190" s="56"/>
      <c r="BF190" s="136"/>
      <c r="BG190" s="137">
        <f>'FBMS-HND LEVEL TWO'!O701</f>
        <v>1</v>
      </c>
      <c r="BH190" s="131"/>
      <c r="BI190" s="56"/>
      <c r="BJ190" s="56"/>
      <c r="BK190" s="136"/>
      <c r="BL190" s="137">
        <f>'FBMS-HND LEVEL TWO'!O755</f>
        <v>3</v>
      </c>
      <c r="BM190" s="131"/>
      <c r="BN190" s="56"/>
      <c r="BO190" s="56"/>
      <c r="BP190" s="136"/>
      <c r="BQ190" s="137">
        <f>'FBMS-HND LEVEL TWO'!O799</f>
        <v>0</v>
      </c>
      <c r="BR190" s="131"/>
      <c r="BS190" s="56"/>
      <c r="BT190" s="56"/>
      <c r="BU190" s="136"/>
      <c r="BV190" s="137">
        <f>'FBMS-HND LEVEL TWO'!O840</f>
        <v>1</v>
      </c>
      <c r="BW190" s="131"/>
      <c r="BX190" s="56"/>
      <c r="BY190" s="56"/>
      <c r="BZ190" s="136"/>
      <c r="CA190" s="137">
        <f>'FBMS-HND LEVEL TWO'!O896</f>
        <v>0</v>
      </c>
      <c r="CB190" s="131"/>
      <c r="CC190" s="56"/>
      <c r="CD190" s="56"/>
      <c r="CE190" s="136"/>
      <c r="CF190" s="137">
        <f>'FBMS-HND LEVEL TWO'!O931</f>
        <v>0</v>
      </c>
      <c r="CG190" s="131"/>
      <c r="CH190" s="56"/>
      <c r="CI190" s="56"/>
      <c r="CJ190" s="136"/>
      <c r="CK190" s="137">
        <f>'FBMS-HND LEVEL TWO'!O964</f>
        <v>0</v>
      </c>
      <c r="CL190" s="131"/>
      <c r="CM190" s="56"/>
      <c r="CN190" s="56"/>
      <c r="CO190" s="136"/>
      <c r="CP190" s="137">
        <f>'FBMS-HND LEVEL TWO'!O998</f>
        <v>0</v>
      </c>
      <c r="CQ190" s="131"/>
      <c r="CR190" s="56"/>
      <c r="CS190" s="56"/>
      <c r="CT190" s="136"/>
      <c r="CU190" s="137">
        <f>'FBMS-HND LEVEL TWO'!O1030</f>
        <v>0</v>
      </c>
      <c r="CV190" s="131"/>
      <c r="CW190" s="56"/>
      <c r="CX190" s="56"/>
      <c r="CY190" s="136"/>
      <c r="CZ190" s="137">
        <f>'FBMS-HND LEVEL TWO'!O1065</f>
        <v>0</v>
      </c>
      <c r="DA190" s="131"/>
      <c r="DB190" s="56"/>
      <c r="DC190" s="56"/>
      <c r="DD190" s="136"/>
      <c r="DE190" s="137">
        <f>'FBMS-HND LEVEL TWO'!O1100</f>
        <v>0</v>
      </c>
      <c r="DF190" s="131"/>
      <c r="DG190" s="56"/>
      <c r="DH190" s="56"/>
      <c r="DI190" s="136"/>
      <c r="DJ190" s="137">
        <f>'FBMS-HND LEVEL TWO'!O1132</f>
        <v>0</v>
      </c>
      <c r="DK190" s="131"/>
      <c r="DL190" s="56"/>
      <c r="DM190" s="56"/>
      <c r="DN190" s="136"/>
      <c r="DO190" s="137">
        <f>'FBMS-HND LEVEL TWO'!O1168</f>
        <v>1</v>
      </c>
      <c r="DP190" s="131"/>
      <c r="DQ190" s="56"/>
      <c r="DR190" s="56"/>
      <c r="DS190" s="56"/>
      <c r="DT190" s="142">
        <f>'FBMS-HND LEVEL TWO'!O1202</f>
        <v>1</v>
      </c>
      <c r="DU190" s="131"/>
      <c r="DV190" s="56"/>
      <c r="DW190" s="56"/>
      <c r="DX190" s="56"/>
      <c r="DY190" s="142">
        <f>'FBMS-HND LEVEL TWO'!O1234</f>
        <v>0</v>
      </c>
      <c r="DZ190" s="131"/>
      <c r="EA190" s="56"/>
      <c r="EB190" s="56"/>
      <c r="EC190" s="56"/>
      <c r="ED190" s="142">
        <f>ED188-ED189</f>
        <v>0</v>
      </c>
    </row>
    <row r="191" spans="1:134" x14ac:dyDescent="0.3">
      <c r="A191" s="131"/>
      <c r="B191" s="56"/>
      <c r="C191" s="135" t="s">
        <v>23</v>
      </c>
      <c r="D191" s="372"/>
      <c r="E191" s="131"/>
      <c r="F191" s="56"/>
      <c r="G191" s="56"/>
      <c r="H191" s="136"/>
      <c r="I191" s="137">
        <f>'FBMS-HND LEVEL TWO'!O13</f>
        <v>37</v>
      </c>
      <c r="J191" s="131"/>
      <c r="K191" s="56"/>
      <c r="L191" s="56"/>
      <c r="M191" s="136"/>
      <c r="N191" s="137">
        <f>'FBMS-HND LEVEL TWO'!O82</f>
        <v>46</v>
      </c>
      <c r="O191" s="131"/>
      <c r="P191" s="56"/>
      <c r="Q191" s="56"/>
      <c r="R191" s="136"/>
      <c r="S191" s="137">
        <f>'FBMS-HND LEVEL TWO'!O151</f>
        <v>49</v>
      </c>
      <c r="T191" s="131"/>
      <c r="U191" s="56"/>
      <c r="V191" s="56"/>
      <c r="W191" s="136"/>
      <c r="X191" s="137">
        <f>'FBMS-HND LEVEL TWO'!O224</f>
        <v>39</v>
      </c>
      <c r="Y191" s="131"/>
      <c r="Z191" s="56"/>
      <c r="AA191" s="56"/>
      <c r="AB191" s="136"/>
      <c r="AC191" s="137">
        <f>'FBMS-HND LEVEL TWO'!O298</f>
        <v>42</v>
      </c>
      <c r="AD191" s="131"/>
      <c r="AE191" s="56"/>
      <c r="AF191" s="56"/>
      <c r="AG191" s="136"/>
      <c r="AH191" s="137">
        <f>'FBMS-HND LEVEL TWO'!O373</f>
        <v>25</v>
      </c>
      <c r="AI191" s="131"/>
      <c r="AJ191" s="56"/>
      <c r="AK191" s="56"/>
      <c r="AL191" s="136"/>
      <c r="AM191" s="137">
        <f>'FBMS-HND LEVEL TWO'!O424</f>
        <v>46</v>
      </c>
      <c r="AN191" s="131"/>
      <c r="AO191" s="56"/>
      <c r="AP191" s="56"/>
      <c r="AQ191" s="136"/>
      <c r="AR191" s="137">
        <f>'FBMS-HND LEVEL TWO'!O499</f>
        <v>38</v>
      </c>
      <c r="AS191" s="131"/>
      <c r="AT191" s="56"/>
      <c r="AU191" s="56"/>
      <c r="AV191" s="136"/>
      <c r="AW191" s="137">
        <f>'FBMS-HND LEVEL TWO'!O577</f>
        <v>45</v>
      </c>
      <c r="AX191" s="131"/>
      <c r="AY191" s="56"/>
      <c r="AZ191" s="56"/>
      <c r="BA191" s="136"/>
      <c r="BB191" s="137">
        <f>'FBMS-HND LEVEL TWO'!O650</f>
        <v>19</v>
      </c>
      <c r="BC191" s="131"/>
      <c r="BD191" s="56"/>
      <c r="BE191" s="56"/>
      <c r="BF191" s="136"/>
      <c r="BG191" s="137">
        <f>'FBMS-HND LEVEL TWO'!O702</f>
        <v>22</v>
      </c>
      <c r="BH191" s="131"/>
      <c r="BI191" s="56"/>
      <c r="BJ191" s="56"/>
      <c r="BK191" s="136"/>
      <c r="BL191" s="137">
        <f>'FBMS-HND LEVEL TWO'!O756</f>
        <v>17</v>
      </c>
      <c r="BM191" s="131"/>
      <c r="BN191" s="56"/>
      <c r="BO191" s="56"/>
      <c r="BP191" s="136"/>
      <c r="BQ191" s="137">
        <f>'FBMS-HND LEVEL TWO'!O800</f>
        <v>19</v>
      </c>
      <c r="BR191" s="131"/>
      <c r="BS191" s="56"/>
      <c r="BT191" s="56"/>
      <c r="BU191" s="136"/>
      <c r="BV191" s="137">
        <f>'FBMS-HND LEVEL TWO'!O841</f>
        <v>27</v>
      </c>
      <c r="BW191" s="131"/>
      <c r="BX191" s="56"/>
      <c r="BY191" s="56"/>
      <c r="BZ191" s="136"/>
      <c r="CA191" s="137">
        <f>'FBMS-HND LEVEL TWO'!O897</f>
        <v>8</v>
      </c>
      <c r="CB191" s="131"/>
      <c r="CC191" s="56"/>
      <c r="CD191" s="56"/>
      <c r="CE191" s="136"/>
      <c r="CF191" s="137">
        <f>'FBMS-HND LEVEL TWO'!O932</f>
        <v>9</v>
      </c>
      <c r="CG191" s="131"/>
      <c r="CH191" s="56"/>
      <c r="CI191" s="56"/>
      <c r="CJ191" s="136"/>
      <c r="CK191" s="137">
        <f>'FBMS-HND LEVEL TWO'!O965</f>
        <v>9</v>
      </c>
      <c r="CL191" s="131"/>
      <c r="CM191" s="56"/>
      <c r="CN191" s="56"/>
      <c r="CO191" s="136"/>
      <c r="CP191" s="137">
        <f>'FBMS-HND LEVEL TWO'!O999</f>
        <v>9</v>
      </c>
      <c r="CQ191" s="131"/>
      <c r="CR191" s="56"/>
      <c r="CS191" s="56"/>
      <c r="CT191" s="136"/>
      <c r="CU191" s="137">
        <f>'FBMS-HND LEVEL TWO'!O1031</f>
        <v>9</v>
      </c>
      <c r="CV191" s="131"/>
      <c r="CW191" s="56"/>
      <c r="CX191" s="56"/>
      <c r="CY191" s="136"/>
      <c r="CZ191" s="137">
        <f>'FBMS-HND LEVEL TWO'!O1066</f>
        <v>9</v>
      </c>
      <c r="DA191" s="131"/>
      <c r="DB191" s="56"/>
      <c r="DC191" s="56"/>
      <c r="DD191" s="136"/>
      <c r="DE191" s="137">
        <f>'FBMS-HND LEVEL TWO'!O1101</f>
        <v>7</v>
      </c>
      <c r="DF191" s="131"/>
      <c r="DG191" s="56"/>
      <c r="DH191" s="56"/>
      <c r="DI191" s="136"/>
      <c r="DJ191" s="137">
        <f>'FBMS-HND LEVEL TWO'!O1133</f>
        <v>9</v>
      </c>
      <c r="DK191" s="131"/>
      <c r="DL191" s="56"/>
      <c r="DM191" s="56"/>
      <c r="DN191" s="136"/>
      <c r="DO191" s="137">
        <f>'FBMS-HND LEVEL TWO'!O1169</f>
        <v>9</v>
      </c>
      <c r="DP191" s="131"/>
      <c r="DQ191" s="56"/>
      <c r="DR191" s="56"/>
      <c r="DS191" s="56"/>
      <c r="DT191" s="142">
        <f>'FBMS-HND LEVEL TWO'!O1203</f>
        <v>9</v>
      </c>
      <c r="DU191" s="131"/>
      <c r="DV191" s="56"/>
      <c r="DW191" s="56"/>
      <c r="DX191" s="56"/>
      <c r="DY191" s="142">
        <f>'FBMS-HND LEVEL TWO'!O1235</f>
        <v>9</v>
      </c>
      <c r="DZ191" s="131"/>
      <c r="EA191" s="56"/>
      <c r="EB191" s="56"/>
      <c r="EC191" s="56"/>
      <c r="ED191" s="142">
        <f>COUNTIF(EC127:EC180,"&gt;49")</f>
        <v>9</v>
      </c>
    </row>
    <row r="192" spans="1:134" x14ac:dyDescent="0.3">
      <c r="A192" s="131"/>
      <c r="B192" s="56"/>
      <c r="C192" s="135" t="s">
        <v>24</v>
      </c>
      <c r="D192" s="372"/>
      <c r="E192" s="131"/>
      <c r="F192" s="56"/>
      <c r="G192" s="56"/>
      <c r="H192" s="333"/>
      <c r="I192" s="334">
        <f>'FBMS-HND LEVEL TWO'!O14</f>
        <v>77.083333333333343</v>
      </c>
      <c r="J192" s="131"/>
      <c r="K192" s="56"/>
      <c r="L192" s="56"/>
      <c r="M192" s="333"/>
      <c r="N192" s="334">
        <f>'FBMS-HND LEVEL TWO'!O83</f>
        <v>95.833333333333343</v>
      </c>
      <c r="O192" s="131"/>
      <c r="P192" s="56"/>
      <c r="Q192" s="56"/>
      <c r="R192" s="333"/>
      <c r="S192" s="334">
        <f>'FBMS-HND LEVEL TWO'!O152</f>
        <v>100</v>
      </c>
      <c r="T192" s="131"/>
      <c r="U192" s="56"/>
      <c r="V192" s="56"/>
      <c r="W192" s="333"/>
      <c r="X192" s="334">
        <f>'FBMS-HND LEVEL TWO'!O225</f>
        <v>79.591836734693885</v>
      </c>
      <c r="Y192" s="131"/>
      <c r="Z192" s="56"/>
      <c r="AA192" s="56"/>
      <c r="AB192" s="333"/>
      <c r="AC192" s="334">
        <f>'FBMS-HND LEVEL TWO'!O299</f>
        <v>85.714285714285722</v>
      </c>
      <c r="AD192" s="131"/>
      <c r="AE192" s="56"/>
      <c r="AF192" s="56"/>
      <c r="AG192" s="333"/>
      <c r="AH192" s="334">
        <f>'FBMS-HND LEVEL TWO'!O374</f>
        <v>86.206896551724142</v>
      </c>
      <c r="AI192" s="131"/>
      <c r="AJ192" s="56"/>
      <c r="AK192" s="56"/>
      <c r="AL192" s="333"/>
      <c r="AM192" s="334">
        <f>'FBMS-HND LEVEL TWO'!O425</f>
        <v>97.872340425531917</v>
      </c>
      <c r="AN192" s="131"/>
      <c r="AO192" s="56"/>
      <c r="AP192" s="56"/>
      <c r="AQ192" s="333"/>
      <c r="AR192" s="334">
        <f>'FBMS-HND LEVEL TWO'!O500</f>
        <v>79.166666666666671</v>
      </c>
      <c r="AS192" s="131"/>
      <c r="AT192" s="56"/>
      <c r="AU192" s="56"/>
      <c r="AV192" s="333"/>
      <c r="AW192" s="334">
        <f>'FBMS-HND LEVEL TWO'!O578</f>
        <v>91.83673469387756</v>
      </c>
      <c r="AX192" s="131"/>
      <c r="AY192" s="56"/>
      <c r="AZ192" s="56"/>
      <c r="BA192" s="333"/>
      <c r="BB192" s="334">
        <f>'FBMS-HND LEVEL TWO'!O651</f>
        <v>65.517241379310349</v>
      </c>
      <c r="BC192" s="131"/>
      <c r="BD192" s="56"/>
      <c r="BE192" s="56"/>
      <c r="BF192" s="333"/>
      <c r="BG192" s="334">
        <f>'FBMS-HND LEVEL TWO'!O703</f>
        <v>78.571428571428569</v>
      </c>
      <c r="BH192" s="131"/>
      <c r="BI192" s="56"/>
      <c r="BJ192" s="56"/>
      <c r="BK192" s="333"/>
      <c r="BL192" s="334">
        <f>'FBMS-HND LEVEL TWO'!O757</f>
        <v>85</v>
      </c>
      <c r="BM192" s="131"/>
      <c r="BN192" s="56"/>
      <c r="BO192" s="56"/>
      <c r="BP192" s="333"/>
      <c r="BQ192" s="334">
        <f>'FBMS-HND LEVEL TWO'!O801</f>
        <v>90.476190476190482</v>
      </c>
      <c r="BR192" s="131"/>
      <c r="BS192" s="56"/>
      <c r="BT192" s="56"/>
      <c r="BU192" s="333"/>
      <c r="BV192" s="334">
        <f>'FBMS-HND LEVEL TWO'!O842</f>
        <v>90</v>
      </c>
      <c r="BW192" s="131"/>
      <c r="BX192" s="56"/>
      <c r="BY192" s="56"/>
      <c r="BZ192" s="333"/>
      <c r="CA192" s="334">
        <f>'FBMS-HND LEVEL TWO'!O898</f>
        <v>88.888888888888886</v>
      </c>
      <c r="CB192" s="131"/>
      <c r="CC192" s="56"/>
      <c r="CD192" s="56"/>
      <c r="CE192" s="333"/>
      <c r="CF192" s="334">
        <f>'FBMS-HND LEVEL TWO'!O933</f>
        <v>100</v>
      </c>
      <c r="CG192" s="131"/>
      <c r="CH192" s="56"/>
      <c r="CI192" s="56"/>
      <c r="CJ192" s="333"/>
      <c r="CK192" s="334">
        <f>'FBMS-HND LEVEL TWO'!O966</f>
        <v>100</v>
      </c>
      <c r="CL192" s="131"/>
      <c r="CM192" s="56"/>
      <c r="CN192" s="56"/>
      <c r="CO192" s="333"/>
      <c r="CP192" s="334">
        <f>'FBMS-HND LEVEL TWO'!O1000</f>
        <v>90</v>
      </c>
      <c r="CQ192" s="131"/>
      <c r="CR192" s="56"/>
      <c r="CS192" s="56"/>
      <c r="CT192" s="333"/>
      <c r="CU192" s="334">
        <f>'FBMS-HND LEVEL TWO'!O1032</f>
        <v>90</v>
      </c>
      <c r="CV192" s="131"/>
      <c r="CW192" s="56"/>
      <c r="CX192" s="56"/>
      <c r="CY192" s="333"/>
      <c r="CZ192" s="334">
        <f>'FBMS-HND LEVEL TWO'!O1067</f>
        <v>90</v>
      </c>
      <c r="DA192" s="131"/>
      <c r="DB192" s="56"/>
      <c r="DC192" s="56"/>
      <c r="DD192" s="333"/>
      <c r="DE192" s="334">
        <f>'FBMS-HND LEVEL TWO'!O1102</f>
        <v>70</v>
      </c>
      <c r="DF192" s="131"/>
      <c r="DG192" s="56"/>
      <c r="DH192" s="56"/>
      <c r="DI192" s="333"/>
      <c r="DJ192" s="334">
        <f>'FBMS-HND LEVEL TWO'!O1134</f>
        <v>90</v>
      </c>
      <c r="DK192" s="131"/>
      <c r="DL192" s="56"/>
      <c r="DM192" s="56"/>
      <c r="DN192" s="333"/>
      <c r="DO192" s="334">
        <f>'FBMS-HND LEVEL TWO'!O1170</f>
        <v>100</v>
      </c>
      <c r="DP192" s="131"/>
      <c r="DQ192" s="56"/>
      <c r="DR192" s="56"/>
      <c r="DS192" s="56"/>
      <c r="DT192" s="142">
        <f>'FBMS-HND LEVEL TWO'!O1204</f>
        <v>100</v>
      </c>
      <c r="DU192" s="131"/>
      <c r="DV192" s="56"/>
      <c r="DW192" s="56"/>
      <c r="DX192" s="56"/>
      <c r="DY192" s="142">
        <f>'FBMS-HND LEVEL TWO'!O1236</f>
        <v>100</v>
      </c>
      <c r="DZ192" s="131"/>
      <c r="EA192" s="56"/>
      <c r="EB192" s="56"/>
      <c r="EC192" s="56"/>
      <c r="ED192" s="142">
        <f>ED191/ED189</f>
        <v>0.75</v>
      </c>
    </row>
    <row r="193" spans="1:134" x14ac:dyDescent="0.3">
      <c r="A193" s="131"/>
      <c r="B193" s="56"/>
      <c r="C193" s="135" t="s">
        <v>25</v>
      </c>
      <c r="D193" s="372"/>
      <c r="E193" s="131"/>
      <c r="F193" s="56"/>
      <c r="G193" s="56"/>
      <c r="H193" s="136"/>
      <c r="I193" s="137">
        <f>'FBMS-HND LEVEL TWO'!O15</f>
        <v>11</v>
      </c>
      <c r="J193" s="131"/>
      <c r="K193" s="56"/>
      <c r="L193" s="56"/>
      <c r="M193" s="136"/>
      <c r="N193" s="137">
        <f>'FBMS-HND LEVEL TWO'!O84</f>
        <v>2</v>
      </c>
      <c r="O193" s="131"/>
      <c r="P193" s="56"/>
      <c r="Q193" s="56"/>
      <c r="R193" s="136"/>
      <c r="S193" s="137">
        <f>'FBMS-HND LEVEL TWO'!O153</f>
        <v>0</v>
      </c>
      <c r="T193" s="131"/>
      <c r="U193" s="56"/>
      <c r="V193" s="56"/>
      <c r="W193" s="136"/>
      <c r="X193" s="137">
        <f>'FBMS-HND LEVEL TWO'!O226</f>
        <v>10</v>
      </c>
      <c r="Y193" s="131"/>
      <c r="Z193" s="56"/>
      <c r="AA193" s="56"/>
      <c r="AB193" s="136"/>
      <c r="AC193" s="137">
        <f>'FBMS-HND LEVEL TWO'!O300</f>
        <v>7</v>
      </c>
      <c r="AD193" s="131"/>
      <c r="AE193" s="56"/>
      <c r="AF193" s="56"/>
      <c r="AG193" s="136"/>
      <c r="AH193" s="137">
        <f>'FBMS-HND LEVEL TWO'!O375</f>
        <v>4</v>
      </c>
      <c r="AI193" s="131"/>
      <c r="AJ193" s="56"/>
      <c r="AK193" s="56"/>
      <c r="AL193" s="136"/>
      <c r="AM193" s="137">
        <f>'FBMS-HND LEVEL TWO'!O426</f>
        <v>1</v>
      </c>
      <c r="AN193" s="131"/>
      <c r="AO193" s="56"/>
      <c r="AP193" s="56"/>
      <c r="AQ193" s="136"/>
      <c r="AR193" s="137">
        <f>'FBMS-HND LEVEL TWO'!O501</f>
        <v>10</v>
      </c>
      <c r="AS193" s="131"/>
      <c r="AT193" s="56"/>
      <c r="AU193" s="56"/>
      <c r="AV193" s="136"/>
      <c r="AW193" s="137">
        <f>'FBMS-HND LEVEL TWO'!O579</f>
        <v>4</v>
      </c>
      <c r="AX193" s="131"/>
      <c r="AY193" s="56"/>
      <c r="AZ193" s="56"/>
      <c r="BA193" s="136"/>
      <c r="BB193" s="137">
        <f>'FBMS-HND LEVEL TWO'!O652</f>
        <v>10</v>
      </c>
      <c r="BC193" s="131"/>
      <c r="BD193" s="56"/>
      <c r="BE193" s="56"/>
      <c r="BF193" s="136"/>
      <c r="BG193" s="137">
        <f>'FBMS-HND LEVEL TWO'!O704</f>
        <v>6</v>
      </c>
      <c r="BH193" s="131"/>
      <c r="BI193" s="56"/>
      <c r="BJ193" s="56"/>
      <c r="BK193" s="136"/>
      <c r="BL193" s="137">
        <f>'FBMS-HND LEVEL TWO'!O758</f>
        <v>3</v>
      </c>
      <c r="BM193" s="131"/>
      <c r="BN193" s="56"/>
      <c r="BO193" s="56"/>
      <c r="BP193" s="136"/>
      <c r="BQ193" s="137">
        <f>'FBMS-HND LEVEL TWO'!O802</f>
        <v>2</v>
      </c>
      <c r="BR193" s="131"/>
      <c r="BS193" s="56"/>
      <c r="BT193" s="56"/>
      <c r="BU193" s="136"/>
      <c r="BV193" s="137">
        <f>'FBMS-HND LEVEL TWO'!O843</f>
        <v>3</v>
      </c>
      <c r="BW193" s="131"/>
      <c r="BX193" s="56"/>
      <c r="BY193" s="56"/>
      <c r="BZ193" s="136"/>
      <c r="CA193" s="137">
        <f>'FBMS-HND LEVEL TWO'!O899</f>
        <v>1</v>
      </c>
      <c r="CB193" s="131"/>
      <c r="CC193" s="56"/>
      <c r="CD193" s="56"/>
      <c r="CE193" s="136"/>
      <c r="CF193" s="137">
        <f>'FBMS-HND LEVEL TWO'!O934</f>
        <v>0</v>
      </c>
      <c r="CG193" s="131"/>
      <c r="CH193" s="56"/>
      <c r="CI193" s="56"/>
      <c r="CJ193" s="136"/>
      <c r="CK193" s="137">
        <f>'FBMS-HND LEVEL TWO'!O967</f>
        <v>0</v>
      </c>
      <c r="CL193" s="131"/>
      <c r="CM193" s="56"/>
      <c r="CN193" s="56"/>
      <c r="CO193" s="136"/>
      <c r="CP193" s="137">
        <f>'FBMS-HND LEVEL TWO'!O1001</f>
        <v>1</v>
      </c>
      <c r="CQ193" s="131"/>
      <c r="CR193" s="56"/>
      <c r="CS193" s="56"/>
      <c r="CT193" s="136"/>
      <c r="CU193" s="137">
        <f>'FBMS-HND LEVEL TWO'!O1033</f>
        <v>1</v>
      </c>
      <c r="CV193" s="131"/>
      <c r="CW193" s="56"/>
      <c r="CX193" s="56"/>
      <c r="CY193" s="136"/>
      <c r="CZ193" s="137">
        <f>'FBMS-HND LEVEL TWO'!O1068</f>
        <v>1</v>
      </c>
      <c r="DA193" s="131"/>
      <c r="DB193" s="56"/>
      <c r="DC193" s="56"/>
      <c r="DD193" s="136"/>
      <c r="DE193" s="137">
        <f>'FBMS-HND LEVEL TWO'!O1103</f>
        <v>3</v>
      </c>
      <c r="DF193" s="131"/>
      <c r="DG193" s="56"/>
      <c r="DH193" s="56"/>
      <c r="DI193" s="136"/>
      <c r="DJ193" s="137">
        <f>'FBMS-HND LEVEL TWO'!O1135</f>
        <v>1</v>
      </c>
      <c r="DK193" s="131"/>
      <c r="DL193" s="56"/>
      <c r="DM193" s="56"/>
      <c r="DN193" s="136"/>
      <c r="DO193" s="137">
        <f>'FBMS-HND LEVEL TWO'!O1171</f>
        <v>0</v>
      </c>
      <c r="DP193" s="131"/>
      <c r="DQ193" s="56"/>
      <c r="DR193" s="56"/>
      <c r="DS193" s="56"/>
      <c r="DT193" s="142">
        <f>'FBMS-HND LEVEL TWO'!O1205</f>
        <v>0</v>
      </c>
      <c r="DU193" s="131"/>
      <c r="DV193" s="56"/>
      <c r="DW193" s="56"/>
      <c r="DX193" s="56"/>
      <c r="DY193" s="142">
        <f>'FBMS-HND LEVEL TWO'!O1237</f>
        <v>0</v>
      </c>
      <c r="DZ193" s="131"/>
      <c r="EA193" s="56"/>
      <c r="EB193" s="56"/>
      <c r="EC193" s="56"/>
      <c r="ED193" s="142">
        <f>COUNTIF(EC127:EC180,"&lt;50")</f>
        <v>3</v>
      </c>
    </row>
    <row r="194" spans="1:134" x14ac:dyDescent="0.3">
      <c r="A194" s="131"/>
      <c r="B194" s="56"/>
      <c r="C194" s="135" t="s">
        <v>26</v>
      </c>
      <c r="D194" s="372"/>
      <c r="E194" s="131"/>
      <c r="F194" s="56"/>
      <c r="G194" s="56"/>
      <c r="H194" s="333"/>
      <c r="I194" s="334">
        <f>'FBMS-HND LEVEL TWO'!O16</f>
        <v>22.916666666666668</v>
      </c>
      <c r="J194" s="131"/>
      <c r="K194" s="56"/>
      <c r="L194" s="56"/>
      <c r="M194" s="333"/>
      <c r="N194" s="334">
        <f>'FBMS-HND LEVEL TWO'!O85</f>
        <v>4.166666666666667</v>
      </c>
      <c r="O194" s="131"/>
      <c r="P194" s="56"/>
      <c r="Q194" s="56"/>
      <c r="R194" s="333"/>
      <c r="S194" s="334">
        <f>'FBMS-HND LEVEL TWO'!O154</f>
        <v>0</v>
      </c>
      <c r="T194" s="131"/>
      <c r="U194" s="56"/>
      <c r="V194" s="56"/>
      <c r="W194" s="333"/>
      <c r="X194" s="334">
        <f>'FBMS-HND LEVEL TWO'!O227</f>
        <v>20.408163265306122</v>
      </c>
      <c r="Y194" s="131"/>
      <c r="Z194" s="56"/>
      <c r="AA194" s="56"/>
      <c r="AB194" s="333"/>
      <c r="AC194" s="334">
        <f>'FBMS-HND LEVEL TWO'!O301</f>
        <v>14.285714285714286</v>
      </c>
      <c r="AD194" s="131"/>
      <c r="AE194" s="56"/>
      <c r="AF194" s="56"/>
      <c r="AG194" s="333"/>
      <c r="AH194" s="334">
        <f>'FBMS-HND LEVEL TWO'!O376</f>
        <v>13.793103448275863</v>
      </c>
      <c r="AI194" s="131"/>
      <c r="AJ194" s="56"/>
      <c r="AK194" s="56"/>
      <c r="AL194" s="333"/>
      <c r="AM194" s="334">
        <f>'FBMS-HND LEVEL TWO'!O427</f>
        <v>2.1276595744680851</v>
      </c>
      <c r="AN194" s="131"/>
      <c r="AO194" s="56"/>
      <c r="AP194" s="56"/>
      <c r="AQ194" s="333"/>
      <c r="AR194" s="334">
        <f>'FBMS-HND LEVEL TWO'!O502</f>
        <v>20.833333333333336</v>
      </c>
      <c r="AS194" s="131"/>
      <c r="AT194" s="56"/>
      <c r="AU194" s="56"/>
      <c r="AV194" s="333"/>
      <c r="AW194" s="334">
        <f>'FBMS-HND LEVEL TWO'!O580</f>
        <v>8.1632653061224492</v>
      </c>
      <c r="AX194" s="131"/>
      <c r="AY194" s="56"/>
      <c r="AZ194" s="56"/>
      <c r="BA194" s="333"/>
      <c r="BB194" s="334">
        <f>'FBMS-HND LEVEL TWO'!O653</f>
        <v>34.482758620689658</v>
      </c>
      <c r="BC194" s="131"/>
      <c r="BD194" s="56"/>
      <c r="BE194" s="56"/>
      <c r="BF194" s="333"/>
      <c r="BG194" s="334">
        <f>'FBMS-HND LEVEL TWO'!O705</f>
        <v>21.428571428571427</v>
      </c>
      <c r="BH194" s="131"/>
      <c r="BI194" s="56"/>
      <c r="BJ194" s="56"/>
      <c r="BK194" s="333"/>
      <c r="BL194" s="334">
        <f>'FBMS-HND LEVEL TWO'!O759</f>
        <v>15</v>
      </c>
      <c r="BM194" s="131"/>
      <c r="BN194" s="56"/>
      <c r="BO194" s="56"/>
      <c r="BP194" s="333"/>
      <c r="BQ194" s="334">
        <f>'FBMS-HND LEVEL TWO'!O803</f>
        <v>9.5238095238095237</v>
      </c>
      <c r="BR194" s="131"/>
      <c r="BS194" s="56"/>
      <c r="BT194" s="56"/>
      <c r="BU194" s="333"/>
      <c r="BV194" s="334">
        <f>'FBMS-HND LEVEL TWO'!O844</f>
        <v>10</v>
      </c>
      <c r="BW194" s="131"/>
      <c r="BX194" s="56"/>
      <c r="BY194" s="56"/>
      <c r="BZ194" s="333"/>
      <c r="CA194" s="334">
        <f>'FBMS-HND LEVEL TWO'!O900</f>
        <v>11.111111111111111</v>
      </c>
      <c r="CB194" s="131"/>
      <c r="CC194" s="56"/>
      <c r="CD194" s="56"/>
      <c r="CE194" s="333"/>
      <c r="CF194" s="334">
        <f>'FBMS-HND LEVEL TWO'!O935</f>
        <v>0</v>
      </c>
      <c r="CG194" s="131"/>
      <c r="CH194" s="56"/>
      <c r="CI194" s="56"/>
      <c r="CJ194" s="333"/>
      <c r="CK194" s="334">
        <f>'FBMS-HND LEVEL TWO'!O968</f>
        <v>0</v>
      </c>
      <c r="CL194" s="131"/>
      <c r="CM194" s="56"/>
      <c r="CN194" s="56"/>
      <c r="CO194" s="333"/>
      <c r="CP194" s="334">
        <f>'FBMS-HND LEVEL TWO'!O1002</f>
        <v>10</v>
      </c>
      <c r="CQ194" s="131"/>
      <c r="CR194" s="56"/>
      <c r="CS194" s="56"/>
      <c r="CT194" s="333"/>
      <c r="CU194" s="334">
        <f>'FBMS-HND LEVEL TWO'!O1034</f>
        <v>10</v>
      </c>
      <c r="CV194" s="131"/>
      <c r="CW194" s="56"/>
      <c r="CX194" s="56"/>
      <c r="CY194" s="333"/>
      <c r="CZ194" s="334">
        <f>'FBMS-HND LEVEL TWO'!O1069</f>
        <v>10</v>
      </c>
      <c r="DA194" s="131"/>
      <c r="DB194" s="56"/>
      <c r="DC194" s="56"/>
      <c r="DD194" s="333"/>
      <c r="DE194" s="334">
        <f>'FBMS-HND LEVEL TWO'!O1104</f>
        <v>30</v>
      </c>
      <c r="DF194" s="131"/>
      <c r="DG194" s="56"/>
      <c r="DH194" s="56"/>
      <c r="DI194" s="333"/>
      <c r="DJ194" s="334">
        <f>'FBMS-HND LEVEL TWO'!O1136</f>
        <v>10</v>
      </c>
      <c r="DK194" s="131"/>
      <c r="DL194" s="56"/>
      <c r="DM194" s="56"/>
      <c r="DN194" s="333"/>
      <c r="DO194" s="334">
        <f>'FBMS-HND LEVEL TWO'!O1172</f>
        <v>0</v>
      </c>
      <c r="DP194" s="131"/>
      <c r="DQ194" s="56"/>
      <c r="DR194" s="56"/>
      <c r="DS194" s="56"/>
      <c r="DT194" s="142">
        <f>'FBMS-HND LEVEL TWO'!O1206</f>
        <v>0</v>
      </c>
      <c r="DU194" s="131"/>
      <c r="DV194" s="56"/>
      <c r="DW194" s="56"/>
      <c r="DX194" s="56"/>
      <c r="DY194" s="142">
        <f>'FBMS-HND LEVEL TWO'!O1238</f>
        <v>0</v>
      </c>
      <c r="DZ194" s="131"/>
      <c r="EA194" s="56"/>
      <c r="EB194" s="56"/>
      <c r="EC194" s="56"/>
      <c r="ED194" s="142">
        <f>ED193/ED189</f>
        <v>0.25</v>
      </c>
    </row>
    <row r="195" spans="1:134" x14ac:dyDescent="0.3">
      <c r="A195" s="131"/>
      <c r="B195" s="56"/>
      <c r="C195" s="135" t="s">
        <v>27</v>
      </c>
      <c r="D195" s="372"/>
      <c r="E195" s="131"/>
      <c r="F195" s="56"/>
      <c r="G195" s="56"/>
      <c r="H195" s="331"/>
      <c r="I195" s="332">
        <f>'FBMS-HND LEVEL TWO'!O17</f>
        <v>52.541666666666664</v>
      </c>
      <c r="J195" s="138"/>
      <c r="K195" s="139"/>
      <c r="L195" s="139"/>
      <c r="M195" s="331"/>
      <c r="N195" s="332">
        <f>'FBMS-HND LEVEL TWO'!O86</f>
        <v>68.041666666666671</v>
      </c>
      <c r="O195" s="138"/>
      <c r="P195" s="139"/>
      <c r="Q195" s="139"/>
      <c r="R195" s="331"/>
      <c r="S195" s="332">
        <f>'FBMS-HND LEVEL TWO'!O155</f>
        <v>66.908163265306129</v>
      </c>
      <c r="T195" s="138"/>
      <c r="U195" s="139"/>
      <c r="V195" s="139"/>
      <c r="W195" s="331"/>
      <c r="X195" s="332">
        <f>'FBMS-HND LEVEL TWO'!O228</f>
        <v>61.857142857142854</v>
      </c>
      <c r="Y195" s="138"/>
      <c r="Z195" s="139"/>
      <c r="AA195" s="139"/>
      <c r="AB195" s="331"/>
      <c r="AC195" s="332">
        <f>'FBMS-HND LEVEL TWO'!O302</f>
        <v>57.265306122448976</v>
      </c>
      <c r="AD195" s="138"/>
      <c r="AE195" s="139"/>
      <c r="AF195" s="139"/>
      <c r="AG195" s="331"/>
      <c r="AH195" s="332">
        <f>'FBMS-HND LEVEL TWO'!O377</f>
        <v>61.103448275862071</v>
      </c>
      <c r="AI195" s="131"/>
      <c r="AJ195" s="56"/>
      <c r="AK195" s="56"/>
      <c r="AL195" s="331"/>
      <c r="AM195" s="332">
        <f>'FBMS-HND LEVEL TWO'!O428</f>
        <v>71.680851063829792</v>
      </c>
      <c r="AN195" s="138"/>
      <c r="AO195" s="139"/>
      <c r="AP195" s="139"/>
      <c r="AQ195" s="331"/>
      <c r="AR195" s="332">
        <f>'FBMS-HND LEVEL TWO'!O503</f>
        <v>64.802083333333329</v>
      </c>
      <c r="AS195" s="138"/>
      <c r="AT195" s="139"/>
      <c r="AU195" s="139"/>
      <c r="AV195" s="331"/>
      <c r="AW195" s="332">
        <f>'FBMS-HND LEVEL TWO'!O581</f>
        <v>72.974387755102043</v>
      </c>
      <c r="AX195" s="138"/>
      <c r="AY195" s="139"/>
      <c r="AZ195" s="139"/>
      <c r="BA195" s="331"/>
      <c r="BB195" s="332">
        <f>'FBMS-HND LEVEL TWO'!O654</f>
        <v>57.827586206896555</v>
      </c>
      <c r="BC195" s="138"/>
      <c r="BD195" s="139"/>
      <c r="BE195" s="139"/>
      <c r="BF195" s="331"/>
      <c r="BG195" s="332">
        <f>'FBMS-HND LEVEL TWO'!O706</f>
        <v>57.232142857142854</v>
      </c>
      <c r="BH195" s="138"/>
      <c r="BI195" s="139"/>
      <c r="BJ195" s="139"/>
      <c r="BK195" s="331"/>
      <c r="BL195" s="332">
        <f>'FBMS-HND LEVEL TWO'!O760</f>
        <v>60.9</v>
      </c>
      <c r="BM195" s="138"/>
      <c r="BN195" s="139"/>
      <c r="BO195" s="139"/>
      <c r="BP195" s="331"/>
      <c r="BQ195" s="332">
        <f>'FBMS-HND LEVEL TWO'!O804</f>
        <v>71.5</v>
      </c>
      <c r="BR195" s="138"/>
      <c r="BS195" s="139"/>
      <c r="BT195" s="139"/>
      <c r="BU195" s="331"/>
      <c r="BV195" s="332">
        <f>'FBMS-HND LEVEL TWO'!O845</f>
        <v>59.85</v>
      </c>
      <c r="BW195" s="138"/>
      <c r="BX195" s="139"/>
      <c r="BY195" s="139"/>
      <c r="BZ195" s="331"/>
      <c r="CA195" s="332">
        <f>'FBMS-HND LEVEL TWO'!O901</f>
        <v>65.666666666666671</v>
      </c>
      <c r="CB195" s="138"/>
      <c r="CC195" s="139"/>
      <c r="CD195" s="139"/>
      <c r="CE195" s="331"/>
      <c r="CF195" s="332">
        <f>'FBMS-HND LEVEL TWO'!O936</f>
        <v>68.166666666666671</v>
      </c>
      <c r="CG195" s="138"/>
      <c r="CH195" s="139"/>
      <c r="CI195" s="139"/>
      <c r="CJ195" s="331"/>
      <c r="CK195" s="332">
        <f>'FBMS-HND LEVEL TWO'!O969</f>
        <v>62.5</v>
      </c>
      <c r="CL195" s="138"/>
      <c r="CM195" s="139"/>
      <c r="CN195" s="139"/>
      <c r="CO195" s="331"/>
      <c r="CP195" s="332">
        <f>'FBMS-HND LEVEL TWO'!O1003</f>
        <v>72.650000000000006</v>
      </c>
      <c r="CQ195" s="131"/>
      <c r="CR195" s="56"/>
      <c r="CS195" s="56"/>
      <c r="CT195" s="331"/>
      <c r="CU195" s="332">
        <f>'FBMS-HND LEVEL TWO'!O1035</f>
        <v>68.349999999999994</v>
      </c>
      <c r="CV195" s="138"/>
      <c r="CW195" s="139"/>
      <c r="CX195" s="139"/>
      <c r="CY195" s="331"/>
      <c r="CZ195" s="332">
        <f>'FBMS-HND LEVEL TWO'!O1070</f>
        <v>57.55</v>
      </c>
      <c r="DA195" s="138"/>
      <c r="DB195" s="139"/>
      <c r="DC195" s="139"/>
      <c r="DD195" s="331"/>
      <c r="DE195" s="332">
        <f>'FBMS-HND LEVEL TWO'!O1105</f>
        <v>62.3</v>
      </c>
      <c r="DF195" s="138"/>
      <c r="DG195" s="139"/>
      <c r="DH195" s="139"/>
      <c r="DI195" s="331"/>
      <c r="DJ195" s="332">
        <f>'FBMS-HND LEVEL TWO'!O1137</f>
        <v>63.25</v>
      </c>
      <c r="DK195" s="138"/>
      <c r="DL195" s="139"/>
      <c r="DM195" s="139"/>
      <c r="DN195" s="331"/>
      <c r="DO195" s="332">
        <f>'FBMS-HND LEVEL TWO'!O1173</f>
        <v>79.555555555555557</v>
      </c>
      <c r="DP195" s="131"/>
      <c r="DQ195" s="56"/>
      <c r="DR195" s="56"/>
      <c r="DS195" s="56"/>
      <c r="DT195" s="142">
        <f>'FBMS-HND LEVEL TWO'!O1207</f>
        <v>84.555555555555557</v>
      </c>
      <c r="DU195" s="131"/>
      <c r="DV195" s="56"/>
      <c r="DW195" s="56"/>
      <c r="DX195" s="56"/>
      <c r="DY195" s="142">
        <f>'FBMS-HND LEVEL TWO'!O1239</f>
        <v>64.111111111111114</v>
      </c>
      <c r="DZ195" s="131"/>
      <c r="EA195" s="56"/>
      <c r="EB195" s="56"/>
      <c r="EC195" s="56"/>
      <c r="ED195" s="142">
        <f>AVERAGE(EC127:EC180)</f>
        <v>50.5</v>
      </c>
    </row>
    <row r="196" spans="1:134" x14ac:dyDescent="0.3">
      <c r="A196" s="131"/>
      <c r="B196" s="56"/>
      <c r="C196" s="140" t="s">
        <v>17</v>
      </c>
      <c r="D196" s="373"/>
      <c r="E196" s="141"/>
      <c r="F196" s="56"/>
      <c r="G196" s="56"/>
      <c r="H196" s="56"/>
      <c r="I196" s="142"/>
      <c r="J196" s="131"/>
      <c r="K196" s="56"/>
      <c r="L196" s="56"/>
      <c r="M196" s="56"/>
      <c r="N196" s="142"/>
      <c r="O196" s="131"/>
      <c r="P196" s="56"/>
      <c r="Q196" s="56"/>
      <c r="R196" s="56"/>
      <c r="S196" s="142"/>
      <c r="T196" s="131"/>
      <c r="U196" s="56"/>
      <c r="V196" s="56"/>
      <c r="W196" s="56"/>
      <c r="X196" s="142"/>
      <c r="Y196" s="131"/>
      <c r="Z196" s="56"/>
      <c r="AA196" s="56"/>
      <c r="AB196" s="56"/>
      <c r="AC196" s="142"/>
      <c r="AD196" s="131"/>
      <c r="AE196" s="56"/>
      <c r="AF196" s="56"/>
      <c r="AG196" s="56"/>
      <c r="AH196" s="142"/>
      <c r="AI196" s="141"/>
      <c r="AJ196" s="56"/>
      <c r="AK196" s="56"/>
      <c r="AL196" s="56"/>
      <c r="AM196" s="142"/>
      <c r="AN196" s="131"/>
      <c r="AO196" s="56"/>
      <c r="AP196" s="56"/>
      <c r="AQ196" s="56"/>
      <c r="AR196" s="142"/>
      <c r="AS196" s="131"/>
      <c r="AT196" s="56"/>
      <c r="AU196" s="56"/>
      <c r="AV196" s="56"/>
      <c r="AW196" s="142"/>
      <c r="AX196" s="131"/>
      <c r="AY196" s="56"/>
      <c r="AZ196" s="56"/>
      <c r="BA196" s="56"/>
      <c r="BB196" s="142"/>
      <c r="BC196" s="131"/>
      <c r="BD196" s="56"/>
      <c r="BE196" s="56"/>
      <c r="BF196" s="56"/>
      <c r="BG196" s="142"/>
      <c r="BH196" s="131"/>
      <c r="BI196" s="56"/>
      <c r="BJ196" s="56"/>
      <c r="BK196" s="56"/>
      <c r="BL196" s="142"/>
      <c r="BM196" s="131"/>
      <c r="BN196" s="56"/>
      <c r="BO196" s="56"/>
      <c r="BP196" s="56"/>
      <c r="BQ196" s="142"/>
      <c r="BR196" s="131"/>
      <c r="BS196" s="56"/>
      <c r="BT196" s="56"/>
      <c r="BU196" s="56"/>
      <c r="BV196" s="142"/>
      <c r="BW196" s="131"/>
      <c r="BX196" s="56"/>
      <c r="BY196" s="56"/>
      <c r="BZ196" s="56"/>
      <c r="CA196" s="142"/>
      <c r="CB196" s="131"/>
      <c r="CC196" s="56"/>
      <c r="CD196" s="56"/>
      <c r="CE196" s="56"/>
      <c r="CF196" s="142"/>
      <c r="CG196" s="131"/>
      <c r="CH196" s="56"/>
      <c r="CI196" s="56"/>
      <c r="CJ196" s="56"/>
      <c r="CK196" s="142"/>
      <c r="CL196" s="131"/>
      <c r="CM196" s="56"/>
      <c r="CN196" s="56"/>
      <c r="CO196" s="56"/>
      <c r="CP196" s="142"/>
      <c r="CQ196" s="141"/>
      <c r="CR196" s="56"/>
      <c r="CS196" s="56"/>
      <c r="CT196" s="56"/>
      <c r="CU196" s="142"/>
      <c r="CV196" s="131"/>
      <c r="CW196" s="56"/>
      <c r="CX196" s="56"/>
      <c r="CY196" s="56"/>
      <c r="CZ196" s="142"/>
      <c r="DA196" s="131"/>
      <c r="DB196" s="56"/>
      <c r="DC196" s="56"/>
      <c r="DD196" s="56"/>
      <c r="DE196" s="142"/>
      <c r="DF196" s="131"/>
      <c r="DG196" s="56"/>
      <c r="DH196" s="56"/>
      <c r="DI196" s="56"/>
      <c r="DJ196" s="142"/>
      <c r="DK196" s="131"/>
      <c r="DL196" s="56"/>
      <c r="DM196" s="56"/>
      <c r="DN196" s="56"/>
      <c r="DO196" s="142"/>
      <c r="DP196" s="131"/>
      <c r="DQ196" s="56"/>
      <c r="DR196" s="56"/>
      <c r="DS196" s="56"/>
      <c r="DT196" s="142"/>
      <c r="DU196" s="131"/>
      <c r="DV196" s="56"/>
      <c r="DW196" s="56"/>
      <c r="DX196" s="56"/>
      <c r="DY196" s="142"/>
      <c r="DZ196" s="131"/>
      <c r="EA196" s="56"/>
      <c r="EB196" s="56"/>
      <c r="EC196" s="56"/>
      <c r="ED196" s="142"/>
    </row>
    <row r="197" spans="1:134" x14ac:dyDescent="0.3">
      <c r="A197" s="131"/>
      <c r="B197" s="56"/>
      <c r="C197" s="135" t="s">
        <v>28</v>
      </c>
      <c r="D197" s="372"/>
      <c r="E197" s="131"/>
      <c r="F197" s="56"/>
      <c r="G197" s="56"/>
      <c r="H197" s="56"/>
      <c r="I197" s="143">
        <f>COUNTIF(I127:I180,"A")</f>
        <v>0</v>
      </c>
      <c r="J197" s="131"/>
      <c r="K197" s="56"/>
      <c r="L197" s="56"/>
      <c r="M197" s="56"/>
      <c r="N197" s="143">
        <f>COUNTIF(N127:N180,"A")</f>
        <v>7</v>
      </c>
      <c r="O197" s="131"/>
      <c r="P197" s="56"/>
      <c r="Q197" s="56"/>
      <c r="R197" s="56"/>
      <c r="S197" s="143">
        <f>COUNTIF(S127:S180,"A")</f>
        <v>2</v>
      </c>
      <c r="T197" s="131"/>
      <c r="U197" s="56"/>
      <c r="V197" s="56"/>
      <c r="W197" s="56"/>
      <c r="X197" s="143">
        <f>COUNTIF(X127:X180,"A")</f>
        <v>9</v>
      </c>
      <c r="Y197" s="131"/>
      <c r="Z197" s="56"/>
      <c r="AA197" s="56"/>
      <c r="AB197" s="56"/>
      <c r="AC197" s="143">
        <f>COUNTIF(AC127:AC180,"A")</f>
        <v>2</v>
      </c>
      <c r="AD197" s="131"/>
      <c r="AE197" s="56"/>
      <c r="AF197" s="56"/>
      <c r="AG197" s="56"/>
      <c r="AH197" s="143">
        <f>COUNTIF(AH127:AH180,"A")</f>
        <v>5</v>
      </c>
      <c r="AI197" s="131"/>
      <c r="AJ197" s="56"/>
      <c r="AK197" s="56"/>
      <c r="AL197" s="56"/>
      <c r="AM197" s="143">
        <f>COUNTIF(AM127:AM180,"A")</f>
        <v>15</v>
      </c>
      <c r="AN197" s="131"/>
      <c r="AO197" s="56"/>
      <c r="AP197" s="56"/>
      <c r="AQ197" s="56"/>
      <c r="AR197" s="143">
        <f>COUNTIF(AR127:AR180,"A")</f>
        <v>11</v>
      </c>
      <c r="AS197" s="131"/>
      <c r="AT197" s="56"/>
      <c r="AU197" s="56"/>
      <c r="AV197" s="56"/>
      <c r="AW197" s="143">
        <f>COUNTIF(AW127:AW180,"A")</f>
        <v>20</v>
      </c>
      <c r="AX197" s="131"/>
      <c r="AY197" s="56"/>
      <c r="AZ197" s="56"/>
      <c r="BA197" s="56"/>
      <c r="BB197" s="143">
        <f>COUNTIF(BB127:BB180,"A")</f>
        <v>3</v>
      </c>
      <c r="BC197" s="131"/>
      <c r="BD197" s="56"/>
      <c r="BE197" s="56"/>
      <c r="BF197" s="56"/>
      <c r="BG197" s="143">
        <f>COUNTIF(BG127:BG180,"A")</f>
        <v>3</v>
      </c>
      <c r="BH197" s="131"/>
      <c r="BI197" s="56"/>
      <c r="BJ197" s="56"/>
      <c r="BK197" s="56"/>
      <c r="BL197" s="143">
        <f>COUNTIF(BL127:BL181,"A")</f>
        <v>3</v>
      </c>
      <c r="BM197" s="131"/>
      <c r="BN197" s="56"/>
      <c r="BO197" s="56"/>
      <c r="BP197" s="56"/>
      <c r="BQ197" s="143">
        <f>COUNTIF(BQ127:BQ180,"A")</f>
        <v>8</v>
      </c>
      <c r="BR197" s="131"/>
      <c r="BS197" s="56"/>
      <c r="BT197" s="56"/>
      <c r="BU197" s="56"/>
      <c r="BV197" s="143">
        <f>COUNTIF(BV127:BV180,"A")</f>
        <v>4</v>
      </c>
      <c r="BW197" s="131"/>
      <c r="BX197" s="56"/>
      <c r="BY197" s="56"/>
      <c r="BZ197" s="56"/>
      <c r="CA197" s="143">
        <f>COUNTIF(CA127:CA180,"A")</f>
        <v>1</v>
      </c>
      <c r="CB197" s="131"/>
      <c r="CC197" s="56"/>
      <c r="CD197" s="56"/>
      <c r="CE197" s="56"/>
      <c r="CF197" s="143">
        <f>COUNTIF(CF127:CF180,"A")</f>
        <v>1</v>
      </c>
      <c r="CG197" s="131"/>
      <c r="CH197" s="56"/>
      <c r="CI197" s="56"/>
      <c r="CJ197" s="56"/>
      <c r="CK197" s="143">
        <f>COUNTIF(CK127:CK180,"A")</f>
        <v>0</v>
      </c>
      <c r="CL197" s="131"/>
      <c r="CM197" s="56"/>
      <c r="CN197" s="56"/>
      <c r="CO197" s="56"/>
      <c r="CP197" s="143">
        <f>COUNTIF(CP127:CP180,"A")</f>
        <v>3</v>
      </c>
      <c r="CQ197" s="131"/>
      <c r="CR197" s="56"/>
      <c r="CS197" s="56"/>
      <c r="CT197" s="56"/>
      <c r="CU197" s="143">
        <f>COUNTIF(CU127:CU180,"A")</f>
        <v>3</v>
      </c>
      <c r="CV197" s="131"/>
      <c r="CW197" s="56"/>
      <c r="CX197" s="56"/>
      <c r="CY197" s="56"/>
      <c r="CZ197" s="143">
        <f>COUNTIF(CZ127:CZ180,"A")</f>
        <v>0</v>
      </c>
      <c r="DA197" s="131"/>
      <c r="DB197" s="56"/>
      <c r="DC197" s="56"/>
      <c r="DD197" s="56"/>
      <c r="DE197" s="143">
        <f>COUNTIF(DE127:DE180,"A")</f>
        <v>2</v>
      </c>
      <c r="DF197" s="131"/>
      <c r="DG197" s="56"/>
      <c r="DH197" s="56"/>
      <c r="DI197" s="56"/>
      <c r="DJ197" s="143">
        <f>COUNTIF(DJ127:DJ180,"A")</f>
        <v>0</v>
      </c>
      <c r="DK197" s="131"/>
      <c r="DL197" s="56"/>
      <c r="DM197" s="56"/>
      <c r="DN197" s="56"/>
      <c r="DO197" s="143">
        <f>COUNTIF(DO127:DO180,"A")</f>
        <v>5</v>
      </c>
      <c r="DP197" s="131"/>
      <c r="DQ197" s="56"/>
      <c r="DR197" s="56"/>
      <c r="DS197" s="56"/>
      <c r="DT197" s="142">
        <f>COUNTIF(DT127:DT180,"A")</f>
        <v>6</v>
      </c>
      <c r="DU197" s="131"/>
      <c r="DV197" s="56"/>
      <c r="DW197" s="56"/>
      <c r="DX197" s="56"/>
      <c r="DY197" s="142">
        <f>COUNTIF(DY127:DY180,"A")</f>
        <v>0</v>
      </c>
      <c r="DZ197" s="131"/>
      <c r="EA197" s="56"/>
      <c r="EB197" s="56"/>
      <c r="EC197" s="56"/>
      <c r="ED197" s="142">
        <f>COUNTIF(ED127:ED180,"A")</f>
        <v>1</v>
      </c>
    </row>
    <row r="198" spans="1:134" x14ac:dyDescent="0.3">
      <c r="A198" s="131"/>
      <c r="B198" s="56"/>
      <c r="C198" s="135" t="s">
        <v>29</v>
      </c>
      <c r="D198" s="372"/>
      <c r="E198" s="131"/>
      <c r="F198" s="56"/>
      <c r="G198" s="56"/>
      <c r="H198" s="56"/>
      <c r="I198" s="143">
        <f>COUNTIF(I127:I180,"B+")</f>
        <v>2</v>
      </c>
      <c r="J198" s="131"/>
      <c r="K198" s="56"/>
      <c r="L198" s="56"/>
      <c r="M198" s="56"/>
      <c r="N198" s="143">
        <f>COUNTIF(N127:N180,"B+")</f>
        <v>13</v>
      </c>
      <c r="O198" s="131"/>
      <c r="P198" s="56"/>
      <c r="Q198" s="56"/>
      <c r="R198" s="56"/>
      <c r="S198" s="143">
        <f>COUNTIF(S127:S180,"B+")</f>
        <v>13</v>
      </c>
      <c r="T198" s="131"/>
      <c r="U198" s="56"/>
      <c r="V198" s="56"/>
      <c r="W198" s="56"/>
      <c r="X198" s="143">
        <f>COUNTIF(X127:X180,"B+")</f>
        <v>4</v>
      </c>
      <c r="Y198" s="131"/>
      <c r="Z198" s="56"/>
      <c r="AA198" s="56"/>
      <c r="AB198" s="56"/>
      <c r="AC198" s="143">
        <f>COUNTIF(AC127:AC180,"B+")</f>
        <v>5</v>
      </c>
      <c r="AD198" s="131"/>
      <c r="AE198" s="56"/>
      <c r="AF198" s="56"/>
      <c r="AG198" s="56"/>
      <c r="AH198" s="143">
        <f>COUNTIF(AH127:AH180,"B+")</f>
        <v>2</v>
      </c>
      <c r="AI198" s="131"/>
      <c r="AJ198" s="56"/>
      <c r="AK198" s="56"/>
      <c r="AL198" s="56"/>
      <c r="AM198" s="143">
        <f>COUNTIF(AM127:AM180,"B+")</f>
        <v>13</v>
      </c>
      <c r="AN198" s="131"/>
      <c r="AO198" s="56"/>
      <c r="AP198" s="56"/>
      <c r="AQ198" s="56"/>
      <c r="AR198" s="143">
        <f>COUNTIF(AR127:AR180,"B+")</f>
        <v>9</v>
      </c>
      <c r="AS198" s="131"/>
      <c r="AT198" s="56"/>
      <c r="AU198" s="56"/>
      <c r="AV198" s="56"/>
      <c r="AW198" s="143">
        <f>COUNTIF(AW127:AW180,"B+")</f>
        <v>14</v>
      </c>
      <c r="AX198" s="131"/>
      <c r="AY198" s="56"/>
      <c r="AZ198" s="56"/>
      <c r="BA198" s="56"/>
      <c r="BB198" s="143">
        <f>COUNTIF(BB127:BB180,"B+")</f>
        <v>6</v>
      </c>
      <c r="BC198" s="131"/>
      <c r="BD198" s="56"/>
      <c r="BE198" s="56"/>
      <c r="BF198" s="56"/>
      <c r="BG198" s="143">
        <f>COUNTIF(BG127:BG180,"B+")</f>
        <v>3</v>
      </c>
      <c r="BH198" s="131"/>
      <c r="BI198" s="56"/>
      <c r="BJ198" s="56"/>
      <c r="BK198" s="56"/>
      <c r="BL198" s="143">
        <f>COUNTIF(BL127:BL181,"B+")</f>
        <v>2</v>
      </c>
      <c r="BM198" s="131"/>
      <c r="BN198" s="56"/>
      <c r="BO198" s="56"/>
      <c r="BP198" s="56"/>
      <c r="BQ198" s="143">
        <f>COUNTIF(BQ127:BQ180,"B+")</f>
        <v>4</v>
      </c>
      <c r="BR198" s="131"/>
      <c r="BS198" s="56"/>
      <c r="BT198" s="56"/>
      <c r="BU198" s="56"/>
      <c r="BV198" s="143">
        <f>COUNTIF(BV127:BV180,"B+")</f>
        <v>2</v>
      </c>
      <c r="BW198" s="131"/>
      <c r="BX198" s="56"/>
      <c r="BY198" s="56"/>
      <c r="BZ198" s="56"/>
      <c r="CA198" s="143">
        <f>COUNTIF(CA127:CA180,"B+")</f>
        <v>2</v>
      </c>
      <c r="CB198" s="131"/>
      <c r="CC198" s="56"/>
      <c r="CD198" s="56"/>
      <c r="CE198" s="56"/>
      <c r="CF198" s="143">
        <f>COUNTIF(CF127:CF180,"B+")</f>
        <v>0</v>
      </c>
      <c r="CG198" s="131"/>
      <c r="CH198" s="56"/>
      <c r="CI198" s="56"/>
      <c r="CJ198" s="56"/>
      <c r="CK198" s="143">
        <f>COUNTIF(CK127:CK180,"B+")</f>
        <v>1</v>
      </c>
      <c r="CL198" s="131"/>
      <c r="CM198" s="56"/>
      <c r="CN198" s="56"/>
      <c r="CO198" s="56"/>
      <c r="CP198" s="143">
        <f>COUNTIF(CP127:CP180,"B+")</f>
        <v>5</v>
      </c>
      <c r="CQ198" s="131"/>
      <c r="CR198" s="56"/>
      <c r="CS198" s="56"/>
      <c r="CT198" s="56"/>
      <c r="CU198" s="143">
        <f>COUNTIF(CU127:CU180,"B+")</f>
        <v>1</v>
      </c>
      <c r="CV198" s="131"/>
      <c r="CW198" s="56"/>
      <c r="CX198" s="56"/>
      <c r="CY198" s="56"/>
      <c r="CZ198" s="143">
        <f>COUNTIF(CZ127:CZ180,"B+")</f>
        <v>1</v>
      </c>
      <c r="DA198" s="131"/>
      <c r="DB198" s="56"/>
      <c r="DC198" s="56"/>
      <c r="DD198" s="56"/>
      <c r="DE198" s="143">
        <f>COUNTIF(DE127:DE180,"B+")</f>
        <v>2</v>
      </c>
      <c r="DF198" s="131"/>
      <c r="DG198" s="56"/>
      <c r="DH198" s="56"/>
      <c r="DI198" s="56"/>
      <c r="DJ198" s="143">
        <f>COUNTIF(DJ127:DJ180,"B+")</f>
        <v>2</v>
      </c>
      <c r="DK198" s="131"/>
      <c r="DL198" s="56"/>
      <c r="DM198" s="56"/>
      <c r="DN198" s="56"/>
      <c r="DO198" s="143">
        <f>COUNTIF(DO127:DO180,"B+")</f>
        <v>3</v>
      </c>
      <c r="DP198" s="131"/>
      <c r="DQ198" s="56"/>
      <c r="DR198" s="56"/>
      <c r="DS198" s="56"/>
      <c r="DT198" s="142">
        <f>COUNTIF(DT127:DT180,"B+")</f>
        <v>3</v>
      </c>
      <c r="DU198" s="131"/>
      <c r="DV198" s="56"/>
      <c r="DW198" s="56"/>
      <c r="DX198" s="56"/>
      <c r="DY198" s="142">
        <f>COUNTIF(DY127:DY180,"B+")</f>
        <v>3</v>
      </c>
      <c r="DZ198" s="131"/>
      <c r="EA198" s="56"/>
      <c r="EB198" s="56"/>
      <c r="EC198" s="56"/>
      <c r="ED198" s="142">
        <f>COUNTIF(ED127:ED180,"B+")</f>
        <v>2</v>
      </c>
    </row>
    <row r="199" spans="1:134" x14ac:dyDescent="0.3">
      <c r="A199" s="131"/>
      <c r="B199" s="56"/>
      <c r="C199" s="135" t="s">
        <v>30</v>
      </c>
      <c r="D199" s="372"/>
      <c r="E199" s="131"/>
      <c r="F199" s="56"/>
      <c r="G199" s="56"/>
      <c r="H199" s="56"/>
      <c r="I199" s="143">
        <f>COUNTIF(I127:I180,"B")</f>
        <v>9</v>
      </c>
      <c r="J199" s="131"/>
      <c r="K199" s="56"/>
      <c r="L199" s="56"/>
      <c r="M199" s="56"/>
      <c r="N199" s="143">
        <f>COUNTIF(N127:N180,"B")</f>
        <v>19</v>
      </c>
      <c r="O199" s="131"/>
      <c r="P199" s="56"/>
      <c r="Q199" s="56"/>
      <c r="R199" s="56"/>
      <c r="S199" s="143">
        <f>COUNTIF(S127:S180,"B")</f>
        <v>25</v>
      </c>
      <c r="T199" s="131"/>
      <c r="U199" s="56"/>
      <c r="V199" s="56"/>
      <c r="W199" s="56"/>
      <c r="X199" s="143">
        <f>COUNTIF(X127:X180,"B")</f>
        <v>19</v>
      </c>
      <c r="Y199" s="131"/>
      <c r="Z199" s="56"/>
      <c r="AA199" s="56"/>
      <c r="AB199" s="56"/>
      <c r="AC199" s="143">
        <f>COUNTIF(AC127:AC180,"B")</f>
        <v>16</v>
      </c>
      <c r="AD199" s="131"/>
      <c r="AE199" s="56"/>
      <c r="AF199" s="56"/>
      <c r="AG199" s="56"/>
      <c r="AH199" s="143">
        <f>COUNTIF(AH127:AH180,"B")</f>
        <v>8</v>
      </c>
      <c r="AI199" s="131"/>
      <c r="AJ199" s="56"/>
      <c r="AK199" s="56"/>
      <c r="AL199" s="56"/>
      <c r="AM199" s="143">
        <f>COUNTIF(AM127:AM180,"B")</f>
        <v>9</v>
      </c>
      <c r="AN199" s="131"/>
      <c r="AO199" s="56"/>
      <c r="AP199" s="56"/>
      <c r="AQ199" s="56"/>
      <c r="AR199" s="143">
        <f>COUNTIF(AR127:AR180,"B")</f>
        <v>10</v>
      </c>
      <c r="AS199" s="131"/>
      <c r="AT199" s="56"/>
      <c r="AU199" s="56"/>
      <c r="AV199" s="56"/>
      <c r="AW199" s="143">
        <f>COUNTIF(AW127:AW180,"B")</f>
        <v>8</v>
      </c>
      <c r="AX199" s="131"/>
      <c r="AY199" s="56"/>
      <c r="AZ199" s="56"/>
      <c r="BA199" s="56"/>
      <c r="BB199" s="143">
        <f>COUNTIF(BB127:BB180,"B")</f>
        <v>4</v>
      </c>
      <c r="BC199" s="131"/>
      <c r="BD199" s="56"/>
      <c r="BE199" s="56"/>
      <c r="BF199" s="56"/>
      <c r="BG199" s="143">
        <f>COUNTIF(BG127:BG180,"B")</f>
        <v>7</v>
      </c>
      <c r="BH199" s="131"/>
      <c r="BI199" s="56"/>
      <c r="BJ199" s="56"/>
      <c r="BK199" s="56"/>
      <c r="BL199" s="143">
        <f>COUNTIF(BL127:BL181,"B")</f>
        <v>4</v>
      </c>
      <c r="BM199" s="131"/>
      <c r="BN199" s="56"/>
      <c r="BO199" s="56"/>
      <c r="BP199" s="56"/>
      <c r="BQ199" s="143">
        <f>COUNTIF(BQ127:BQ180,"B")</f>
        <v>6</v>
      </c>
      <c r="BR199" s="131"/>
      <c r="BS199" s="56"/>
      <c r="BT199" s="56"/>
      <c r="BU199" s="56"/>
      <c r="BV199" s="143">
        <f>COUNTIF(BV127:BV180,"B")</f>
        <v>7</v>
      </c>
      <c r="BW199" s="131"/>
      <c r="BX199" s="56"/>
      <c r="BY199" s="56"/>
      <c r="BZ199" s="56"/>
      <c r="CA199" s="143">
        <f>COUNTIF(CA127:CA180,"B")</f>
        <v>4</v>
      </c>
      <c r="CB199" s="131"/>
      <c r="CC199" s="56"/>
      <c r="CD199" s="56"/>
      <c r="CE199" s="56"/>
      <c r="CF199" s="143">
        <f>COUNTIF(CF127:CF180,"B")</f>
        <v>8</v>
      </c>
      <c r="CG199" s="131"/>
      <c r="CH199" s="56"/>
      <c r="CI199" s="56"/>
      <c r="CJ199" s="56"/>
      <c r="CK199" s="143">
        <f>COUNTIF(CK127:CK180,"B")</f>
        <v>5</v>
      </c>
      <c r="CL199" s="131"/>
      <c r="CM199" s="56"/>
      <c r="CN199" s="56"/>
      <c r="CO199" s="56"/>
      <c r="CP199" s="143">
        <f>COUNTIF(CP127:CP180,"B")</f>
        <v>1</v>
      </c>
      <c r="CQ199" s="131"/>
      <c r="CR199" s="56"/>
      <c r="CS199" s="56"/>
      <c r="CT199" s="56"/>
      <c r="CU199" s="143">
        <f>COUNTIF(CU127:CU180,"B")</f>
        <v>5</v>
      </c>
      <c r="CV199" s="131"/>
      <c r="CW199" s="56"/>
      <c r="CX199" s="56"/>
      <c r="CY199" s="56"/>
      <c r="CZ199" s="143">
        <f>COUNTIF(CZ127:CZ180,"B")</f>
        <v>4</v>
      </c>
      <c r="DA199" s="131"/>
      <c r="DB199" s="56"/>
      <c r="DC199" s="56"/>
      <c r="DD199" s="56"/>
      <c r="DE199" s="143">
        <f>COUNTIF(DE127:DE180,"B")</f>
        <v>1</v>
      </c>
      <c r="DF199" s="131"/>
      <c r="DG199" s="56"/>
      <c r="DH199" s="56"/>
      <c r="DI199" s="56"/>
      <c r="DJ199" s="143">
        <f>COUNTIF(DJ127:DJ180,"B")</f>
        <v>4</v>
      </c>
      <c r="DK199" s="131"/>
      <c r="DL199" s="56"/>
      <c r="DM199" s="56"/>
      <c r="DN199" s="56"/>
      <c r="DO199" s="143">
        <f>COUNTIF(DO127:DO180,"B")</f>
        <v>1</v>
      </c>
      <c r="DP199" s="131"/>
      <c r="DQ199" s="56"/>
      <c r="DR199" s="56"/>
      <c r="DS199" s="56"/>
      <c r="DT199" s="142">
        <f>COUNTIF(DT127:DT180,"B")</f>
        <v>0</v>
      </c>
      <c r="DU199" s="131"/>
      <c r="DV199" s="56"/>
      <c r="DW199" s="56"/>
      <c r="DX199" s="56"/>
      <c r="DY199" s="142">
        <f>COUNTIF(DY127:DY180,"B")</f>
        <v>3</v>
      </c>
      <c r="DZ199" s="131"/>
      <c r="EA199" s="56"/>
      <c r="EB199" s="56"/>
      <c r="EC199" s="56"/>
      <c r="ED199" s="142">
        <f>COUNTIF(ED127:ED180,"B")</f>
        <v>5</v>
      </c>
    </row>
    <row r="200" spans="1:134" x14ac:dyDescent="0.3">
      <c r="A200" s="131"/>
      <c r="B200" s="56"/>
      <c r="C200" s="135" t="s">
        <v>31</v>
      </c>
      <c r="D200" s="372"/>
      <c r="E200" s="131"/>
      <c r="F200" s="56"/>
      <c r="G200" s="56"/>
      <c r="H200" s="56"/>
      <c r="I200" s="143">
        <f>COUNTIF(I127:I180,"C+")</f>
        <v>9</v>
      </c>
      <c r="J200" s="131"/>
      <c r="K200" s="56"/>
      <c r="L200" s="56"/>
      <c r="M200" s="56"/>
      <c r="N200" s="143">
        <f>COUNTIF(N127:N180,"C+")</f>
        <v>5</v>
      </c>
      <c r="O200" s="131"/>
      <c r="P200" s="56"/>
      <c r="Q200" s="56"/>
      <c r="R200" s="56"/>
      <c r="S200" s="143">
        <f>COUNTIF(S127:S180,"C+")</f>
        <v>8</v>
      </c>
      <c r="T200" s="131"/>
      <c r="U200" s="56"/>
      <c r="V200" s="56"/>
      <c r="W200" s="56"/>
      <c r="X200" s="143">
        <f>COUNTIF(X127:X180,"C+")</f>
        <v>2</v>
      </c>
      <c r="Y200" s="131"/>
      <c r="Z200" s="56"/>
      <c r="AA200" s="56"/>
      <c r="AB200" s="56"/>
      <c r="AC200" s="143">
        <f>COUNTIF(AC127:AC180,"C+")</f>
        <v>9</v>
      </c>
      <c r="AD200" s="131"/>
      <c r="AE200" s="56"/>
      <c r="AF200" s="56"/>
      <c r="AG200" s="56"/>
      <c r="AH200" s="143">
        <f>COUNTIF(AH127:AH180,"C+")</f>
        <v>4</v>
      </c>
      <c r="AI200" s="131"/>
      <c r="AJ200" s="56"/>
      <c r="AK200" s="56"/>
      <c r="AL200" s="56"/>
      <c r="AM200" s="143">
        <f>COUNTIF(AM127:AM180,"C+")</f>
        <v>4</v>
      </c>
      <c r="AN200" s="131"/>
      <c r="AO200" s="56"/>
      <c r="AP200" s="56"/>
      <c r="AQ200" s="56"/>
      <c r="AR200" s="143">
        <f>COUNTIF(AR127:AR180,"C+")</f>
        <v>5</v>
      </c>
      <c r="AS200" s="131"/>
      <c r="AT200" s="56"/>
      <c r="AU200" s="56"/>
      <c r="AV200" s="56"/>
      <c r="AW200" s="143">
        <f>COUNTIF(AW127:AW180,"C+")</f>
        <v>3</v>
      </c>
      <c r="AX200" s="131"/>
      <c r="AY200" s="56"/>
      <c r="AZ200" s="56"/>
      <c r="BA200" s="56"/>
      <c r="BB200" s="143">
        <f>COUNTIF(BB127:BB180,"C+")</f>
        <v>5</v>
      </c>
      <c r="BC200" s="131"/>
      <c r="BD200" s="56"/>
      <c r="BE200" s="56"/>
      <c r="BF200" s="56"/>
      <c r="BG200" s="143">
        <f>COUNTIF(BG127:BG180,"C+")</f>
        <v>1</v>
      </c>
      <c r="BH200" s="131"/>
      <c r="BI200" s="56"/>
      <c r="BJ200" s="56"/>
      <c r="BK200" s="56"/>
      <c r="BL200" s="143">
        <f>COUNTIF(BL127:BL181,"C+")</f>
        <v>3</v>
      </c>
      <c r="BM200" s="131"/>
      <c r="BN200" s="56"/>
      <c r="BO200" s="56"/>
      <c r="BP200" s="56"/>
      <c r="BQ200" s="143">
        <f>COUNTIF(BQ127:BQ180,"C+")</f>
        <v>0</v>
      </c>
      <c r="BR200" s="131"/>
      <c r="BS200" s="56"/>
      <c r="BT200" s="56"/>
      <c r="BU200" s="56"/>
      <c r="BV200" s="143">
        <f>COUNTIF(BV127:BV180,"C+")</f>
        <v>7</v>
      </c>
      <c r="BW200" s="131"/>
      <c r="BX200" s="56"/>
      <c r="BY200" s="56"/>
      <c r="BZ200" s="56"/>
      <c r="CA200" s="143">
        <f>COUNTIF(CA127:CA180,"C+")</f>
        <v>0</v>
      </c>
      <c r="CB200" s="131"/>
      <c r="CC200" s="56"/>
      <c r="CD200" s="56"/>
      <c r="CE200" s="56"/>
      <c r="CF200" s="143">
        <f>COUNTIF(CF127:CF180,"C+")</f>
        <v>0</v>
      </c>
      <c r="CG200" s="131"/>
      <c r="CH200" s="56"/>
      <c r="CI200" s="56"/>
      <c r="CJ200" s="56"/>
      <c r="CK200" s="143">
        <f>COUNTIF(CK127:CK180,"C+")</f>
        <v>2</v>
      </c>
      <c r="CL200" s="131"/>
      <c r="CM200" s="56"/>
      <c r="CN200" s="56"/>
      <c r="CO200" s="56"/>
      <c r="CP200" s="143">
        <f>COUNTIF(CP127:CP180,"C+")</f>
        <v>0</v>
      </c>
      <c r="CQ200" s="131"/>
      <c r="CR200" s="56"/>
      <c r="CS200" s="56"/>
      <c r="CT200" s="56"/>
      <c r="CU200" s="143">
        <f>COUNTIF(CU127:CU180,"C+")</f>
        <v>0</v>
      </c>
      <c r="CV200" s="131"/>
      <c r="CW200" s="56"/>
      <c r="CX200" s="56"/>
      <c r="CY200" s="56"/>
      <c r="CZ200" s="143">
        <f>COUNTIF(CZ127:CZ180,"C+")</f>
        <v>0</v>
      </c>
      <c r="DA200" s="131"/>
      <c r="DB200" s="56"/>
      <c r="DC200" s="56"/>
      <c r="DD200" s="56"/>
      <c r="DE200" s="143">
        <f>COUNTIF(DE127:DE180,"C+")</f>
        <v>2</v>
      </c>
      <c r="DF200" s="131"/>
      <c r="DG200" s="56"/>
      <c r="DH200" s="56"/>
      <c r="DI200" s="56"/>
      <c r="DJ200" s="143">
        <f>COUNTIF(DJ127:DJ180,"C+")</f>
        <v>2</v>
      </c>
      <c r="DK200" s="131"/>
      <c r="DL200" s="56"/>
      <c r="DM200" s="56"/>
      <c r="DN200" s="56"/>
      <c r="DO200" s="143">
        <f>COUNTIF(DO127:DO180,"C+")</f>
        <v>0</v>
      </c>
      <c r="DP200" s="131"/>
      <c r="DQ200" s="56"/>
      <c r="DR200" s="56"/>
      <c r="DS200" s="56"/>
      <c r="DT200" s="142">
        <f>COUNTIF(DT127:DT180,"C+")</f>
        <v>0</v>
      </c>
      <c r="DU200" s="131"/>
      <c r="DV200" s="56"/>
      <c r="DW200" s="56"/>
      <c r="DX200" s="56"/>
      <c r="DY200" s="142">
        <f>COUNTIF(DY127:DY180,"C+")</f>
        <v>1</v>
      </c>
      <c r="DZ200" s="131"/>
      <c r="EA200" s="56"/>
      <c r="EB200" s="56"/>
      <c r="EC200" s="56"/>
      <c r="ED200" s="142">
        <f>COUNTIF(ED127:ED180,"C+")</f>
        <v>0</v>
      </c>
    </row>
    <row r="201" spans="1:134" x14ac:dyDescent="0.3">
      <c r="A201" s="131"/>
      <c r="B201" s="56"/>
      <c r="C201" s="135" t="s">
        <v>32</v>
      </c>
      <c r="D201" s="372"/>
      <c r="E201" s="131"/>
      <c r="F201" s="56"/>
      <c r="G201" s="56"/>
      <c r="H201" s="56"/>
      <c r="I201" s="143">
        <f>COUNTIF(I127:I180,"C")</f>
        <v>17</v>
      </c>
      <c r="J201" s="131"/>
      <c r="K201" s="56"/>
      <c r="L201" s="56"/>
      <c r="M201" s="56"/>
      <c r="N201" s="143">
        <f>COUNTIF(N127:N180,"C")</f>
        <v>2</v>
      </c>
      <c r="O201" s="131"/>
      <c r="P201" s="56"/>
      <c r="Q201" s="56"/>
      <c r="R201" s="56"/>
      <c r="S201" s="143">
        <f>COUNTIF(S127:S180,"C")</f>
        <v>1</v>
      </c>
      <c r="T201" s="131"/>
      <c r="U201" s="56"/>
      <c r="V201" s="56"/>
      <c r="W201" s="56"/>
      <c r="X201" s="143">
        <f>COUNTIF(X127:X180,"C")</f>
        <v>5</v>
      </c>
      <c r="Y201" s="131"/>
      <c r="Z201" s="56"/>
      <c r="AA201" s="56"/>
      <c r="AB201" s="56"/>
      <c r="AC201" s="143">
        <f>COUNTIF(AC127:AC180,"C")</f>
        <v>10</v>
      </c>
      <c r="AD201" s="131"/>
      <c r="AE201" s="56"/>
      <c r="AF201" s="56"/>
      <c r="AG201" s="56"/>
      <c r="AH201" s="143">
        <f>COUNTIF(AH127:AH180,"C")</f>
        <v>6</v>
      </c>
      <c r="AI201" s="131"/>
      <c r="AJ201" s="56"/>
      <c r="AK201" s="56"/>
      <c r="AL201" s="56"/>
      <c r="AM201" s="143">
        <f>COUNTIF(AM127:AM180,"C")</f>
        <v>5</v>
      </c>
      <c r="AN201" s="131"/>
      <c r="AO201" s="56"/>
      <c r="AP201" s="56"/>
      <c r="AQ201" s="56"/>
      <c r="AR201" s="143">
        <f>COUNTIF(AR127:AR180,"C")</f>
        <v>3</v>
      </c>
      <c r="AS201" s="131"/>
      <c r="AT201" s="56"/>
      <c r="AU201" s="56"/>
      <c r="AV201" s="56"/>
      <c r="AW201" s="143">
        <f>COUNTIF(AW127:AW180,"C")</f>
        <v>0</v>
      </c>
      <c r="AX201" s="131"/>
      <c r="AY201" s="56"/>
      <c r="AZ201" s="56"/>
      <c r="BA201" s="56"/>
      <c r="BB201" s="143">
        <f>COUNTIF(BB127:BB180,"C")</f>
        <v>1</v>
      </c>
      <c r="BC201" s="131"/>
      <c r="BD201" s="56"/>
      <c r="BE201" s="56"/>
      <c r="BF201" s="56"/>
      <c r="BG201" s="143">
        <f>COUNTIF(BG127:BG180,"C")</f>
        <v>8</v>
      </c>
      <c r="BH201" s="131"/>
      <c r="BI201" s="56"/>
      <c r="BJ201" s="56"/>
      <c r="BK201" s="56"/>
      <c r="BL201" s="143">
        <f>COUNTIF(BL127:BL181,"C")</f>
        <v>5</v>
      </c>
      <c r="BM201" s="131"/>
      <c r="BN201" s="56"/>
      <c r="BO201" s="56"/>
      <c r="BP201" s="56"/>
      <c r="BQ201" s="143">
        <f>COUNTIF(BQ127:BQ180,"C")</f>
        <v>1</v>
      </c>
      <c r="BR201" s="131"/>
      <c r="BS201" s="56"/>
      <c r="BT201" s="56"/>
      <c r="BU201" s="56"/>
      <c r="BV201" s="143">
        <f>COUNTIF(BV127:BV180,"C")</f>
        <v>7</v>
      </c>
      <c r="BW201" s="131"/>
      <c r="BX201" s="56"/>
      <c r="BY201" s="56"/>
      <c r="BZ201" s="56"/>
      <c r="CA201" s="143">
        <f>COUNTIF(CA127:CA180,"C")</f>
        <v>1</v>
      </c>
      <c r="CB201" s="131"/>
      <c r="CC201" s="56"/>
      <c r="CD201" s="56"/>
      <c r="CE201" s="56"/>
      <c r="CF201" s="143">
        <f>COUNTIF(CF127:CF180,"C")</f>
        <v>0</v>
      </c>
      <c r="CG201" s="131"/>
      <c r="CH201" s="56"/>
      <c r="CI201" s="56"/>
      <c r="CJ201" s="56"/>
      <c r="CK201" s="143">
        <f>COUNTIF(CK127:CK180,"C")</f>
        <v>1</v>
      </c>
      <c r="CL201" s="131"/>
      <c r="CM201" s="56"/>
      <c r="CN201" s="56"/>
      <c r="CO201" s="56"/>
      <c r="CP201" s="143">
        <f>COUNTIF(CP127:CP180,"C")</f>
        <v>0</v>
      </c>
      <c r="CQ201" s="131"/>
      <c r="CR201" s="56"/>
      <c r="CS201" s="56"/>
      <c r="CT201" s="56"/>
      <c r="CU201" s="143">
        <f>COUNTIF(CU127:CU180,"C")</f>
        <v>0</v>
      </c>
      <c r="CV201" s="131"/>
      <c r="CW201" s="56"/>
      <c r="CX201" s="56"/>
      <c r="CY201" s="56"/>
      <c r="CZ201" s="143">
        <f>COUNTIF(CZ127:CZ180,"C")</f>
        <v>4</v>
      </c>
      <c r="DA201" s="131"/>
      <c r="DB201" s="56"/>
      <c r="DC201" s="56"/>
      <c r="DD201" s="56"/>
      <c r="DE201" s="143">
        <f>COUNTIF(DE127:DE180,"C")</f>
        <v>0</v>
      </c>
      <c r="DF201" s="131"/>
      <c r="DG201" s="56"/>
      <c r="DH201" s="56"/>
      <c r="DI201" s="56"/>
      <c r="DJ201" s="143">
        <f>COUNTIF(DJ127:DJ180,"C")</f>
        <v>1</v>
      </c>
      <c r="DK201" s="131"/>
      <c r="DL201" s="56"/>
      <c r="DM201" s="56"/>
      <c r="DN201" s="56"/>
      <c r="DO201" s="143">
        <f>COUNTIF(DO127:DO180,"C")</f>
        <v>0</v>
      </c>
      <c r="DP201" s="131"/>
      <c r="DQ201" s="56"/>
      <c r="DR201" s="56"/>
      <c r="DS201" s="56"/>
      <c r="DT201" s="142">
        <f>COUNTIF(DT127:DT180,"C")</f>
        <v>0</v>
      </c>
      <c r="DU201" s="131"/>
      <c r="DV201" s="56"/>
      <c r="DW201" s="56"/>
      <c r="DX201" s="56"/>
      <c r="DY201" s="142">
        <f>COUNTIF(DY127:DY180,"C")</f>
        <v>2</v>
      </c>
      <c r="DZ201" s="131"/>
      <c r="EA201" s="56"/>
      <c r="EB201" s="56"/>
      <c r="EC201" s="56"/>
      <c r="ED201" s="142">
        <f>COUNTIF(ED127:ED180,"C")</f>
        <v>1</v>
      </c>
    </row>
    <row r="202" spans="1:134" x14ac:dyDescent="0.3">
      <c r="A202" s="131"/>
      <c r="B202" s="56"/>
      <c r="C202" s="135" t="s">
        <v>33</v>
      </c>
      <c r="D202" s="372"/>
      <c r="E202" s="131"/>
      <c r="F202" s="56"/>
      <c r="G202" s="56"/>
      <c r="H202" s="56"/>
      <c r="I202" s="143">
        <f>COUNTIF(I127:I180,"D+")</f>
        <v>2</v>
      </c>
      <c r="J202" s="131"/>
      <c r="K202" s="56"/>
      <c r="L202" s="56"/>
      <c r="M202" s="56"/>
      <c r="N202" s="143">
        <f>COUNTIF(N127:N180,"D+")</f>
        <v>1</v>
      </c>
      <c r="O202" s="131"/>
      <c r="P202" s="56"/>
      <c r="Q202" s="56"/>
      <c r="R202" s="56"/>
      <c r="S202" s="143">
        <f>COUNTIF(S127:S180,"D+")</f>
        <v>0</v>
      </c>
      <c r="T202" s="131"/>
      <c r="U202" s="56"/>
      <c r="V202" s="56"/>
      <c r="W202" s="56"/>
      <c r="X202" s="143">
        <f>COUNTIF(X127:X180,"D+")</f>
        <v>2</v>
      </c>
      <c r="Y202" s="131"/>
      <c r="Z202" s="56"/>
      <c r="AA202" s="56"/>
      <c r="AB202" s="56"/>
      <c r="AC202" s="143">
        <f>COUNTIF(AC127:AC180,"D+")</f>
        <v>2</v>
      </c>
      <c r="AD202" s="131"/>
      <c r="AE202" s="56"/>
      <c r="AF202" s="56"/>
      <c r="AG202" s="56"/>
      <c r="AH202" s="143">
        <f>COUNTIF(AH127:AH180,"D+")</f>
        <v>0</v>
      </c>
      <c r="AI202" s="131"/>
      <c r="AJ202" s="56"/>
      <c r="AK202" s="56"/>
      <c r="AL202" s="56"/>
      <c r="AM202" s="143">
        <f>COUNTIF(AM127:AM180,"D+")</f>
        <v>0</v>
      </c>
      <c r="AN202" s="131"/>
      <c r="AO202" s="56"/>
      <c r="AP202" s="56"/>
      <c r="AQ202" s="56"/>
      <c r="AR202" s="143">
        <f>COUNTIF(AR127:AR180,"D+")</f>
        <v>4</v>
      </c>
      <c r="AS202" s="131"/>
      <c r="AT202" s="56"/>
      <c r="AU202" s="56"/>
      <c r="AV202" s="56"/>
      <c r="AW202" s="143">
        <f>COUNTIF(AW127:AW180,"D+")</f>
        <v>0</v>
      </c>
      <c r="AX202" s="131"/>
      <c r="AY202" s="56"/>
      <c r="AZ202" s="56"/>
      <c r="BA202" s="56"/>
      <c r="BB202" s="143">
        <f>COUNTIF(BB127:BB180,"D+")</f>
        <v>1</v>
      </c>
      <c r="BC202" s="131"/>
      <c r="BD202" s="56"/>
      <c r="BE202" s="56"/>
      <c r="BF202" s="56"/>
      <c r="BG202" s="143">
        <f>COUNTIF(BG127:BG180,"D+")</f>
        <v>0</v>
      </c>
      <c r="BH202" s="131"/>
      <c r="BI202" s="56"/>
      <c r="BJ202" s="56"/>
      <c r="BK202" s="56"/>
      <c r="BL202" s="143">
        <f>COUNTIF(BL127:BL181,"D+")</f>
        <v>0</v>
      </c>
      <c r="BM202" s="131"/>
      <c r="BN202" s="56"/>
      <c r="BO202" s="56"/>
      <c r="BP202" s="56"/>
      <c r="BQ202" s="143">
        <f>COUNTIF(BQ127:BQ180,"D+")</f>
        <v>1</v>
      </c>
      <c r="BR202" s="131"/>
      <c r="BS202" s="56"/>
      <c r="BT202" s="56"/>
      <c r="BU202" s="56"/>
      <c r="BV202" s="143">
        <f>COUNTIF(BV127:BV180,"D+")</f>
        <v>0</v>
      </c>
      <c r="BW202" s="131"/>
      <c r="BX202" s="56"/>
      <c r="BY202" s="56"/>
      <c r="BZ202" s="56"/>
      <c r="CA202" s="143">
        <f>COUNTIF(CA127:CA180,"D+")</f>
        <v>0</v>
      </c>
      <c r="CB202" s="131"/>
      <c r="CC202" s="56"/>
      <c r="CD202" s="56"/>
      <c r="CE202" s="56"/>
      <c r="CF202" s="143">
        <f>COUNTIF(CF127:CF180,"D+")</f>
        <v>0</v>
      </c>
      <c r="CG202" s="131"/>
      <c r="CH202" s="56"/>
      <c r="CI202" s="56"/>
      <c r="CJ202" s="56"/>
      <c r="CK202" s="143">
        <f>COUNTIF(CK127:CK180,"D+")</f>
        <v>0</v>
      </c>
      <c r="CL202" s="131"/>
      <c r="CM202" s="56"/>
      <c r="CN202" s="56"/>
      <c r="CO202" s="56"/>
      <c r="CP202" s="143">
        <f>COUNTIF(CP127:CP180,"D+")</f>
        <v>0</v>
      </c>
      <c r="CQ202" s="131"/>
      <c r="CR202" s="56"/>
      <c r="CS202" s="56"/>
      <c r="CT202" s="56"/>
      <c r="CU202" s="143">
        <f>COUNTIF(CU127:CU180,"D+")</f>
        <v>0</v>
      </c>
      <c r="CV202" s="131"/>
      <c r="CW202" s="56"/>
      <c r="CX202" s="56"/>
      <c r="CY202" s="56"/>
      <c r="CZ202" s="143">
        <f>COUNTIF(CZ127:CZ180,"D+")</f>
        <v>0</v>
      </c>
      <c r="DA202" s="131"/>
      <c r="DB202" s="56"/>
      <c r="DC202" s="56"/>
      <c r="DD202" s="56"/>
      <c r="DE202" s="143">
        <f>COUNTIF(DE127:DE180,"D+")</f>
        <v>2</v>
      </c>
      <c r="DF202" s="131"/>
      <c r="DG202" s="56"/>
      <c r="DH202" s="56"/>
      <c r="DI202" s="56"/>
      <c r="DJ202" s="143">
        <f>COUNTIF(DJ127:DJ180,"D+")</f>
        <v>1</v>
      </c>
      <c r="DK202" s="131"/>
      <c r="DL202" s="56"/>
      <c r="DM202" s="56"/>
      <c r="DN202" s="56"/>
      <c r="DO202" s="143">
        <f>COUNTIF(DO127:DO180,"D+")</f>
        <v>0</v>
      </c>
      <c r="DP202" s="131"/>
      <c r="DQ202" s="56"/>
      <c r="DR202" s="56"/>
      <c r="DS202" s="56"/>
      <c r="DT202" s="142">
        <f>COUNTIF(DT127:DT180,"D+")</f>
        <v>0</v>
      </c>
      <c r="DU202" s="131"/>
      <c r="DV202" s="56"/>
      <c r="DW202" s="56"/>
      <c r="DX202" s="56"/>
      <c r="DY202" s="142">
        <f>COUNTIF(DY127:DY180,"D+")</f>
        <v>0</v>
      </c>
      <c r="DZ202" s="131"/>
      <c r="EA202" s="56"/>
      <c r="EB202" s="56"/>
      <c r="EC202" s="56"/>
      <c r="ED202" s="142">
        <f>COUNTIF(ED127:ED180,"D+")</f>
        <v>0</v>
      </c>
    </row>
    <row r="203" spans="1:134" x14ac:dyDescent="0.3">
      <c r="A203" s="131"/>
      <c r="B203" s="56"/>
      <c r="C203" s="135" t="s">
        <v>34</v>
      </c>
      <c r="D203" s="372"/>
      <c r="E203" s="131"/>
      <c r="F203" s="56"/>
      <c r="G203" s="56"/>
      <c r="H203" s="56"/>
      <c r="I203" s="143">
        <f>COUNTIF(I127:I180,"D")</f>
        <v>5</v>
      </c>
      <c r="J203" s="131"/>
      <c r="K203" s="56"/>
      <c r="L203" s="56"/>
      <c r="M203" s="56"/>
      <c r="N203" s="143">
        <f>COUNTIF(N127:N180,"D")</f>
        <v>1</v>
      </c>
      <c r="O203" s="131"/>
      <c r="P203" s="56"/>
      <c r="Q203" s="56"/>
      <c r="R203" s="56"/>
      <c r="S203" s="143">
        <f>COUNTIF(S127:S180,"D")</f>
        <v>0</v>
      </c>
      <c r="T203" s="131"/>
      <c r="U203" s="56"/>
      <c r="V203" s="56"/>
      <c r="W203" s="56"/>
      <c r="X203" s="143">
        <f>COUNTIF(X127:X180,"D")</f>
        <v>4</v>
      </c>
      <c r="Y203" s="131"/>
      <c r="Z203" s="56"/>
      <c r="AA203" s="56"/>
      <c r="AB203" s="56"/>
      <c r="AC203" s="143">
        <f>COUNTIF(AC127:AC180,"D")</f>
        <v>0</v>
      </c>
      <c r="AD203" s="131"/>
      <c r="AE203" s="56"/>
      <c r="AF203" s="56"/>
      <c r="AG203" s="56"/>
      <c r="AH203" s="143">
        <f>COUNTIF(AH127:AH180,"D")</f>
        <v>2</v>
      </c>
      <c r="AI203" s="131"/>
      <c r="AJ203" s="56"/>
      <c r="AK203" s="56"/>
      <c r="AL203" s="56"/>
      <c r="AM203" s="143">
        <f>COUNTIF(AM127:AM180,"D")</f>
        <v>0</v>
      </c>
      <c r="AN203" s="131"/>
      <c r="AO203" s="56"/>
      <c r="AP203" s="56"/>
      <c r="AQ203" s="56"/>
      <c r="AR203" s="143">
        <f>COUNTIF(AR127:AR180,"D")</f>
        <v>5</v>
      </c>
      <c r="AS203" s="131"/>
      <c r="AT203" s="56"/>
      <c r="AU203" s="56"/>
      <c r="AV203" s="56"/>
      <c r="AW203" s="143">
        <f>COUNTIF(AW127:AW180,"D")</f>
        <v>2</v>
      </c>
      <c r="AX203" s="131"/>
      <c r="AY203" s="56"/>
      <c r="AZ203" s="56"/>
      <c r="BA203" s="56"/>
      <c r="BB203" s="143">
        <f>COUNTIF(BB127:BB180,"D")</f>
        <v>3</v>
      </c>
      <c r="BC203" s="131"/>
      <c r="BD203" s="56"/>
      <c r="BE203" s="56"/>
      <c r="BF203" s="56"/>
      <c r="BG203" s="143">
        <f>COUNTIF(BG127:BG180,"D")</f>
        <v>3</v>
      </c>
      <c r="BH203" s="131"/>
      <c r="BI203" s="56"/>
      <c r="BJ203" s="56"/>
      <c r="BK203" s="56"/>
      <c r="BL203" s="143">
        <f>COUNTIF(BL127:BL181,"D")</f>
        <v>1</v>
      </c>
      <c r="BM203" s="131"/>
      <c r="BN203" s="56"/>
      <c r="BO203" s="56"/>
      <c r="BP203" s="56"/>
      <c r="BQ203" s="143">
        <f>COUNTIF(BQ127:BQ180,"D")</f>
        <v>0</v>
      </c>
      <c r="BR203" s="131"/>
      <c r="BS203" s="56"/>
      <c r="BT203" s="56"/>
      <c r="BU203" s="56"/>
      <c r="BV203" s="143">
        <f>COUNTIF(BV127:BV180,"D")</f>
        <v>1</v>
      </c>
      <c r="BW203" s="131"/>
      <c r="BX203" s="56"/>
      <c r="BY203" s="56"/>
      <c r="BZ203" s="56"/>
      <c r="CA203" s="143">
        <f>COUNTIF(CA127:CA180,"D")</f>
        <v>1</v>
      </c>
      <c r="CB203" s="131"/>
      <c r="CC203" s="56"/>
      <c r="CD203" s="56"/>
      <c r="CE203" s="56"/>
      <c r="CF203" s="143">
        <f>COUNTIF(CF127:CF180,"D")</f>
        <v>0</v>
      </c>
      <c r="CG203" s="131"/>
      <c r="CH203" s="56"/>
      <c r="CI203" s="56"/>
      <c r="CJ203" s="56"/>
      <c r="CK203" s="143">
        <f>COUNTIF(CK127:CK180,"D")</f>
        <v>0</v>
      </c>
      <c r="CL203" s="131"/>
      <c r="CM203" s="56"/>
      <c r="CN203" s="56"/>
      <c r="CO203" s="56"/>
      <c r="CP203" s="143">
        <f>COUNTIF(CP127:CP180,"D")</f>
        <v>1</v>
      </c>
      <c r="CQ203" s="131"/>
      <c r="CR203" s="56"/>
      <c r="CS203" s="56"/>
      <c r="CT203" s="56"/>
      <c r="CU203" s="143">
        <f>COUNTIF(CU127:CU180,"D")</f>
        <v>0</v>
      </c>
      <c r="CV203" s="131"/>
      <c r="CW203" s="56"/>
      <c r="CX203" s="56"/>
      <c r="CY203" s="56"/>
      <c r="CZ203" s="143">
        <f>COUNTIF(CZ127:CZ180,"D")</f>
        <v>0</v>
      </c>
      <c r="DA203" s="131"/>
      <c r="DB203" s="56"/>
      <c r="DC203" s="56"/>
      <c r="DD203" s="56"/>
      <c r="DE203" s="143">
        <f>COUNTIF(DE127:DE180,"D")</f>
        <v>0</v>
      </c>
      <c r="DF203" s="131"/>
      <c r="DG203" s="56"/>
      <c r="DH203" s="56"/>
      <c r="DI203" s="56"/>
      <c r="DJ203" s="143">
        <f>COUNTIF(DJ127:DJ180,"D")</f>
        <v>0</v>
      </c>
      <c r="DK203" s="131"/>
      <c r="DL203" s="56"/>
      <c r="DM203" s="56"/>
      <c r="DN203" s="56"/>
      <c r="DO203" s="143">
        <f>COUNTIF(DO127:DO180,"D")</f>
        <v>0</v>
      </c>
      <c r="DP203" s="131"/>
      <c r="DQ203" s="56"/>
      <c r="DR203" s="56"/>
      <c r="DS203" s="56"/>
      <c r="DT203" s="142">
        <f>COUNTIF(DT127:DT180,"D")</f>
        <v>0</v>
      </c>
      <c r="DU203" s="131"/>
      <c r="DV203" s="56"/>
      <c r="DW203" s="56"/>
      <c r="DX203" s="56"/>
      <c r="DY203" s="142">
        <f>COUNTIF(DY127:DY180,"D")</f>
        <v>0</v>
      </c>
      <c r="DZ203" s="131"/>
      <c r="EA203" s="56"/>
      <c r="EB203" s="56"/>
      <c r="EC203" s="56"/>
      <c r="ED203" s="142">
        <f>COUNTIF(ED127:ED180,"D")</f>
        <v>0</v>
      </c>
    </row>
    <row r="204" spans="1:134" x14ac:dyDescent="0.3">
      <c r="A204" s="144"/>
      <c r="B204" s="15"/>
      <c r="C204" s="145" t="s">
        <v>35</v>
      </c>
      <c r="D204" s="374"/>
      <c r="E204" s="144"/>
      <c r="F204" s="15"/>
      <c r="G204" s="15"/>
      <c r="H204" s="15"/>
      <c r="I204" s="146">
        <f>COUNTIF(I127:I180,"F")</f>
        <v>4</v>
      </c>
      <c r="J204" s="144"/>
      <c r="K204" s="15"/>
      <c r="L204" s="15"/>
      <c r="M204" s="15"/>
      <c r="N204" s="146">
        <f>COUNTIF(N127:N180,"F")</f>
        <v>0</v>
      </c>
      <c r="O204" s="144"/>
      <c r="P204" s="15"/>
      <c r="Q204" s="15"/>
      <c r="R204" s="15"/>
      <c r="S204" s="146">
        <f>COUNTIF(S127:S180,"F")</f>
        <v>0</v>
      </c>
      <c r="T204" s="144"/>
      <c r="U204" s="15"/>
      <c r="V204" s="15"/>
      <c r="W204" s="15"/>
      <c r="X204" s="146">
        <f>COUNTIF(X127:X180,"F")</f>
        <v>4</v>
      </c>
      <c r="Y204" s="144"/>
      <c r="Z204" s="15"/>
      <c r="AA204" s="15"/>
      <c r="AB204" s="15"/>
      <c r="AC204" s="146">
        <f>COUNTIF(AC127:AC180,"F")</f>
        <v>5</v>
      </c>
      <c r="AD204" s="144"/>
      <c r="AE204" s="15"/>
      <c r="AF204" s="15"/>
      <c r="AG204" s="15"/>
      <c r="AH204" s="146">
        <f>COUNTIF(AH127:AH180,"F")</f>
        <v>2</v>
      </c>
      <c r="AI204" s="144"/>
      <c r="AJ204" s="15"/>
      <c r="AK204" s="15"/>
      <c r="AL204" s="15"/>
      <c r="AM204" s="146">
        <f>COUNTIF(AM127:AM180,"F")</f>
        <v>1</v>
      </c>
      <c r="AN204" s="144"/>
      <c r="AO204" s="15"/>
      <c r="AP204" s="15"/>
      <c r="AQ204" s="15"/>
      <c r="AR204" s="146">
        <f>COUNTIF(AR127:AR180,"F")</f>
        <v>1</v>
      </c>
      <c r="AS204" s="144"/>
      <c r="AT204" s="15"/>
      <c r="AU204" s="15"/>
      <c r="AV204" s="15"/>
      <c r="AW204" s="146">
        <f>COUNTIF(AW127:AW180,"F")</f>
        <v>2</v>
      </c>
      <c r="AX204" s="144"/>
      <c r="AY204" s="15"/>
      <c r="AZ204" s="15"/>
      <c r="BA204" s="15"/>
      <c r="BB204" s="146">
        <f>COUNTIF(BB127:BB180,"F")</f>
        <v>6</v>
      </c>
      <c r="BC204" s="144"/>
      <c r="BD204" s="15"/>
      <c r="BE204" s="15"/>
      <c r="BF204" s="15"/>
      <c r="BG204" s="146">
        <f>COUNTIF(BG127:BG180,"F")</f>
        <v>3</v>
      </c>
      <c r="BH204" s="144"/>
      <c r="BI204" s="15"/>
      <c r="BJ204" s="15"/>
      <c r="BK204" s="15"/>
      <c r="BL204" s="146">
        <f>COUNTIF(BL127:BL181,"F")</f>
        <v>2</v>
      </c>
      <c r="BM204" s="144"/>
      <c r="BN204" s="15"/>
      <c r="BO204" s="15"/>
      <c r="BP204" s="15"/>
      <c r="BQ204" s="146">
        <f>COUNTIF(BQ127:BQ180,"F")</f>
        <v>1</v>
      </c>
      <c r="BR204" s="144"/>
      <c r="BS204" s="15"/>
      <c r="BT204" s="15"/>
      <c r="BU204" s="15"/>
      <c r="BV204" s="146">
        <f>COUNTIF(BV127:BV180,"F")</f>
        <v>2</v>
      </c>
      <c r="BW204" s="144"/>
      <c r="BX204" s="15"/>
      <c r="BY204" s="15"/>
      <c r="BZ204" s="15"/>
      <c r="CA204" s="146">
        <f>COUNTIF(CA127:CA180,"F")</f>
        <v>0</v>
      </c>
      <c r="CB204" s="144"/>
      <c r="CC204" s="15"/>
      <c r="CD204" s="15"/>
      <c r="CE204" s="15"/>
      <c r="CF204" s="146">
        <f>COUNTIF(CF127:CF180,"F")</f>
        <v>0</v>
      </c>
      <c r="CG204" s="144"/>
      <c r="CH204" s="15"/>
      <c r="CI204" s="15"/>
      <c r="CJ204" s="15"/>
      <c r="CK204" s="146">
        <f>COUNTIF(CK127:CK180,"F")</f>
        <v>0</v>
      </c>
      <c r="CL204" s="144"/>
      <c r="CM204" s="15"/>
      <c r="CN204" s="15"/>
      <c r="CO204" s="15"/>
      <c r="CP204" s="146">
        <f>COUNTIF(CP127:CP180,"F")</f>
        <v>0</v>
      </c>
      <c r="CQ204" s="144"/>
      <c r="CR204" s="15"/>
      <c r="CS204" s="15"/>
      <c r="CT204" s="15"/>
      <c r="CU204" s="146">
        <f>COUNTIF(CU127:CU180,"F")</f>
        <v>1</v>
      </c>
      <c r="CV204" s="144"/>
      <c r="CW204" s="15"/>
      <c r="CX204" s="15"/>
      <c r="CY204" s="15"/>
      <c r="CZ204" s="146">
        <f>COUNTIF(CZ127:CZ180,"F")</f>
        <v>1</v>
      </c>
      <c r="DA204" s="144"/>
      <c r="DB204" s="15"/>
      <c r="DC204" s="15"/>
      <c r="DD204" s="15"/>
      <c r="DE204" s="146">
        <f>COUNTIF(DE127:DE180,"F")</f>
        <v>1</v>
      </c>
      <c r="DF204" s="144"/>
      <c r="DG204" s="15"/>
      <c r="DH204" s="15"/>
      <c r="DI204" s="15"/>
      <c r="DJ204" s="146">
        <f>COUNTIF(DJ127:DJ180,"F")</f>
        <v>0</v>
      </c>
      <c r="DK204" s="144"/>
      <c r="DL204" s="15"/>
      <c r="DM204" s="15"/>
      <c r="DN204" s="15"/>
      <c r="DO204" s="146">
        <f>COUNTIF(DO127:DO180,"F")</f>
        <v>0</v>
      </c>
      <c r="DP204" s="335"/>
      <c r="DQ204" s="336"/>
      <c r="DR204" s="336"/>
      <c r="DS204" s="336"/>
      <c r="DT204" s="337">
        <f>COUNTIF(DT127:DT180,"F")</f>
        <v>0</v>
      </c>
      <c r="DU204" s="335"/>
      <c r="DV204" s="336"/>
      <c r="DW204" s="336"/>
      <c r="DX204" s="336"/>
      <c r="DY204" s="337">
        <f>COUNTIF(DY127:DY180,"F")</f>
        <v>0</v>
      </c>
      <c r="DZ204" s="335"/>
      <c r="EA204" s="336"/>
      <c r="EB204" s="336"/>
      <c r="EC204" s="336"/>
      <c r="ED204" s="337">
        <f>COUNTIF(ED127:ED180,"F")</f>
        <v>0</v>
      </c>
    </row>
  </sheetData>
  <mergeCells count="150">
    <mergeCell ref="DP123:DT123"/>
    <mergeCell ref="DP124:DT124"/>
    <mergeCell ref="DP125:DT125"/>
    <mergeCell ref="DP184:DT185"/>
    <mergeCell ref="DU184:DY185"/>
    <mergeCell ref="DZ184:ED185"/>
    <mergeCell ref="DU124:DY124"/>
    <mergeCell ref="DU125:DY125"/>
    <mergeCell ref="DZ124:ED124"/>
    <mergeCell ref="DZ125:ED125"/>
    <mergeCell ref="DU123:DY123"/>
    <mergeCell ref="DZ123:ED123"/>
    <mergeCell ref="BM6:BQ6"/>
    <mergeCell ref="BM7:BQ7"/>
    <mergeCell ref="BM82:BQ83"/>
    <mergeCell ref="CL125:CP125"/>
    <mergeCell ref="CQ125:CU125"/>
    <mergeCell ref="CV125:CZ125"/>
    <mergeCell ref="CQ124:CU124"/>
    <mergeCell ref="CV124:CZ124"/>
    <mergeCell ref="BM124:BQ124"/>
    <mergeCell ref="BR124:BV124"/>
    <mergeCell ref="BW124:CA124"/>
    <mergeCell ref="CB124:CF124"/>
    <mergeCell ref="CG124:CK124"/>
    <mergeCell ref="CL124:CP124"/>
    <mergeCell ref="BM123:CP123"/>
    <mergeCell ref="CQ123:CZ123"/>
    <mergeCell ref="BW125:CA125"/>
    <mergeCell ref="CB125:CF125"/>
    <mergeCell ref="CG125:CK125"/>
    <mergeCell ref="CL184:CP185"/>
    <mergeCell ref="CQ184:CU185"/>
    <mergeCell ref="CV184:CZ185"/>
    <mergeCell ref="A187:AH187"/>
    <mergeCell ref="BM187:CP187"/>
    <mergeCell ref="BH184:BL185"/>
    <mergeCell ref="BM184:BQ185"/>
    <mergeCell ref="BR184:BV185"/>
    <mergeCell ref="BW184:CA185"/>
    <mergeCell ref="CB184:CF185"/>
    <mergeCell ref="CG184:CK185"/>
    <mergeCell ref="AD184:AH185"/>
    <mergeCell ref="AI184:AM185"/>
    <mergeCell ref="AN184:AR185"/>
    <mergeCell ref="AS184:AW185"/>
    <mergeCell ref="AX184:BB185"/>
    <mergeCell ref="BC184:BG185"/>
    <mergeCell ref="A184:C185"/>
    <mergeCell ref="E184:I185"/>
    <mergeCell ref="J184:N185"/>
    <mergeCell ref="O184:S185"/>
    <mergeCell ref="T184:X185"/>
    <mergeCell ref="Y184:AC185"/>
    <mergeCell ref="AX125:BB125"/>
    <mergeCell ref="BC125:BG125"/>
    <mergeCell ref="BH125:BL125"/>
    <mergeCell ref="BM125:BQ125"/>
    <mergeCell ref="BR125:BV125"/>
    <mergeCell ref="E125:I125"/>
    <mergeCell ref="J125:N125"/>
    <mergeCell ref="O125:S125"/>
    <mergeCell ref="T125:X125"/>
    <mergeCell ref="Y125:AC125"/>
    <mergeCell ref="AD125:AH125"/>
    <mergeCell ref="AI125:AM125"/>
    <mergeCell ref="AN125:AR125"/>
    <mergeCell ref="AN7:AR7"/>
    <mergeCell ref="AS7:AW7"/>
    <mergeCell ref="AX7:BB7"/>
    <mergeCell ref="Y82:AC83"/>
    <mergeCell ref="AD82:AH83"/>
    <mergeCell ref="AI82:AM83"/>
    <mergeCell ref="A123:A126"/>
    <mergeCell ref="E124:I124"/>
    <mergeCell ref="J124:N124"/>
    <mergeCell ref="O124:S124"/>
    <mergeCell ref="T124:X124"/>
    <mergeCell ref="Y124:AC124"/>
    <mergeCell ref="AD124:AH124"/>
    <mergeCell ref="AI124:AM124"/>
    <mergeCell ref="AN124:AR124"/>
    <mergeCell ref="B123:B126"/>
    <mergeCell ref="C123:C126"/>
    <mergeCell ref="E123:AH123"/>
    <mergeCell ref="AI123:BL123"/>
    <mergeCell ref="AS124:AW124"/>
    <mergeCell ref="AX124:BB124"/>
    <mergeCell ref="BC124:BG124"/>
    <mergeCell ref="BH124:BL124"/>
    <mergeCell ref="AS125:AW125"/>
    <mergeCell ref="AS6:AW6"/>
    <mergeCell ref="AX6:BB6"/>
    <mergeCell ref="BC6:BG6"/>
    <mergeCell ref="BH6:BL6"/>
    <mergeCell ref="E7:I7"/>
    <mergeCell ref="J7:N7"/>
    <mergeCell ref="A84:AH84"/>
    <mergeCell ref="AN82:AR83"/>
    <mergeCell ref="AS82:AW83"/>
    <mergeCell ref="AX82:BB83"/>
    <mergeCell ref="BH7:BL7"/>
    <mergeCell ref="A82:C83"/>
    <mergeCell ref="E82:I83"/>
    <mergeCell ref="J82:N83"/>
    <mergeCell ref="O82:S83"/>
    <mergeCell ref="T82:X83"/>
    <mergeCell ref="BC82:BG83"/>
    <mergeCell ref="BH82:BL83"/>
    <mergeCell ref="BC7:BG7"/>
    <mergeCell ref="O7:S7"/>
    <mergeCell ref="T7:X7"/>
    <mergeCell ref="Y7:AC7"/>
    <mergeCell ref="AD7:AH7"/>
    <mergeCell ref="AI7:AM7"/>
    <mergeCell ref="AI5:BQ5"/>
    <mergeCell ref="A3:C3"/>
    <mergeCell ref="DK124:DO124"/>
    <mergeCell ref="DK125:DO125"/>
    <mergeCell ref="DA184:DE185"/>
    <mergeCell ref="DF184:DJ185"/>
    <mergeCell ref="DK184:DO185"/>
    <mergeCell ref="DA124:DE124"/>
    <mergeCell ref="DF124:DJ124"/>
    <mergeCell ref="DA125:DE125"/>
    <mergeCell ref="DF125:DJ125"/>
    <mergeCell ref="DK123:DO123"/>
    <mergeCell ref="A5:A8"/>
    <mergeCell ref="B5:B8"/>
    <mergeCell ref="C5:C8"/>
    <mergeCell ref="DA123:DJ123"/>
    <mergeCell ref="E6:I6"/>
    <mergeCell ref="J6:N6"/>
    <mergeCell ref="O6:S6"/>
    <mergeCell ref="T6:X6"/>
    <mergeCell ref="Y6:AC6"/>
    <mergeCell ref="AD6:AH6"/>
    <mergeCell ref="AI6:AM6"/>
    <mergeCell ref="AN6:AR6"/>
    <mergeCell ref="I1:T1"/>
    <mergeCell ref="I2:T2"/>
    <mergeCell ref="I3:T3"/>
    <mergeCell ref="I4:T4"/>
    <mergeCell ref="D123:D126"/>
    <mergeCell ref="L119:Y119"/>
    <mergeCell ref="L120:Y120"/>
    <mergeCell ref="L121:Y121"/>
    <mergeCell ref="L122:Y122"/>
    <mergeCell ref="D5:D8"/>
    <mergeCell ref="G4:H4"/>
  </mergeCells>
  <pageMargins left="0.25" right="0.25" top="0.75" bottom="0.75" header="0.3" footer="0.3"/>
  <pageSetup paperSize="9" scale="2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>
      <selection activeCell="B8" sqref="B8"/>
    </sheetView>
  </sheetViews>
  <sheetFormatPr defaultRowHeight="14.4" x14ac:dyDescent="0.3"/>
  <cols>
    <col min="1" max="1" width="5" customWidth="1"/>
    <col min="2" max="2" width="17.5546875" customWidth="1"/>
    <col min="4" max="5" width="9.109375" customWidth="1"/>
    <col min="6" max="6" width="11.109375" customWidth="1"/>
    <col min="7" max="19" width="9.109375" customWidth="1"/>
  </cols>
  <sheetData>
    <row r="1" spans="1:8" ht="15.6" x14ac:dyDescent="0.3">
      <c r="A1" s="186" t="s">
        <v>302</v>
      </c>
      <c r="B1" s="186"/>
      <c r="C1" s="184"/>
      <c r="D1" s="184"/>
      <c r="E1" s="184"/>
      <c r="F1" s="55"/>
      <c r="G1" s="55"/>
      <c r="H1" s="55"/>
    </row>
    <row r="2" spans="1:8" ht="15.6" x14ac:dyDescent="0.3">
      <c r="A2" s="629" t="s">
        <v>1973</v>
      </c>
      <c r="B2" s="629"/>
      <c r="C2" s="55"/>
      <c r="D2" s="55"/>
      <c r="E2" s="55"/>
      <c r="F2" s="55"/>
      <c r="G2" s="55"/>
      <c r="H2" s="55"/>
    </row>
    <row r="3" spans="1:8" ht="15.6" x14ac:dyDescent="0.3">
      <c r="A3" s="631" t="s">
        <v>1941</v>
      </c>
      <c r="B3" s="631"/>
      <c r="C3" s="631"/>
      <c r="D3" s="631"/>
      <c r="E3" s="631"/>
      <c r="F3" s="55"/>
      <c r="G3" s="55"/>
      <c r="H3" s="55"/>
    </row>
    <row r="4" spans="1:8" ht="15.6" x14ac:dyDescent="0.3">
      <c r="A4" s="186"/>
      <c r="B4" s="10"/>
      <c r="C4" s="55"/>
      <c r="D4" s="55"/>
      <c r="E4" s="55"/>
      <c r="F4" s="55"/>
      <c r="G4" s="55"/>
      <c r="H4" s="55"/>
    </row>
    <row r="5" spans="1:8" ht="15.6" x14ac:dyDescent="0.3">
      <c r="A5" s="186"/>
      <c r="B5" s="10"/>
      <c r="C5" s="55"/>
      <c r="D5" s="55"/>
      <c r="E5" s="55"/>
      <c r="F5" s="55"/>
      <c r="G5" s="55"/>
      <c r="H5" s="55"/>
    </row>
    <row r="6" spans="1:8" ht="46.8" x14ac:dyDescent="0.3">
      <c r="A6" s="284" t="s">
        <v>8</v>
      </c>
      <c r="B6" s="20" t="s">
        <v>355</v>
      </c>
      <c r="C6" s="285" t="s">
        <v>356</v>
      </c>
      <c r="D6" s="285" t="s">
        <v>357</v>
      </c>
      <c r="E6" s="20" t="s">
        <v>1946</v>
      </c>
      <c r="F6" s="20" t="s">
        <v>1947</v>
      </c>
      <c r="G6" s="20" t="s">
        <v>358</v>
      </c>
      <c r="H6" s="20" t="s">
        <v>359</v>
      </c>
    </row>
    <row r="7" spans="1:8" ht="15.6" x14ac:dyDescent="0.3">
      <c r="A7" s="286">
        <v>1</v>
      </c>
      <c r="B7" s="287" t="s">
        <v>69</v>
      </c>
      <c r="C7" s="288">
        <f>'Sheet1 (2)'!$A$21</f>
        <v>12</v>
      </c>
      <c r="D7" s="289">
        <f>'Sheet1 (2)'!$I$22</f>
        <v>1011</v>
      </c>
      <c r="E7" s="289">
        <f>'Sheet1 (2)'!$J$22</f>
        <v>868</v>
      </c>
      <c r="F7" s="289">
        <f>'Sheet1 (2)'!$K$22</f>
        <v>143</v>
      </c>
      <c r="G7" s="290">
        <f>'Sheet1 (2)'!$L$22</f>
        <v>85.855588526211662</v>
      </c>
      <c r="H7" s="290">
        <f>'Sheet1 (2)'!$M$22</f>
        <v>14.144411473788329</v>
      </c>
    </row>
    <row r="8" spans="1:8" ht="15.6" x14ac:dyDescent="0.3">
      <c r="A8" s="286">
        <v>2</v>
      </c>
      <c r="B8" s="287" t="s">
        <v>38</v>
      </c>
      <c r="C8" s="288">
        <f>'[1]dpt frequency'!$A$67</f>
        <v>8</v>
      </c>
      <c r="D8" s="289">
        <f>'Sheet1 (2)'!$I$66</f>
        <v>310</v>
      </c>
      <c r="E8" s="289">
        <f>'Sheet1 (2)'!J66</f>
        <v>252</v>
      </c>
      <c r="F8" s="289">
        <f>'Sheet1 (2)'!K66</f>
        <v>58</v>
      </c>
      <c r="G8" s="290">
        <f>'Sheet1 (2)'!L66</f>
        <v>81.290322580645153</v>
      </c>
      <c r="H8" s="290">
        <f>'Sheet1 (2)'!M66</f>
        <v>18.70967741935484</v>
      </c>
    </row>
    <row r="9" spans="1:8" ht="15.6" x14ac:dyDescent="0.3">
      <c r="A9" s="5">
        <v>3</v>
      </c>
      <c r="B9" s="291" t="s">
        <v>2</v>
      </c>
      <c r="C9" s="288">
        <f>'[1]dpt frequency'!$A$93</f>
        <v>6</v>
      </c>
      <c r="D9" s="289">
        <f>'Sheet1 (2)'!I96</f>
        <v>135</v>
      </c>
      <c r="E9" s="289">
        <f>'Sheet1 (2)'!J96</f>
        <v>120</v>
      </c>
      <c r="F9" s="298">
        <f>'Sheet1 (2)'!K96</f>
        <v>15</v>
      </c>
      <c r="G9" s="290">
        <f>'Sheet1 (2)'!L96</f>
        <v>88.888888888888886</v>
      </c>
      <c r="H9" s="290">
        <f>'Sheet1 (2)'!M96</f>
        <v>11.111111111111111</v>
      </c>
    </row>
    <row r="10" spans="1:8" ht="15.6" x14ac:dyDescent="0.3">
      <c r="A10" s="5">
        <v>4</v>
      </c>
      <c r="B10" s="291" t="s">
        <v>46</v>
      </c>
      <c r="C10" s="288">
        <v>6</v>
      </c>
      <c r="D10" s="289">
        <f>'Sheet1 (2)'!I129</f>
        <v>104</v>
      </c>
      <c r="E10" s="289">
        <f>'Sheet1 (2)'!J129</f>
        <v>69</v>
      </c>
      <c r="F10" s="289">
        <f>'Sheet1 (2)'!K129</f>
        <v>35</v>
      </c>
      <c r="G10" s="290">
        <f>'Sheet1 (2)'!L129</f>
        <v>66.34615384615384</v>
      </c>
      <c r="H10" s="290">
        <f>'Sheet1 (2)'!M129</f>
        <v>33.653846153846153</v>
      </c>
    </row>
    <row r="11" spans="1:8" ht="15.6" x14ac:dyDescent="0.3">
      <c r="A11" s="5">
        <v>5</v>
      </c>
      <c r="B11" s="291" t="s">
        <v>360</v>
      </c>
      <c r="C11" s="288">
        <v>5</v>
      </c>
      <c r="D11" s="289">
        <f>'Sheet1 (2)'!I160</f>
        <v>199</v>
      </c>
      <c r="E11" s="289">
        <f>'Sheet1 (2)'!J160</f>
        <v>171</v>
      </c>
      <c r="F11" s="289">
        <f>'Sheet1 (2)'!K160</f>
        <v>28</v>
      </c>
      <c r="G11" s="290">
        <f>'Sheet1 (2)'!L160</f>
        <v>85.929648241206024</v>
      </c>
      <c r="H11" s="290">
        <f>'Sheet1 (2)'!M160</f>
        <v>14.07035175879397</v>
      </c>
    </row>
    <row r="12" spans="1:8" ht="15.6" x14ac:dyDescent="0.3">
      <c r="A12" s="5">
        <v>6</v>
      </c>
      <c r="B12" s="291" t="s">
        <v>1942</v>
      </c>
      <c r="C12" s="288">
        <v>21</v>
      </c>
      <c r="D12" s="289">
        <f>'[2]frequency for senate'!$I$33</f>
        <v>1266</v>
      </c>
      <c r="E12" s="289">
        <f>'[2]frequency for senate'!$J$33</f>
        <v>1043</v>
      </c>
      <c r="F12" s="298">
        <f>'[2]frequency for senate'!$K$33</f>
        <v>223</v>
      </c>
      <c r="G12" s="290">
        <f>'[2]frequency for senate'!$L$33</f>
        <v>82.38546603475514</v>
      </c>
      <c r="H12" s="290">
        <f>'[2]frequency for senate'!$M$33</f>
        <v>17.614533965244867</v>
      </c>
    </row>
    <row r="13" spans="1:8" ht="15.6" x14ac:dyDescent="0.3">
      <c r="A13" s="286">
        <v>7</v>
      </c>
      <c r="B13" s="291" t="s">
        <v>1943</v>
      </c>
      <c r="C13" s="288">
        <v>6</v>
      </c>
      <c r="D13" s="289">
        <f>[3]FREQ!I58</f>
        <v>54</v>
      </c>
      <c r="E13" s="289">
        <f>[3]FREQ!J58</f>
        <v>46</v>
      </c>
      <c r="F13" s="298">
        <f>[3]FREQ!K58</f>
        <v>8</v>
      </c>
      <c r="G13" s="290">
        <f>[3]FREQ!L58</f>
        <v>85.18518518518519</v>
      </c>
      <c r="H13" s="290">
        <f>[3]FREQ!M58</f>
        <v>14.814814814814813</v>
      </c>
    </row>
    <row r="14" spans="1:8" ht="15.6" x14ac:dyDescent="0.3">
      <c r="A14" s="508" t="s">
        <v>361</v>
      </c>
      <c r="B14" s="509"/>
      <c r="C14" s="292">
        <f>SUM(C7:C13)</f>
        <v>64</v>
      </c>
      <c r="D14" s="292">
        <f>SUM(D7:D13)</f>
        <v>3079</v>
      </c>
      <c r="E14" s="292">
        <f>SUM(E7:E13)</f>
        <v>2569</v>
      </c>
      <c r="F14" s="299">
        <f>SUM(F7:F13)</f>
        <v>510</v>
      </c>
      <c r="G14" s="293">
        <f>E14/D14*100</f>
        <v>83.43618057810977</v>
      </c>
      <c r="H14" s="293">
        <f>F14/D14*100</f>
        <v>16.563819421890223</v>
      </c>
    </row>
    <row r="15" spans="1:8" ht="15.6" x14ac:dyDescent="0.3">
      <c r="A15" s="294"/>
      <c r="B15" s="294"/>
      <c r="C15" s="294"/>
      <c r="D15" s="294"/>
      <c r="E15" s="294"/>
      <c r="F15" s="294"/>
      <c r="G15" s="295"/>
      <c r="H15" s="295"/>
    </row>
    <row r="16" spans="1:8" ht="15.6" x14ac:dyDescent="0.3">
      <c r="A16" s="294"/>
      <c r="B16" s="294"/>
      <c r="C16" s="294"/>
      <c r="D16" s="294"/>
      <c r="E16" s="294"/>
      <c r="F16" s="294"/>
      <c r="G16" s="295"/>
      <c r="H16" s="295"/>
    </row>
    <row r="17" spans="1:12" ht="15.6" x14ac:dyDescent="0.3">
      <c r="A17" s="296"/>
      <c r="B17" s="296"/>
      <c r="C17" s="296"/>
      <c r="D17" s="296"/>
      <c r="E17" s="296"/>
      <c r="F17" s="296"/>
      <c r="G17" s="296"/>
      <c r="H17" s="296"/>
    </row>
    <row r="18" spans="1:12" x14ac:dyDescent="0.3">
      <c r="A18" s="55"/>
      <c r="B18" s="297"/>
      <c r="C18" s="55"/>
      <c r="E18" s="297"/>
      <c r="F18" s="297"/>
      <c r="G18" s="55"/>
      <c r="H18" s="183"/>
    </row>
    <row r="19" spans="1:12" x14ac:dyDescent="0.3">
      <c r="A19" s="628" t="s">
        <v>352</v>
      </c>
      <c r="B19" s="628"/>
      <c r="C19" s="55"/>
      <c r="E19" s="630" t="s">
        <v>337</v>
      </c>
      <c r="F19" s="630"/>
      <c r="G19" s="55"/>
      <c r="H19" s="297"/>
      <c r="I19" s="297"/>
      <c r="J19" s="297"/>
      <c r="K19" s="297"/>
      <c r="L19" s="55"/>
    </row>
    <row r="20" spans="1:12" ht="16.8" x14ac:dyDescent="0.3">
      <c r="A20" s="627" t="s">
        <v>1972</v>
      </c>
      <c r="B20" s="628"/>
      <c r="C20" s="55"/>
      <c r="D20" s="632" t="s">
        <v>1970</v>
      </c>
      <c r="E20" s="632"/>
      <c r="F20" s="632"/>
      <c r="G20" s="632"/>
      <c r="H20" s="55" t="s">
        <v>1944</v>
      </c>
      <c r="I20" s="55"/>
      <c r="J20" s="55"/>
      <c r="K20" s="55"/>
      <c r="L20" s="55"/>
    </row>
    <row r="21" spans="1:12" ht="15.6" x14ac:dyDescent="0.3">
      <c r="H21" s="434" t="s">
        <v>1971</v>
      </c>
      <c r="I21" s="10"/>
      <c r="J21" s="55"/>
      <c r="K21" s="55"/>
      <c r="L21" s="55"/>
    </row>
    <row r="22" spans="1:12" x14ac:dyDescent="0.3">
      <c r="H22" s="187"/>
      <c r="I22" s="55"/>
      <c r="J22" s="55"/>
      <c r="K22" s="55"/>
      <c r="L22" s="55"/>
    </row>
    <row r="24" spans="1:12" x14ac:dyDescent="0.3">
      <c r="E24" s="297"/>
      <c r="F24" s="297"/>
    </row>
    <row r="25" spans="1:12" x14ac:dyDescent="0.3">
      <c r="E25" s="55" t="s">
        <v>1945</v>
      </c>
      <c r="F25" s="55"/>
    </row>
    <row r="26" spans="1:12" x14ac:dyDescent="0.3">
      <c r="E26" s="187" t="s">
        <v>1969</v>
      </c>
      <c r="F26" s="55"/>
    </row>
  </sheetData>
  <mergeCells count="7">
    <mergeCell ref="A20:B20"/>
    <mergeCell ref="A2:B2"/>
    <mergeCell ref="E19:F19"/>
    <mergeCell ref="A14:B14"/>
    <mergeCell ref="A19:B19"/>
    <mergeCell ref="A3:E3"/>
    <mergeCell ref="D20:G20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84BA-8FCA-4A45-92A8-A22968C3670E}">
  <sheetPr>
    <pageSetUpPr fitToPage="1"/>
  </sheetPr>
  <dimension ref="A1:E30"/>
  <sheetViews>
    <sheetView workbookViewId="0">
      <selection activeCell="C8" sqref="C8"/>
    </sheetView>
  </sheetViews>
  <sheetFormatPr defaultRowHeight="14.4" x14ac:dyDescent="0.3"/>
  <cols>
    <col min="3" max="3" width="15.44140625" customWidth="1"/>
    <col min="4" max="4" width="12.44140625" customWidth="1"/>
  </cols>
  <sheetData>
    <row r="1" spans="1:5" ht="15.6" x14ac:dyDescent="0.3">
      <c r="A1" s="399" t="s">
        <v>0</v>
      </c>
      <c r="B1" s="380"/>
      <c r="C1" s="97"/>
      <c r="D1" s="380"/>
      <c r="E1" s="380"/>
    </row>
    <row r="2" spans="1:5" ht="15.6" x14ac:dyDescent="0.3">
      <c r="A2" s="503" t="s">
        <v>1922</v>
      </c>
      <c r="B2" s="504"/>
      <c r="C2" s="504"/>
      <c r="D2" s="504"/>
      <c r="E2" s="504"/>
    </row>
    <row r="3" spans="1:5" ht="15.6" x14ac:dyDescent="0.3">
      <c r="A3" s="503" t="s">
        <v>1921</v>
      </c>
      <c r="B3" s="504"/>
      <c r="C3" s="504"/>
      <c r="D3" s="378"/>
      <c r="E3" s="378"/>
    </row>
    <row r="4" spans="1:5" ht="15.6" x14ac:dyDescent="0.3">
      <c r="A4" s="20" t="s">
        <v>1</v>
      </c>
      <c r="B4" s="21"/>
      <c r="C4" s="379" t="s">
        <v>1923</v>
      </c>
      <c r="D4" s="380"/>
      <c r="E4" s="380"/>
    </row>
    <row r="5" spans="1:5" ht="15.6" x14ac:dyDescent="0.3">
      <c r="A5" s="20" t="s">
        <v>3</v>
      </c>
      <c r="B5" s="21"/>
      <c r="C5" s="402" t="s">
        <v>191</v>
      </c>
      <c r="D5" s="380"/>
      <c r="E5" s="380"/>
    </row>
    <row r="6" spans="1:5" ht="15.6" x14ac:dyDescent="0.3">
      <c r="A6" s="20" t="s">
        <v>4</v>
      </c>
      <c r="B6" s="21"/>
      <c r="C6" s="384" t="s">
        <v>1928</v>
      </c>
      <c r="D6" s="380"/>
      <c r="E6" s="380"/>
    </row>
    <row r="7" spans="1:5" ht="15.6" x14ac:dyDescent="0.3">
      <c r="A7" s="20" t="s">
        <v>5</v>
      </c>
      <c r="B7" s="21"/>
      <c r="C7" s="377">
        <v>3</v>
      </c>
      <c r="D7" s="378"/>
      <c r="E7" s="378"/>
    </row>
    <row r="8" spans="1:5" ht="15.6" x14ac:dyDescent="0.3">
      <c r="A8" s="508" t="s">
        <v>6</v>
      </c>
      <c r="B8" s="509"/>
      <c r="C8" s="384" t="s">
        <v>1924</v>
      </c>
      <c r="D8" s="380"/>
      <c r="E8" s="380"/>
    </row>
    <row r="9" spans="1:5" ht="15.6" x14ac:dyDescent="0.3">
      <c r="A9" s="508" t="s">
        <v>1926</v>
      </c>
      <c r="B9" s="509"/>
      <c r="C9" s="96" t="s">
        <v>1925</v>
      </c>
      <c r="D9" s="380"/>
      <c r="E9" s="380"/>
    </row>
    <row r="10" spans="1:5" ht="62.4" x14ac:dyDescent="0.3">
      <c r="A10" s="294"/>
      <c r="B10" s="294" t="s">
        <v>8</v>
      </c>
      <c r="C10" s="382" t="s">
        <v>548</v>
      </c>
      <c r="D10" s="51" t="s">
        <v>1927</v>
      </c>
      <c r="E10" s="381"/>
    </row>
    <row r="11" spans="1:5" ht="15.6" x14ac:dyDescent="0.3">
      <c r="B11" s="12"/>
      <c r="C11" s="5"/>
      <c r="D11" s="12"/>
    </row>
    <row r="12" spans="1:5" ht="15.6" x14ac:dyDescent="0.3">
      <c r="B12" s="60">
        <v>1</v>
      </c>
      <c r="C12" s="415" t="s">
        <v>1208</v>
      </c>
      <c r="D12" s="12"/>
    </row>
    <row r="13" spans="1:5" ht="15.6" x14ac:dyDescent="0.3">
      <c r="B13" s="60">
        <v>2</v>
      </c>
      <c r="C13" s="415" t="s">
        <v>1209</v>
      </c>
      <c r="D13" s="12"/>
    </row>
    <row r="14" spans="1:5" ht="15.6" x14ac:dyDescent="0.3">
      <c r="B14" s="60">
        <v>3</v>
      </c>
      <c r="C14" s="415" t="s">
        <v>1210</v>
      </c>
      <c r="D14" s="12"/>
    </row>
    <row r="15" spans="1:5" ht="15.6" x14ac:dyDescent="0.3">
      <c r="B15" s="60">
        <v>4</v>
      </c>
      <c r="C15" s="415" t="s">
        <v>1211</v>
      </c>
      <c r="D15" s="12"/>
    </row>
    <row r="16" spans="1:5" ht="15.6" x14ac:dyDescent="0.3">
      <c r="B16" s="60">
        <v>5</v>
      </c>
      <c r="C16" s="415" t="s">
        <v>1212</v>
      </c>
      <c r="D16" s="12"/>
    </row>
    <row r="17" spans="2:4" ht="15.6" x14ac:dyDescent="0.3">
      <c r="B17" s="60">
        <v>6</v>
      </c>
      <c r="C17" s="415" t="s">
        <v>1213</v>
      </c>
      <c r="D17" s="12"/>
    </row>
    <row r="18" spans="2:4" ht="15.6" x14ac:dyDescent="0.3">
      <c r="B18" s="60">
        <v>7</v>
      </c>
      <c r="C18" s="415" t="s">
        <v>1214</v>
      </c>
      <c r="D18" s="12"/>
    </row>
    <row r="19" spans="2:4" ht="15.6" x14ac:dyDescent="0.3">
      <c r="B19" s="60">
        <v>8</v>
      </c>
      <c r="C19" s="415" t="s">
        <v>1215</v>
      </c>
      <c r="D19" s="12"/>
    </row>
    <row r="20" spans="2:4" ht="15.6" x14ac:dyDescent="0.3">
      <c r="B20" s="60">
        <v>9</v>
      </c>
      <c r="C20" s="415" t="s">
        <v>1216</v>
      </c>
      <c r="D20" s="12"/>
    </row>
    <row r="21" spans="2:4" ht="15.6" x14ac:dyDescent="0.3">
      <c r="B21" s="60">
        <v>10</v>
      </c>
      <c r="C21" s="415" t="s">
        <v>1217</v>
      </c>
      <c r="D21" s="12"/>
    </row>
    <row r="22" spans="2:4" ht="15.6" x14ac:dyDescent="0.3">
      <c r="B22" s="401"/>
      <c r="C22" s="381"/>
    </row>
    <row r="23" spans="2:4" ht="15.6" x14ac:dyDescent="0.3">
      <c r="B23" s="401"/>
      <c r="C23" s="381"/>
    </row>
    <row r="24" spans="2:4" x14ac:dyDescent="0.3">
      <c r="B24" t="s">
        <v>675</v>
      </c>
    </row>
    <row r="27" spans="2:4" x14ac:dyDescent="0.3">
      <c r="B27" t="s">
        <v>673</v>
      </c>
    </row>
    <row r="30" spans="2:4" x14ac:dyDescent="0.3">
      <c r="B30" t="s">
        <v>674</v>
      </c>
    </row>
  </sheetData>
  <mergeCells count="4">
    <mergeCell ref="A2:E2"/>
    <mergeCell ref="A3:C3"/>
    <mergeCell ref="A8:B8"/>
    <mergeCell ref="A9:B9"/>
  </mergeCells>
  <phoneticPr fontId="32" type="noConversion"/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FBMS-HND LEVEL TWO (2) FREQ</vt:lpstr>
      <vt:lpstr>Sheet1 (2)</vt:lpstr>
      <vt:lpstr>FBMS-HND LEVEL ONE</vt:lpstr>
      <vt:lpstr>FBMS-HND LEVEL TWO</vt:lpstr>
      <vt:lpstr>Sheet1</vt:lpstr>
      <vt:lpstr>RESULTS</vt:lpstr>
      <vt:lpstr>Sheet3</vt:lpstr>
      <vt:lpstr>CODDING FOR LECTURES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FF TECHNO</cp:lastModifiedBy>
  <cp:lastPrinted>2024-04-24T00:30:03Z</cp:lastPrinted>
  <dcterms:created xsi:type="dcterms:W3CDTF">2022-12-07T12:46:08Z</dcterms:created>
  <dcterms:modified xsi:type="dcterms:W3CDTF">2025-12-10T14:59:17Z</dcterms:modified>
</cp:coreProperties>
</file>