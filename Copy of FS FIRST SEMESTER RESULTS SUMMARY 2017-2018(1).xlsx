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nto Java\Downloads\"/>
    </mc:Choice>
  </mc:AlternateContent>
  <xr:revisionPtr revIDLastSave="0" documentId="8_{487AB459-084D-4832-AC4C-0435ECB34131}" xr6:coauthVersionLast="47" xr6:coauthVersionMax="47" xr10:uidLastSave="{00000000-0000-0000-0000-000000000000}"/>
  <bookViews>
    <workbookView xWindow="1434" yWindow="1434" windowWidth="17280" windowHeight="8904" xr2:uid="{00000000-000D-0000-FFFF-FFFF00000000}"/>
  </bookViews>
  <sheets>
    <sheet name="Department" sheetId="1" r:id="rId1"/>
    <sheet name="Faculty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8" i="1" l="1"/>
  <c r="M109" i="1"/>
  <c r="M110" i="1"/>
  <c r="M111" i="1"/>
  <c r="M112" i="1"/>
  <c r="M113" i="1"/>
  <c r="L108" i="1"/>
  <c r="L109" i="1"/>
  <c r="L110" i="1"/>
  <c r="L111" i="1"/>
  <c r="L112" i="1"/>
  <c r="L113" i="1"/>
  <c r="M44" i="1"/>
  <c r="M45" i="1"/>
  <c r="M46" i="1"/>
  <c r="M47" i="1"/>
  <c r="M48" i="1"/>
  <c r="M49" i="1"/>
  <c r="M50" i="1"/>
  <c r="M51" i="1"/>
  <c r="M52" i="1"/>
  <c r="L44" i="1"/>
  <c r="L45" i="1"/>
  <c r="L46" i="1"/>
  <c r="L47" i="1"/>
  <c r="L48" i="1"/>
  <c r="L49" i="1"/>
  <c r="L50" i="1"/>
  <c r="L51" i="1"/>
  <c r="L52" i="1"/>
  <c r="M77" i="1"/>
  <c r="M78" i="1"/>
  <c r="M79" i="1"/>
  <c r="M80" i="1"/>
  <c r="M81" i="1"/>
  <c r="M82" i="1"/>
  <c r="L76" i="1"/>
  <c r="L77" i="1"/>
  <c r="L78" i="1"/>
  <c r="L79" i="1"/>
  <c r="L80" i="1"/>
  <c r="L81" i="1"/>
  <c r="L82" i="1"/>
  <c r="M11" i="1"/>
  <c r="M12" i="1"/>
  <c r="M13" i="1"/>
  <c r="M14" i="1"/>
  <c r="M15" i="1"/>
  <c r="M16" i="1"/>
  <c r="M17" i="1"/>
  <c r="L12" i="1"/>
  <c r="L13" i="1"/>
  <c r="L14" i="1"/>
  <c r="L15" i="1"/>
  <c r="L16" i="1"/>
  <c r="L17" i="1"/>
  <c r="H9" i="2" l="1"/>
  <c r="H10" i="2"/>
  <c r="H11" i="2"/>
  <c r="G9" i="2"/>
  <c r="G10" i="2"/>
  <c r="G11" i="2"/>
  <c r="G8" i="2"/>
  <c r="U83" i="1" l="1"/>
  <c r="T83" i="1"/>
  <c r="S83" i="1"/>
  <c r="R83" i="1"/>
  <c r="Q83" i="1"/>
  <c r="P83" i="1"/>
  <c r="O83" i="1"/>
  <c r="N83" i="1"/>
  <c r="K83" i="1"/>
  <c r="J83" i="1"/>
  <c r="I83" i="1"/>
  <c r="M83" i="1" s="1"/>
  <c r="H83" i="1"/>
  <c r="V111" i="1" l="1"/>
  <c r="M10" i="1"/>
  <c r="L11" i="1"/>
  <c r="V80" i="1"/>
  <c r="V81" i="1"/>
  <c r="K18" i="1" l="1"/>
  <c r="H8" i="2"/>
  <c r="V75" i="1"/>
  <c r="V110" i="1" l="1"/>
  <c r="V108" i="1" l="1"/>
  <c r="V109" i="1"/>
  <c r="V112" i="1"/>
  <c r="V113" i="1"/>
  <c r="V114" i="1"/>
  <c r="V107" i="1"/>
  <c r="M75" i="1"/>
  <c r="L75" i="1"/>
  <c r="V77" i="1"/>
  <c r="V78" i="1"/>
  <c r="V79" i="1"/>
  <c r="V82" i="1"/>
  <c r="V76" i="1"/>
  <c r="V44" i="1"/>
  <c r="V45" i="1"/>
  <c r="V46" i="1"/>
  <c r="V47" i="1"/>
  <c r="V48" i="1"/>
  <c r="V49" i="1"/>
  <c r="V50" i="1"/>
  <c r="V51" i="1"/>
  <c r="V52" i="1"/>
  <c r="V43" i="1"/>
  <c r="L10" i="1"/>
  <c r="V11" i="1"/>
  <c r="V12" i="1"/>
  <c r="V13" i="1"/>
  <c r="V14" i="1"/>
  <c r="V15" i="1"/>
  <c r="V16" i="1"/>
  <c r="V17" i="1"/>
  <c r="V10" i="1"/>
  <c r="M107" i="1" l="1"/>
  <c r="L107" i="1"/>
  <c r="M76" i="1"/>
  <c r="M43" i="1"/>
  <c r="L43" i="1"/>
  <c r="F12" i="2" l="1"/>
  <c r="E12" i="2"/>
  <c r="D12" i="2"/>
  <c r="C12" i="2"/>
  <c r="J18" i="1"/>
  <c r="I18" i="1"/>
  <c r="M18" i="1" s="1"/>
  <c r="H18" i="1"/>
  <c r="K115" i="1"/>
  <c r="J115" i="1"/>
  <c r="H115" i="1"/>
  <c r="I115" i="1"/>
  <c r="V83" i="1" l="1"/>
  <c r="H12" i="2"/>
  <c r="G12" i="2"/>
  <c r="L115" i="1"/>
  <c r="M115" i="1"/>
  <c r="L83" i="1"/>
  <c r="L18" i="1"/>
  <c r="S18" i="1" l="1"/>
  <c r="T18" i="1"/>
  <c r="U18" i="1"/>
  <c r="N115" i="1" l="1"/>
  <c r="O115" i="1"/>
  <c r="P115" i="1"/>
  <c r="Q115" i="1"/>
  <c r="R115" i="1"/>
  <c r="S115" i="1"/>
  <c r="T115" i="1"/>
  <c r="U115" i="1"/>
  <c r="N53" i="1"/>
  <c r="O53" i="1"/>
  <c r="P53" i="1"/>
  <c r="Q53" i="1"/>
  <c r="R53" i="1"/>
  <c r="S53" i="1"/>
  <c r="T53" i="1"/>
  <c r="U53" i="1"/>
  <c r="H53" i="1"/>
  <c r="I53" i="1"/>
  <c r="J53" i="1"/>
  <c r="K53" i="1"/>
  <c r="N18" i="1"/>
  <c r="O18" i="1"/>
  <c r="P18" i="1"/>
  <c r="Q18" i="1"/>
  <c r="R18" i="1"/>
  <c r="V18" i="1" l="1"/>
  <c r="V53" i="1"/>
  <c r="V115" i="1"/>
  <c r="M53" i="1"/>
  <c r="L53" i="1"/>
</calcChain>
</file>

<file path=xl/sharedStrings.xml><?xml version="1.0" encoding="utf-8"?>
<sst xmlns="http://schemas.openxmlformats.org/spreadsheetml/2006/main" count="326" uniqueCount="172">
  <si>
    <t>SN</t>
  </si>
  <si>
    <t>COURSE CODE</t>
  </si>
  <si>
    <t>COURSE TITLE</t>
  </si>
  <si>
    <t>CV</t>
  </si>
  <si>
    <t>ST</t>
  </si>
  <si>
    <t>LECTURERS</t>
  </si>
  <si>
    <t>NUMBER</t>
  </si>
  <si>
    <t>% PASS</t>
  </si>
  <si>
    <t>% FAIL</t>
  </si>
  <si>
    <t>CR</t>
  </si>
  <si>
    <t>CE</t>
  </si>
  <si>
    <t>PASS</t>
  </si>
  <si>
    <t>FAIL</t>
  </si>
  <si>
    <t>A</t>
  </si>
  <si>
    <t>B+</t>
  </si>
  <si>
    <t>B</t>
  </si>
  <si>
    <t>C+</t>
  </si>
  <si>
    <t>C</t>
  </si>
  <si>
    <t>D+</t>
  </si>
  <si>
    <t>D</t>
  </si>
  <si>
    <t>F</t>
  </si>
  <si>
    <t>TOTAL/ AVERAGE</t>
  </si>
  <si>
    <t>Success Rate</t>
  </si>
  <si>
    <t>TOTAL/AVERAGE</t>
  </si>
  <si>
    <t>CATHOLIC UNIVERSITY OF CAMEROON (CATUC), BAMENDA</t>
  </si>
  <si>
    <t xml:space="preserve"> </t>
  </si>
  <si>
    <t>B.Sc. Programme</t>
  </si>
  <si>
    <t>FREQUENCY DISTRIBUTION PERFORMANCES OF STUDENTS</t>
  </si>
  <si>
    <t>CV = Credit Value; ST = Status (C = Compulsory; E = Elective); CR = Candidates Registered; CE = Candidates Examined; % CC = Course Coverage; The % Pass is based on CE (Candidates who completed the course by writing the final examination.</t>
  </si>
  <si>
    <t>% CC</t>
  </si>
  <si>
    <t>Department</t>
  </si>
  <si>
    <t>No. of Courses Offered</t>
  </si>
  <si>
    <t>TOTAL</t>
  </si>
  <si>
    <t>Fail</t>
  </si>
  <si>
    <t>Degree Programme: B.Sc. Programme</t>
  </si>
  <si>
    <t>Number of Marked Scripts:</t>
  </si>
  <si>
    <t>Number of Passed Scripts</t>
  </si>
  <si>
    <t>Number of Failed Scripts</t>
  </si>
  <si>
    <t>SCHOOL/FACULTY: FACULTY OF SCIENCE</t>
  </si>
  <si>
    <t xml:space="preserve">SEMESTER: FIRST SEMESTER </t>
  </si>
  <si>
    <t>SCHOOL/ FACULTY: FACULTY OFSCIENCE</t>
  </si>
  <si>
    <t>DEPARTMENT: MICROBIOLOGY</t>
  </si>
  <si>
    <t>SEMESTER: FIRST SEMESTER</t>
  </si>
  <si>
    <t>SCHOOL/ FACULTY: FACULTY OF SCIENCE</t>
  </si>
  <si>
    <t>DEPARTMENT: COMPUTER SCIENCE</t>
  </si>
  <si>
    <t>SCHOOL/ FACULTY FACULTY OF SCIENCE</t>
  </si>
  <si>
    <t>DEPARTMENT: MATHEMATICS</t>
  </si>
  <si>
    <t>Prof. Francis Fai Mbuntum</t>
  </si>
  <si>
    <t>HOD Mathematics</t>
  </si>
  <si>
    <t>HOD Biochemistry</t>
  </si>
  <si>
    <t>Mr. Tabe Joseph</t>
  </si>
  <si>
    <t>HOD Computer Science</t>
  </si>
  <si>
    <t>Dr. Godlove A. Musongong</t>
  </si>
  <si>
    <t>HOD Microbiology</t>
  </si>
  <si>
    <t>Dean, FSC</t>
  </si>
  <si>
    <t>Mathematics</t>
  </si>
  <si>
    <t>Microbiology</t>
  </si>
  <si>
    <t>FACULTY OF SCIENCE (FSc)</t>
  </si>
  <si>
    <t>MLT 1101</t>
  </si>
  <si>
    <t>Human Anatomy and Physiology</t>
  </si>
  <si>
    <t>Polycarp Ndikvu</t>
  </si>
  <si>
    <t>BIO 1101</t>
  </si>
  <si>
    <t>Cell Biology</t>
  </si>
  <si>
    <t>BOT 1101</t>
  </si>
  <si>
    <t>Lower Plants</t>
  </si>
  <si>
    <t>Nkwatoh Therese</t>
  </si>
  <si>
    <t>ZOO 1101</t>
  </si>
  <si>
    <t>Invertebrate Zoology</t>
  </si>
  <si>
    <t>Musongong</t>
  </si>
  <si>
    <t>CSC 1101</t>
  </si>
  <si>
    <t>CSC 1104</t>
  </si>
  <si>
    <t>Computer Systems Maintenance</t>
  </si>
  <si>
    <t>MAT 1101</t>
  </si>
  <si>
    <t>Calculus I</t>
  </si>
  <si>
    <t>MAT 1102</t>
  </si>
  <si>
    <t>Abstract Algebra</t>
  </si>
  <si>
    <t>MAT 1109</t>
  </si>
  <si>
    <t>Mathematical  Methods IB</t>
  </si>
  <si>
    <t>BCH 2101</t>
  </si>
  <si>
    <t>Structural Biochemistry I</t>
  </si>
  <si>
    <t>Lovelyn Niba</t>
  </si>
  <si>
    <t>MLT 2101</t>
  </si>
  <si>
    <t>Haematology</t>
  </si>
  <si>
    <t>BIO 2101</t>
  </si>
  <si>
    <t>Ecology and Conservation</t>
  </si>
  <si>
    <t>Tuma Priscilla</t>
  </si>
  <si>
    <t>MCB 2101</t>
  </si>
  <si>
    <t>General Microbiology</t>
  </si>
  <si>
    <t>Paul Itor</t>
  </si>
  <si>
    <t>CSC 1000</t>
  </si>
  <si>
    <t>Basic IT Skills</t>
  </si>
  <si>
    <t>CSC 2109</t>
  </si>
  <si>
    <t>Artificial Intelligence</t>
  </si>
  <si>
    <t>Tabe Joseph</t>
  </si>
  <si>
    <t>MAT 2102</t>
  </si>
  <si>
    <t>Linear Algebra I</t>
  </si>
  <si>
    <t>MAT 2103</t>
  </si>
  <si>
    <t>Mathematical Probability I</t>
  </si>
  <si>
    <t>BCH 3101</t>
  </si>
  <si>
    <t>Clinical Biochemistry</t>
  </si>
  <si>
    <t>MLT 3101</t>
  </si>
  <si>
    <t>Enzymology</t>
  </si>
  <si>
    <t>Kenneth Navti</t>
  </si>
  <si>
    <t>BCH 3105</t>
  </si>
  <si>
    <t>Metabolic Biochemistry II</t>
  </si>
  <si>
    <t>MCB 3103</t>
  </si>
  <si>
    <t>Food and Industrial Microbiology</t>
  </si>
  <si>
    <t>MCB 3105</t>
  </si>
  <si>
    <t>Virology</t>
  </si>
  <si>
    <t>MCB 3107</t>
  </si>
  <si>
    <t>Microbial Genetics</t>
  </si>
  <si>
    <t>Martin Ndumu</t>
  </si>
  <si>
    <t>PHY 2101</t>
  </si>
  <si>
    <t>Akumbom</t>
  </si>
  <si>
    <t>Introduction to Computer Science I</t>
  </si>
  <si>
    <t>ZOO 3107</t>
  </si>
  <si>
    <t>General Parasitology</t>
  </si>
  <si>
    <t>CHM 1101</t>
  </si>
  <si>
    <t>General Chemistry</t>
  </si>
  <si>
    <t>DEPARTMENT: BIOCHEMISTRY</t>
  </si>
  <si>
    <t>Computer Programming for Engineers</t>
  </si>
  <si>
    <t>CSC 2101</t>
  </si>
  <si>
    <t xml:space="preserve">   Prof. Francis Fai Mbuntum</t>
  </si>
  <si>
    <t>Mrs. Mary-Teresia Ghumbemsitia</t>
  </si>
  <si>
    <t>Lecturers:</t>
  </si>
  <si>
    <t>Computer science</t>
  </si>
  <si>
    <t>Ful Georges</t>
  </si>
  <si>
    <t>BIO 3101</t>
  </si>
  <si>
    <t>Biometry and Research Methodology</t>
  </si>
  <si>
    <t>Pass</t>
  </si>
  <si>
    <t>%Pass</t>
  </si>
  <si>
    <t>%Fail</t>
  </si>
  <si>
    <t>No. of Scipts Written</t>
  </si>
  <si>
    <t>S/N</t>
  </si>
  <si>
    <t xml:space="preserve"> Navti/Chongwain</t>
  </si>
  <si>
    <t>Paul Chongwain</t>
  </si>
  <si>
    <t>CSC 2107</t>
  </si>
  <si>
    <t>Formal Language Theory and Compilation</t>
  </si>
  <si>
    <t>Ngong Henock</t>
  </si>
  <si>
    <t>Samje Moses</t>
  </si>
  <si>
    <t>MAT 1003</t>
  </si>
  <si>
    <t>Elementary Mathematics</t>
  </si>
  <si>
    <t>Biochemistry</t>
  </si>
  <si>
    <t>FIRST SEMESTER RESULTS 2017/2018</t>
  </si>
  <si>
    <t>SCHOOL YEAR: 2017/2018</t>
  </si>
  <si>
    <t>General Physics II</t>
  </si>
  <si>
    <t>Ngwa Collins</t>
  </si>
  <si>
    <t>CSC 3104</t>
  </si>
  <si>
    <t>Software Project Management</t>
  </si>
  <si>
    <t>CSC 3105</t>
  </si>
  <si>
    <t>Information Security</t>
  </si>
  <si>
    <t>MAT 2101</t>
  </si>
  <si>
    <t>Analysis I</t>
  </si>
  <si>
    <t>Mr.Tabe Joseph</t>
  </si>
  <si>
    <t>Mr.Ngwa Collins</t>
  </si>
  <si>
    <t>Mr.Ngong Henock</t>
  </si>
  <si>
    <t>Dr.Godlove Musongong</t>
  </si>
  <si>
    <t>Mr.Paul Itor</t>
  </si>
  <si>
    <t>Mrs.Tuma Priscilla</t>
  </si>
  <si>
    <t>Ms.Nkwatoh Therese</t>
  </si>
  <si>
    <t>Dr.Samje Moses</t>
  </si>
  <si>
    <t>Dr.Kenneth Navti</t>
  </si>
  <si>
    <t>Dr.Paul Chongwain</t>
  </si>
  <si>
    <t>Dr. Lovelyn Niba</t>
  </si>
  <si>
    <t>Mr.Akumbom Godlove</t>
  </si>
  <si>
    <t>Dr. Ful Georges</t>
  </si>
  <si>
    <t>Dr. Polycarp Ndikvu</t>
  </si>
  <si>
    <t>Dr. Loveline Niba</t>
  </si>
  <si>
    <t>Prof.Francis Fai Mbuntum</t>
  </si>
  <si>
    <t>F.F.Mbuntum</t>
  </si>
  <si>
    <t>M.T.Ghumbemsitia</t>
  </si>
  <si>
    <t xml:space="preserve">   Prof. Martin Ndumu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</si>
</sst>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.5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.5"/>
      <color theme="1"/>
      <name val="Times New Roman"/>
      <family val="1"/>
    </font>
    <font>
      <sz val="12"/>
      <color rgb="FF000000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6" fillId="0" borderId="0" xfId="0" applyFont="1"/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/>
    <xf numFmtId="0" fontId="10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2"/>
    </xf>
    <xf numFmtId="0" fontId="7" fillId="0" borderId="1" xfId="0" applyFont="1" applyBorder="1" applyAlignment="1">
      <alignment horizontal="right" vertical="top" wrapText="1"/>
    </xf>
    <xf numFmtId="0" fontId="9" fillId="0" borderId="1" xfId="0" applyFont="1" applyBorder="1"/>
    <xf numFmtId="0" fontId="11" fillId="0" borderId="0" xfId="0" applyFont="1" applyAlignment="1">
      <alignment horizontal="left"/>
    </xf>
    <xf numFmtId="0" fontId="9" fillId="0" borderId="0" xfId="0" applyFont="1"/>
    <xf numFmtId="0" fontId="1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justify" vertical="top" wrapText="1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5" fillId="0" borderId="4" xfId="0" applyFont="1" applyBorder="1"/>
    <xf numFmtId="0" fontId="13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6" fillId="0" borderId="1" xfId="0" applyFont="1" applyBorder="1" applyAlignment="1">
      <alignment vertical="top"/>
    </xf>
    <xf numFmtId="0" fontId="6" fillId="0" borderId="0" xfId="0" applyFont="1" applyAlignment="1">
      <alignment vertical="top"/>
    </xf>
    <xf numFmtId="0" fontId="5" fillId="0" borderId="6" xfId="0" applyFont="1" applyBorder="1" applyAlignment="1">
      <alignment horizontal="center"/>
    </xf>
    <xf numFmtId="10" fontId="9" fillId="0" borderId="0" xfId="0" applyNumberFormat="1" applyFont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right"/>
    </xf>
    <xf numFmtId="2" fontId="5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9" fillId="0" borderId="1" xfId="0" applyNumberFormat="1" applyFont="1" applyBorder="1"/>
    <xf numFmtId="2" fontId="6" fillId="0" borderId="1" xfId="0" applyNumberFormat="1" applyFont="1" applyBorder="1" applyAlignment="1">
      <alignment horizontal="right" vertical="top" wrapText="1"/>
    </xf>
    <xf numFmtId="2" fontId="9" fillId="0" borderId="1" xfId="0" applyNumberFormat="1" applyFont="1" applyBorder="1" applyAlignment="1">
      <alignment horizontal="right" vertical="top" wrapText="1"/>
    </xf>
    <xf numFmtId="2" fontId="6" fillId="0" borderId="1" xfId="0" applyNumberFormat="1" applyFont="1" applyBorder="1" applyAlignment="1">
      <alignment vertical="top" wrapText="1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/>
    </xf>
    <xf numFmtId="0" fontId="10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10" fontId="9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top" wrapText="1"/>
    </xf>
    <xf numFmtId="0" fontId="14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4"/>
  <sheetViews>
    <sheetView tabSelected="1" zoomScale="60" zoomScaleNormal="60" workbookViewId="0">
      <selection activeCell="O10" sqref="O10"/>
    </sheetView>
  </sheetViews>
  <sheetFormatPr defaultColWidth="9.1015625" defaultRowHeight="14.1" x14ac:dyDescent="0.5"/>
  <cols>
    <col min="1" max="1" width="5.1015625" style="1" customWidth="1"/>
    <col min="2" max="2" width="9.5234375" style="1" customWidth="1"/>
    <col min="3" max="3" width="30.89453125" style="1" customWidth="1"/>
    <col min="4" max="4" width="4" style="1" customWidth="1"/>
    <col min="5" max="5" width="3.89453125" style="1" customWidth="1"/>
    <col min="6" max="6" width="14.68359375" style="1" customWidth="1"/>
    <col min="7" max="7" width="5.1015625" style="1" customWidth="1"/>
    <col min="8" max="8" width="4.68359375" style="1" customWidth="1"/>
    <col min="9" max="9" width="5.1015625" style="1" customWidth="1"/>
    <col min="10" max="10" width="4.89453125" style="1" customWidth="1"/>
    <col min="11" max="11" width="4.68359375" style="1" customWidth="1"/>
    <col min="12" max="12" width="6.5234375" style="1" customWidth="1"/>
    <col min="13" max="13" width="5.89453125" style="1" customWidth="1"/>
    <col min="14" max="14" width="4.1015625" style="1" customWidth="1"/>
    <col min="15" max="15" width="4.5234375" style="1" customWidth="1"/>
    <col min="16" max="16" width="4.1015625" style="1" customWidth="1"/>
    <col min="17" max="17" width="3.5234375" style="1" customWidth="1"/>
    <col min="18" max="18" width="3.3125" style="1" customWidth="1"/>
    <col min="19" max="19" width="3.5234375" style="1" customWidth="1"/>
    <col min="20" max="20" width="3.41796875" style="1" customWidth="1"/>
    <col min="21" max="21" width="3.5234375" style="1" customWidth="1"/>
    <col min="22" max="22" width="5.41796875" style="1" customWidth="1"/>
    <col min="23" max="23" width="30.89453125" style="1" customWidth="1"/>
    <col min="24" max="24" width="16.3125" style="1" customWidth="1"/>
    <col min="25" max="25" width="21.41796875" style="1" customWidth="1"/>
    <col min="26" max="26" width="14.41796875" style="1" customWidth="1"/>
    <col min="27" max="27" width="14.5234375" style="1" customWidth="1"/>
    <col min="28" max="28" width="12.41796875" style="1" customWidth="1"/>
    <col min="29" max="29" width="12.5234375" style="1" customWidth="1"/>
    <col min="30" max="30" width="9.1015625" style="1"/>
    <col min="31" max="31" width="6.68359375" style="1" customWidth="1"/>
    <col min="32" max="16384" width="9.1015625" style="1"/>
  </cols>
  <sheetData>
    <row r="1" spans="1:22" ht="20.100000000000001" customHeight="1" x14ac:dyDescent="0.5">
      <c r="C1" s="80" t="s">
        <v>24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22" ht="18" customHeight="1" x14ac:dyDescent="0.5"/>
    <row r="3" spans="1:22" x14ac:dyDescent="0.5">
      <c r="A3" s="18" t="s">
        <v>38</v>
      </c>
      <c r="C3" s="18"/>
      <c r="D3" s="18"/>
      <c r="E3" s="18"/>
      <c r="F3" s="18"/>
      <c r="G3" s="16"/>
      <c r="H3" s="16"/>
      <c r="I3" s="16"/>
      <c r="J3" s="16"/>
      <c r="L3" s="16" t="s">
        <v>119</v>
      </c>
      <c r="N3" s="16"/>
      <c r="O3" s="16"/>
      <c r="P3" s="16"/>
    </row>
    <row r="4" spans="1:22" ht="15" x14ac:dyDescent="0.5">
      <c r="C4" s="18"/>
      <c r="D4" s="18"/>
      <c r="E4" s="18"/>
      <c r="F4" s="18"/>
      <c r="G4" s="17"/>
      <c r="H4" s="17"/>
      <c r="I4" s="17"/>
      <c r="J4" s="17"/>
      <c r="L4" s="18" t="s">
        <v>39</v>
      </c>
      <c r="N4" s="18"/>
      <c r="O4" s="18"/>
      <c r="P4" s="17"/>
      <c r="Q4" s="17"/>
    </row>
    <row r="5" spans="1:22" ht="15" x14ac:dyDescent="0.5">
      <c r="A5" s="16" t="s">
        <v>34</v>
      </c>
      <c r="G5" s="15"/>
      <c r="H5" s="15"/>
      <c r="I5" s="15"/>
      <c r="J5" s="15"/>
      <c r="L5" s="19" t="s">
        <v>144</v>
      </c>
      <c r="N5" s="15"/>
      <c r="O5" s="15"/>
      <c r="P5" s="15"/>
      <c r="Q5" s="15"/>
    </row>
    <row r="6" spans="1:22" ht="15" x14ac:dyDescent="0.5">
      <c r="B6" s="16"/>
      <c r="G6" s="15"/>
      <c r="H6" s="15"/>
      <c r="I6" s="15"/>
      <c r="J6" s="15"/>
      <c r="K6" s="19"/>
      <c r="L6" s="15"/>
      <c r="M6" s="15"/>
      <c r="N6" s="15"/>
      <c r="O6" s="15"/>
      <c r="P6" s="15"/>
      <c r="Q6" s="15"/>
    </row>
    <row r="7" spans="1:22" ht="17.100000000000001" customHeight="1" x14ac:dyDescent="0.5">
      <c r="C7" s="64" t="s">
        <v>27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22" ht="15.9" customHeight="1" x14ac:dyDescent="0.5">
      <c r="A8" s="56" t="s">
        <v>0</v>
      </c>
      <c r="B8" s="57" t="s">
        <v>1</v>
      </c>
      <c r="C8" s="57" t="s">
        <v>2</v>
      </c>
      <c r="D8" s="57" t="s">
        <v>3</v>
      </c>
      <c r="E8" s="57" t="s">
        <v>4</v>
      </c>
      <c r="F8" s="57" t="s">
        <v>5</v>
      </c>
      <c r="G8" s="73" t="s">
        <v>29</v>
      </c>
      <c r="H8" s="61" t="s">
        <v>6</v>
      </c>
      <c r="I8" s="62"/>
      <c r="J8" s="62"/>
      <c r="K8" s="63"/>
      <c r="L8" s="75" t="s">
        <v>7</v>
      </c>
      <c r="M8" s="75" t="s">
        <v>8</v>
      </c>
      <c r="N8" s="61" t="s">
        <v>6</v>
      </c>
      <c r="O8" s="62"/>
      <c r="P8" s="62"/>
      <c r="Q8" s="62"/>
      <c r="R8" s="62"/>
      <c r="S8" s="62"/>
      <c r="T8" s="62"/>
      <c r="U8" s="63"/>
    </row>
    <row r="9" spans="1:22" ht="15.9" customHeight="1" x14ac:dyDescent="0.5">
      <c r="A9" s="56"/>
      <c r="B9" s="57"/>
      <c r="C9" s="57"/>
      <c r="D9" s="57"/>
      <c r="E9" s="57"/>
      <c r="F9" s="57"/>
      <c r="G9" s="74"/>
      <c r="H9" s="6" t="s">
        <v>9</v>
      </c>
      <c r="I9" s="6" t="s">
        <v>10</v>
      </c>
      <c r="J9" s="6" t="s">
        <v>11</v>
      </c>
      <c r="K9" s="6" t="s">
        <v>12</v>
      </c>
      <c r="L9" s="76"/>
      <c r="M9" s="76"/>
      <c r="N9" s="2" t="s">
        <v>13</v>
      </c>
      <c r="O9" s="2" t="s">
        <v>14</v>
      </c>
      <c r="P9" s="2" t="s">
        <v>15</v>
      </c>
      <c r="Q9" s="2" t="s">
        <v>16</v>
      </c>
      <c r="R9" s="2" t="s">
        <v>17</v>
      </c>
      <c r="S9" s="2" t="s">
        <v>18</v>
      </c>
      <c r="T9" s="2" t="s">
        <v>19</v>
      </c>
      <c r="U9" s="2" t="s">
        <v>20</v>
      </c>
    </row>
    <row r="10" spans="1:22" ht="18.899999999999999" customHeight="1" x14ac:dyDescent="0.5">
      <c r="A10" s="12">
        <v>1</v>
      </c>
      <c r="B10" s="4" t="s">
        <v>58</v>
      </c>
      <c r="C10" s="20" t="s">
        <v>59</v>
      </c>
      <c r="D10" s="21">
        <v>6</v>
      </c>
      <c r="E10" s="21" t="s">
        <v>17</v>
      </c>
      <c r="F10" s="22" t="s">
        <v>60</v>
      </c>
      <c r="G10" s="40">
        <v>100</v>
      </c>
      <c r="H10" s="37">
        <v>8</v>
      </c>
      <c r="I10" s="37">
        <v>8</v>
      </c>
      <c r="J10" s="37">
        <v>8</v>
      </c>
      <c r="K10" s="37">
        <v>0</v>
      </c>
      <c r="L10" s="52">
        <f>J10/I10*100</f>
        <v>100</v>
      </c>
      <c r="M10" s="52">
        <f>K10/I10*100</f>
        <v>0</v>
      </c>
      <c r="N10" s="38">
        <v>1</v>
      </c>
      <c r="O10" s="38">
        <v>1</v>
      </c>
      <c r="P10" s="38">
        <v>1</v>
      </c>
      <c r="Q10" s="38">
        <v>4</v>
      </c>
      <c r="R10" s="38">
        <v>1</v>
      </c>
      <c r="S10" s="38">
        <v>0</v>
      </c>
      <c r="T10" s="38">
        <v>0</v>
      </c>
      <c r="U10" s="38">
        <v>0</v>
      </c>
      <c r="V10" s="1">
        <f>SUM(N10:U10)</f>
        <v>8</v>
      </c>
    </row>
    <row r="11" spans="1:22" ht="18.899999999999999" customHeight="1" x14ac:dyDescent="0.5">
      <c r="A11" s="12">
        <v>2</v>
      </c>
      <c r="B11" s="4" t="s">
        <v>117</v>
      </c>
      <c r="C11" s="20" t="s">
        <v>118</v>
      </c>
      <c r="D11" s="21">
        <v>6</v>
      </c>
      <c r="E11" s="21" t="s">
        <v>17</v>
      </c>
      <c r="F11" s="42" t="s">
        <v>135</v>
      </c>
      <c r="G11" s="40">
        <v>100</v>
      </c>
      <c r="H11" s="37">
        <v>27</v>
      </c>
      <c r="I11" s="37">
        <v>26</v>
      </c>
      <c r="J11" s="37">
        <v>14</v>
      </c>
      <c r="K11" s="37">
        <v>12</v>
      </c>
      <c r="L11" s="52">
        <f>J11/I11*100</f>
        <v>53.846153846153847</v>
      </c>
      <c r="M11" s="52">
        <f t="shared" ref="M11:M18" si="0">K11/I11*100</f>
        <v>46.153846153846153</v>
      </c>
      <c r="N11" s="38">
        <v>2</v>
      </c>
      <c r="O11" s="38">
        <v>2</v>
      </c>
      <c r="P11" s="38">
        <v>5</v>
      </c>
      <c r="Q11" s="38">
        <v>2</v>
      </c>
      <c r="R11" s="38">
        <v>3</v>
      </c>
      <c r="S11" s="38">
        <v>4</v>
      </c>
      <c r="T11" s="38">
        <v>2</v>
      </c>
      <c r="U11" s="38">
        <v>6</v>
      </c>
      <c r="V11" s="1">
        <f t="shared" ref="V11:V18" si="1">SUM(N11:U11)</f>
        <v>26</v>
      </c>
    </row>
    <row r="12" spans="1:22" ht="18.899999999999999" customHeight="1" x14ac:dyDescent="0.5">
      <c r="A12" s="12">
        <v>3</v>
      </c>
      <c r="B12" s="20" t="s">
        <v>112</v>
      </c>
      <c r="C12" s="5" t="s">
        <v>145</v>
      </c>
      <c r="D12" s="21">
        <v>4</v>
      </c>
      <c r="E12" s="21" t="s">
        <v>17</v>
      </c>
      <c r="F12" s="4" t="s">
        <v>113</v>
      </c>
      <c r="G12" s="41">
        <v>100</v>
      </c>
      <c r="H12" s="37">
        <v>8</v>
      </c>
      <c r="I12" s="37">
        <v>7</v>
      </c>
      <c r="J12" s="37">
        <v>7</v>
      </c>
      <c r="K12" s="37">
        <v>0</v>
      </c>
      <c r="L12" s="52">
        <f t="shared" ref="L12:L17" si="2">J12/I12*100</f>
        <v>100</v>
      </c>
      <c r="M12" s="52">
        <f t="shared" si="0"/>
        <v>0</v>
      </c>
      <c r="N12" s="37">
        <v>0</v>
      </c>
      <c r="O12" s="37">
        <v>2</v>
      </c>
      <c r="P12" s="37">
        <v>3</v>
      </c>
      <c r="Q12" s="37">
        <v>2</v>
      </c>
      <c r="R12" s="37">
        <v>0</v>
      </c>
      <c r="S12" s="37">
        <v>0</v>
      </c>
      <c r="T12" s="37">
        <v>0</v>
      </c>
      <c r="U12" s="37">
        <v>0</v>
      </c>
      <c r="V12" s="1">
        <f t="shared" si="1"/>
        <v>7</v>
      </c>
    </row>
    <row r="13" spans="1:22" ht="18.899999999999999" customHeight="1" x14ac:dyDescent="0.5">
      <c r="A13" s="12">
        <v>4</v>
      </c>
      <c r="B13" s="4" t="s">
        <v>78</v>
      </c>
      <c r="C13" s="20" t="s">
        <v>79</v>
      </c>
      <c r="D13" s="21">
        <v>6</v>
      </c>
      <c r="E13" s="21" t="s">
        <v>17</v>
      </c>
      <c r="F13" s="42" t="s">
        <v>80</v>
      </c>
      <c r="G13" s="40">
        <v>100</v>
      </c>
      <c r="H13" s="37">
        <v>9</v>
      </c>
      <c r="I13" s="37">
        <v>9</v>
      </c>
      <c r="J13" s="37">
        <v>9</v>
      </c>
      <c r="K13" s="37">
        <v>0</v>
      </c>
      <c r="L13" s="52">
        <f t="shared" si="2"/>
        <v>100</v>
      </c>
      <c r="M13" s="52">
        <f t="shared" si="0"/>
        <v>0</v>
      </c>
      <c r="N13" s="38">
        <v>0</v>
      </c>
      <c r="O13" s="38">
        <v>3</v>
      </c>
      <c r="P13" s="38">
        <v>4</v>
      </c>
      <c r="Q13" s="38">
        <v>1</v>
      </c>
      <c r="R13" s="38">
        <v>1</v>
      </c>
      <c r="S13" s="38">
        <v>0</v>
      </c>
      <c r="T13" s="38">
        <v>0</v>
      </c>
      <c r="U13" s="38">
        <v>0</v>
      </c>
      <c r="V13" s="1">
        <f t="shared" si="1"/>
        <v>9</v>
      </c>
    </row>
    <row r="14" spans="1:22" ht="18.899999999999999" customHeight="1" x14ac:dyDescent="0.5">
      <c r="A14" s="12">
        <v>5</v>
      </c>
      <c r="B14" s="4" t="s">
        <v>81</v>
      </c>
      <c r="C14" s="20" t="s">
        <v>82</v>
      </c>
      <c r="D14" s="21">
        <v>6</v>
      </c>
      <c r="E14" s="21" t="s">
        <v>17</v>
      </c>
      <c r="F14" s="22" t="s">
        <v>60</v>
      </c>
      <c r="G14" s="40">
        <v>100</v>
      </c>
      <c r="H14" s="37">
        <v>8</v>
      </c>
      <c r="I14" s="37">
        <v>7</v>
      </c>
      <c r="J14" s="37">
        <v>7</v>
      </c>
      <c r="K14" s="37">
        <v>0</v>
      </c>
      <c r="L14" s="52">
        <f t="shared" si="2"/>
        <v>100</v>
      </c>
      <c r="M14" s="52">
        <f t="shared" si="0"/>
        <v>0</v>
      </c>
      <c r="N14" s="38">
        <v>3</v>
      </c>
      <c r="O14" s="38">
        <v>4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1">
        <f t="shared" si="1"/>
        <v>7</v>
      </c>
    </row>
    <row r="15" spans="1:22" ht="18.899999999999999" customHeight="1" x14ac:dyDescent="0.5">
      <c r="A15" s="12">
        <v>6</v>
      </c>
      <c r="B15" s="4" t="s">
        <v>98</v>
      </c>
      <c r="C15" s="20" t="s">
        <v>101</v>
      </c>
      <c r="D15" s="21">
        <v>6</v>
      </c>
      <c r="E15" s="21" t="s">
        <v>17</v>
      </c>
      <c r="F15" s="47" t="s">
        <v>134</v>
      </c>
      <c r="G15" s="40">
        <v>100</v>
      </c>
      <c r="H15" s="37">
        <v>4</v>
      </c>
      <c r="I15" s="37">
        <v>4</v>
      </c>
      <c r="J15" s="37">
        <v>2</v>
      </c>
      <c r="K15" s="37">
        <v>2</v>
      </c>
      <c r="L15" s="52">
        <f t="shared" si="2"/>
        <v>50</v>
      </c>
      <c r="M15" s="52">
        <f t="shared" si="0"/>
        <v>50</v>
      </c>
      <c r="N15" s="38">
        <v>1</v>
      </c>
      <c r="O15" s="38">
        <v>0</v>
      </c>
      <c r="P15" s="38">
        <v>1</v>
      </c>
      <c r="Q15" s="38">
        <v>0</v>
      </c>
      <c r="R15" s="38">
        <v>0</v>
      </c>
      <c r="S15" s="38">
        <v>1</v>
      </c>
      <c r="T15" s="38">
        <v>0</v>
      </c>
      <c r="U15" s="38">
        <v>1</v>
      </c>
      <c r="V15" s="1">
        <f t="shared" si="1"/>
        <v>4</v>
      </c>
    </row>
    <row r="16" spans="1:22" ht="18.899999999999999" customHeight="1" x14ac:dyDescent="0.5">
      <c r="A16" s="12">
        <v>7</v>
      </c>
      <c r="B16" s="4" t="s">
        <v>103</v>
      </c>
      <c r="C16" s="20" t="s">
        <v>104</v>
      </c>
      <c r="D16" s="21">
        <v>6</v>
      </c>
      <c r="E16" s="21" t="s">
        <v>17</v>
      </c>
      <c r="F16" s="22" t="s">
        <v>102</v>
      </c>
      <c r="G16" s="40">
        <v>100</v>
      </c>
      <c r="H16" s="37">
        <v>4</v>
      </c>
      <c r="I16" s="37">
        <v>4</v>
      </c>
      <c r="J16" s="37">
        <v>3</v>
      </c>
      <c r="K16" s="37">
        <v>1</v>
      </c>
      <c r="L16" s="52">
        <f t="shared" si="2"/>
        <v>75</v>
      </c>
      <c r="M16" s="52">
        <f t="shared" si="0"/>
        <v>25</v>
      </c>
      <c r="N16" s="38">
        <v>1</v>
      </c>
      <c r="O16" s="38">
        <v>1</v>
      </c>
      <c r="P16" s="38">
        <v>0</v>
      </c>
      <c r="Q16" s="38">
        <v>0</v>
      </c>
      <c r="R16" s="38">
        <v>1</v>
      </c>
      <c r="S16" s="38">
        <v>1</v>
      </c>
      <c r="T16" s="38">
        <v>0</v>
      </c>
      <c r="U16" s="38">
        <v>0</v>
      </c>
      <c r="V16" s="1">
        <f t="shared" si="1"/>
        <v>4</v>
      </c>
    </row>
    <row r="17" spans="1:22" ht="18.899999999999999" customHeight="1" x14ac:dyDescent="0.5">
      <c r="A17" s="12">
        <v>8</v>
      </c>
      <c r="B17" s="4" t="s">
        <v>100</v>
      </c>
      <c r="C17" s="20" t="s">
        <v>99</v>
      </c>
      <c r="D17" s="21">
        <v>6</v>
      </c>
      <c r="E17" s="21" t="s">
        <v>17</v>
      </c>
      <c r="F17" s="22" t="s">
        <v>126</v>
      </c>
      <c r="G17" s="40">
        <v>100</v>
      </c>
      <c r="H17" s="37">
        <v>7</v>
      </c>
      <c r="I17" s="37">
        <v>7</v>
      </c>
      <c r="J17" s="37">
        <v>7</v>
      </c>
      <c r="K17" s="37">
        <v>0</v>
      </c>
      <c r="L17" s="52">
        <f t="shared" si="2"/>
        <v>100</v>
      </c>
      <c r="M17" s="52">
        <f t="shared" si="0"/>
        <v>0</v>
      </c>
      <c r="N17" s="38">
        <v>1</v>
      </c>
      <c r="O17" s="38">
        <v>2</v>
      </c>
      <c r="P17" s="38">
        <v>2</v>
      </c>
      <c r="Q17" s="38">
        <v>1</v>
      </c>
      <c r="R17" s="38">
        <v>1</v>
      </c>
      <c r="S17" s="38">
        <v>0</v>
      </c>
      <c r="T17" s="38">
        <v>0</v>
      </c>
      <c r="U17" s="38">
        <v>0</v>
      </c>
      <c r="V17" s="1">
        <f t="shared" si="1"/>
        <v>7</v>
      </c>
    </row>
    <row r="18" spans="1:22" ht="18.899999999999999" customHeight="1" x14ac:dyDescent="0.5">
      <c r="A18" s="7"/>
      <c r="B18" s="7"/>
      <c r="C18" s="67" t="s">
        <v>21</v>
      </c>
      <c r="D18" s="68"/>
      <c r="E18" s="68"/>
      <c r="F18" s="69"/>
      <c r="G18" s="7"/>
      <c r="H18" s="14">
        <f>SUM(H10:H17)</f>
        <v>75</v>
      </c>
      <c r="I18" s="14">
        <f>SUM(I10:I17)</f>
        <v>72</v>
      </c>
      <c r="J18" s="14">
        <f>SUM(J10:J17)</f>
        <v>57</v>
      </c>
      <c r="K18" s="14">
        <f>SUM(K10:K17)</f>
        <v>15</v>
      </c>
      <c r="L18" s="51">
        <f>J18/I18*100</f>
        <v>79.166666666666657</v>
      </c>
      <c r="M18" s="53">
        <f t="shared" si="0"/>
        <v>20.833333333333336</v>
      </c>
      <c r="N18" s="14">
        <f t="shared" ref="N18:U18" si="3">SUM(N10:N17)</f>
        <v>9</v>
      </c>
      <c r="O18" s="14">
        <f t="shared" si="3"/>
        <v>15</v>
      </c>
      <c r="P18" s="14">
        <f t="shared" si="3"/>
        <v>16</v>
      </c>
      <c r="Q18" s="14">
        <f t="shared" si="3"/>
        <v>10</v>
      </c>
      <c r="R18" s="14">
        <f t="shared" si="3"/>
        <v>7</v>
      </c>
      <c r="S18" s="14">
        <f t="shared" si="3"/>
        <v>6</v>
      </c>
      <c r="T18" s="14">
        <f t="shared" si="3"/>
        <v>2</v>
      </c>
      <c r="U18" s="14">
        <f t="shared" si="3"/>
        <v>7</v>
      </c>
      <c r="V18" s="1">
        <f t="shared" si="1"/>
        <v>72</v>
      </c>
    </row>
    <row r="19" spans="1:22" ht="33" customHeight="1" x14ac:dyDescent="0.5">
      <c r="B19" s="65" t="s">
        <v>28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</row>
    <row r="20" spans="1:22" ht="15.75" customHeight="1" x14ac:dyDescent="0.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22" ht="15.75" customHeight="1" x14ac:dyDescent="0.5">
      <c r="B21" s="16" t="s">
        <v>35</v>
      </c>
      <c r="C21" s="26"/>
      <c r="D21" s="77">
        <v>72</v>
      </c>
      <c r="E21" s="77"/>
      <c r="F21" s="8"/>
      <c r="G21" s="8"/>
      <c r="H21" s="8"/>
      <c r="I21" s="58" t="s">
        <v>37</v>
      </c>
      <c r="J21" s="58"/>
      <c r="K21" s="58"/>
      <c r="L21" s="58"/>
      <c r="M21" s="58"/>
      <c r="N21" s="77">
        <v>15</v>
      </c>
      <c r="O21" s="77"/>
    </row>
    <row r="22" spans="1:22" ht="15.75" customHeight="1" x14ac:dyDescent="0.5">
      <c r="B22" s="58"/>
      <c r="C22" s="58"/>
      <c r="D22" s="58"/>
      <c r="E22" s="58"/>
      <c r="F22" s="9"/>
      <c r="G22" s="9"/>
      <c r="H22" s="9"/>
      <c r="N22" s="58"/>
      <c r="O22" s="58"/>
    </row>
    <row r="23" spans="1:22" ht="15.75" customHeight="1" x14ac:dyDescent="0.5">
      <c r="B23" s="58" t="s">
        <v>36</v>
      </c>
      <c r="C23" s="58"/>
      <c r="D23" s="77">
        <v>57</v>
      </c>
      <c r="E23" s="77"/>
      <c r="F23" s="9"/>
      <c r="G23" s="9"/>
      <c r="H23" s="9"/>
      <c r="I23" s="58" t="s">
        <v>22</v>
      </c>
      <c r="J23" s="58"/>
      <c r="K23" s="58"/>
      <c r="L23" s="58"/>
      <c r="M23" s="58"/>
      <c r="N23" s="78">
        <v>0.79169999999999996</v>
      </c>
      <c r="O23" s="58"/>
      <c r="V23" s="1" t="s">
        <v>25</v>
      </c>
    </row>
    <row r="24" spans="1:22" ht="15.75" customHeight="1" x14ac:dyDescent="0.5">
      <c r="B24" s="9"/>
      <c r="C24" s="9"/>
      <c r="D24" s="26"/>
      <c r="E24" s="26"/>
      <c r="F24" s="9"/>
      <c r="G24" s="9"/>
      <c r="H24" s="9"/>
      <c r="I24" s="9"/>
      <c r="J24" s="9"/>
      <c r="K24" s="9"/>
      <c r="L24" s="9"/>
      <c r="M24" s="9"/>
      <c r="N24" s="36"/>
      <c r="O24" s="9"/>
    </row>
    <row r="25" spans="1:22" ht="15.75" customHeight="1" x14ac:dyDescent="0.5">
      <c r="B25" s="9"/>
      <c r="C25" s="9"/>
      <c r="D25" s="26"/>
      <c r="E25" s="26"/>
      <c r="F25" s="9"/>
      <c r="G25" s="9"/>
      <c r="H25" s="9"/>
      <c r="I25" s="9"/>
      <c r="J25" s="9"/>
      <c r="K25" s="9"/>
      <c r="L25" s="9"/>
      <c r="M25" s="9"/>
      <c r="N25" s="36"/>
      <c r="O25" s="9"/>
    </row>
    <row r="26" spans="1:22" ht="15.75" customHeight="1" x14ac:dyDescent="0.5">
      <c r="A26" s="16" t="s">
        <v>124</v>
      </c>
      <c r="B26" s="16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22" ht="15.75" customHeight="1" x14ac:dyDescent="0.5">
      <c r="C27" s="55"/>
      <c r="D27" s="55"/>
      <c r="E27" s="55"/>
      <c r="F27" s="55"/>
    </row>
    <row r="28" spans="1:22" x14ac:dyDescent="0.5">
      <c r="A28" s="1" t="s">
        <v>166</v>
      </c>
      <c r="D28" s="55" t="s">
        <v>161</v>
      </c>
      <c r="E28" s="55"/>
      <c r="F28" s="55"/>
      <c r="I28" s="55" t="s">
        <v>162</v>
      </c>
      <c r="J28" s="55"/>
      <c r="K28" s="55"/>
      <c r="L28" s="55"/>
      <c r="P28" s="55" t="s">
        <v>163</v>
      </c>
      <c r="Q28" s="55"/>
      <c r="R28" s="55"/>
      <c r="S28" s="55"/>
      <c r="T28" s="55"/>
    </row>
    <row r="29" spans="1:22" x14ac:dyDescent="0.5">
      <c r="D29" s="24"/>
      <c r="E29" s="24"/>
      <c r="F29" s="24"/>
      <c r="I29" s="24"/>
      <c r="J29" s="24"/>
      <c r="K29" s="24"/>
      <c r="L29" s="24"/>
      <c r="P29" s="24"/>
      <c r="Q29" s="24"/>
      <c r="R29" s="24"/>
      <c r="S29" s="24"/>
      <c r="T29" s="24"/>
    </row>
    <row r="30" spans="1:22" x14ac:dyDescent="0.5">
      <c r="D30" s="24"/>
      <c r="E30" s="24"/>
      <c r="F30" s="24"/>
      <c r="I30" s="24"/>
      <c r="J30" s="24"/>
      <c r="K30" s="24"/>
      <c r="P30" s="24"/>
      <c r="Q30" s="24"/>
      <c r="R30" s="24"/>
      <c r="S30" s="24"/>
      <c r="T30" s="24"/>
    </row>
    <row r="31" spans="1:22" x14ac:dyDescent="0.5">
      <c r="C31" s="48" t="s">
        <v>164</v>
      </c>
      <c r="D31" s="24"/>
      <c r="E31" s="24"/>
      <c r="G31" s="1" t="s">
        <v>165</v>
      </c>
      <c r="I31" s="24"/>
      <c r="J31" s="24"/>
      <c r="K31" s="24"/>
      <c r="P31" s="24"/>
      <c r="Q31" s="24"/>
      <c r="R31" s="24"/>
      <c r="S31" s="24"/>
      <c r="T31" s="24"/>
    </row>
    <row r="34" spans="1:22" ht="20.100000000000001" customHeight="1" x14ac:dyDescent="0.55000000000000004">
      <c r="C34" s="81" t="s">
        <v>24</v>
      </c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</row>
    <row r="36" spans="1:22" x14ac:dyDescent="0.5">
      <c r="A36" s="18" t="s">
        <v>40</v>
      </c>
      <c r="C36" s="18"/>
      <c r="D36" s="18"/>
      <c r="E36" s="18"/>
      <c r="F36" s="18"/>
      <c r="G36" s="16"/>
      <c r="H36" s="16"/>
      <c r="I36" s="16"/>
      <c r="J36" s="16"/>
      <c r="L36" s="16" t="s">
        <v>41</v>
      </c>
      <c r="N36" s="16"/>
      <c r="O36" s="16"/>
      <c r="P36" s="16"/>
    </row>
    <row r="37" spans="1:22" ht="15" x14ac:dyDescent="0.5">
      <c r="C37" s="18"/>
      <c r="D37" s="18"/>
      <c r="E37" s="18"/>
      <c r="F37" s="18"/>
      <c r="G37" s="17"/>
      <c r="H37" s="17"/>
      <c r="I37" s="17"/>
      <c r="J37" s="17"/>
      <c r="L37" s="18" t="s">
        <v>42</v>
      </c>
      <c r="N37" s="18"/>
      <c r="O37" s="18"/>
      <c r="P37" s="17"/>
      <c r="Q37" s="17"/>
    </row>
    <row r="38" spans="1:22" ht="15" x14ac:dyDescent="0.5">
      <c r="A38" s="16" t="s">
        <v>34</v>
      </c>
      <c r="G38" s="15"/>
      <c r="H38" s="15"/>
      <c r="I38" s="15"/>
      <c r="J38" s="15"/>
      <c r="L38" s="19" t="s">
        <v>144</v>
      </c>
      <c r="N38" s="15"/>
      <c r="O38" s="15"/>
      <c r="P38" s="15"/>
      <c r="Q38" s="15"/>
    </row>
    <row r="39" spans="1:22" ht="15" x14ac:dyDescent="0.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1:22" ht="17.100000000000001" customHeight="1" x14ac:dyDescent="0.5">
      <c r="C40" s="64" t="s">
        <v>27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</row>
    <row r="41" spans="1:22" ht="21.9" customHeight="1" x14ac:dyDescent="0.5">
      <c r="A41" s="57" t="s">
        <v>0</v>
      </c>
      <c r="B41" s="57" t="s">
        <v>1</v>
      </c>
      <c r="C41" s="57" t="s">
        <v>2</v>
      </c>
      <c r="D41" s="66" t="s">
        <v>3</v>
      </c>
      <c r="E41" s="66" t="s">
        <v>4</v>
      </c>
      <c r="F41" s="57" t="s">
        <v>5</v>
      </c>
      <c r="G41" s="59" t="s">
        <v>29</v>
      </c>
      <c r="H41" s="61" t="s">
        <v>6</v>
      </c>
      <c r="I41" s="62"/>
      <c r="J41" s="62"/>
      <c r="K41" s="63"/>
      <c r="L41" s="75" t="s">
        <v>7</v>
      </c>
      <c r="M41" s="75" t="s">
        <v>8</v>
      </c>
      <c r="N41" s="61" t="s">
        <v>6</v>
      </c>
      <c r="O41" s="62"/>
      <c r="P41" s="62"/>
      <c r="Q41" s="62"/>
      <c r="R41" s="62"/>
      <c r="S41" s="62"/>
      <c r="T41" s="62"/>
      <c r="U41" s="63"/>
    </row>
    <row r="42" spans="1:22" ht="21.9" customHeight="1" x14ac:dyDescent="0.5">
      <c r="A42" s="57"/>
      <c r="B42" s="57"/>
      <c r="C42" s="57"/>
      <c r="D42" s="66"/>
      <c r="E42" s="66"/>
      <c r="F42" s="57"/>
      <c r="G42" s="60"/>
      <c r="H42" s="6" t="s">
        <v>9</v>
      </c>
      <c r="I42" s="6" t="s">
        <v>10</v>
      </c>
      <c r="J42" s="6" t="s">
        <v>11</v>
      </c>
      <c r="K42" s="6" t="s">
        <v>12</v>
      </c>
      <c r="L42" s="76"/>
      <c r="M42" s="76"/>
      <c r="N42" s="2" t="s">
        <v>13</v>
      </c>
      <c r="O42" s="2" t="s">
        <v>14</v>
      </c>
      <c r="P42" s="2" t="s">
        <v>15</v>
      </c>
      <c r="Q42" s="2" t="s">
        <v>16</v>
      </c>
      <c r="R42" s="2" t="s">
        <v>17</v>
      </c>
      <c r="S42" s="2" t="s">
        <v>18</v>
      </c>
      <c r="T42" s="2" t="s">
        <v>19</v>
      </c>
      <c r="U42" s="2" t="s">
        <v>20</v>
      </c>
    </row>
    <row r="43" spans="1:22" ht="17.399999999999999" customHeight="1" x14ac:dyDescent="0.5">
      <c r="A43" s="11">
        <v>1</v>
      </c>
      <c r="B43" s="4" t="s">
        <v>61</v>
      </c>
      <c r="C43" s="20" t="s">
        <v>62</v>
      </c>
      <c r="D43" s="21">
        <v>6</v>
      </c>
      <c r="E43" s="21" t="s">
        <v>17</v>
      </c>
      <c r="F43" s="20" t="s">
        <v>80</v>
      </c>
      <c r="G43" s="7">
        <v>100</v>
      </c>
      <c r="H43" s="37">
        <v>6</v>
      </c>
      <c r="I43" s="37">
        <v>6</v>
      </c>
      <c r="J43" s="37">
        <v>4</v>
      </c>
      <c r="K43" s="37">
        <v>2</v>
      </c>
      <c r="L43" s="52">
        <f>J43/I43*100</f>
        <v>66.666666666666657</v>
      </c>
      <c r="M43" s="52">
        <f>K43/I43*100</f>
        <v>33.333333333333329</v>
      </c>
      <c r="N43" s="37">
        <v>0</v>
      </c>
      <c r="O43" s="37">
        <v>0</v>
      </c>
      <c r="P43" s="37">
        <v>3</v>
      </c>
      <c r="Q43" s="37">
        <v>0</v>
      </c>
      <c r="R43" s="37">
        <v>1</v>
      </c>
      <c r="S43" s="37">
        <v>2</v>
      </c>
      <c r="T43" s="37">
        <v>0</v>
      </c>
      <c r="U43" s="37">
        <v>0</v>
      </c>
      <c r="V43" s="1">
        <f>SUM(N43:U43)</f>
        <v>6</v>
      </c>
    </row>
    <row r="44" spans="1:22" ht="17.399999999999999" customHeight="1" x14ac:dyDescent="0.5">
      <c r="A44" s="11">
        <v>2</v>
      </c>
      <c r="B44" s="4" t="s">
        <v>63</v>
      </c>
      <c r="C44" s="20" t="s">
        <v>64</v>
      </c>
      <c r="D44" s="21">
        <v>6</v>
      </c>
      <c r="E44" s="21" t="s">
        <v>17</v>
      </c>
      <c r="F44" s="20" t="s">
        <v>65</v>
      </c>
      <c r="G44" s="7">
        <v>100</v>
      </c>
      <c r="H44" s="37">
        <v>7</v>
      </c>
      <c r="I44" s="37">
        <v>6</v>
      </c>
      <c r="J44" s="37">
        <v>6</v>
      </c>
      <c r="K44" s="37">
        <v>0</v>
      </c>
      <c r="L44" s="52">
        <f t="shared" ref="L44:L52" si="4">J44/I44*100</f>
        <v>100</v>
      </c>
      <c r="M44" s="52">
        <f t="shared" ref="M44:M52" si="5">K44/I44*100</f>
        <v>0</v>
      </c>
      <c r="N44" s="37">
        <v>1</v>
      </c>
      <c r="O44" s="37">
        <v>2</v>
      </c>
      <c r="P44" s="37">
        <v>1</v>
      </c>
      <c r="Q44" s="37">
        <v>2</v>
      </c>
      <c r="R44" s="37">
        <v>0</v>
      </c>
      <c r="S44" s="37">
        <v>0</v>
      </c>
      <c r="T44" s="37">
        <v>0</v>
      </c>
      <c r="U44" s="37">
        <v>0</v>
      </c>
      <c r="V44" s="1">
        <f t="shared" ref="V44:V53" si="6">SUM(N44:U44)</f>
        <v>6</v>
      </c>
    </row>
    <row r="45" spans="1:22" ht="17.399999999999999" customHeight="1" x14ac:dyDescent="0.5">
      <c r="A45" s="11">
        <v>3</v>
      </c>
      <c r="B45" s="20" t="s">
        <v>66</v>
      </c>
      <c r="C45" s="5" t="s">
        <v>67</v>
      </c>
      <c r="D45" s="21">
        <v>6</v>
      </c>
      <c r="E45" s="21" t="s">
        <v>17</v>
      </c>
      <c r="F45" s="4" t="s">
        <v>68</v>
      </c>
      <c r="G45" s="7">
        <v>100</v>
      </c>
      <c r="H45" s="37">
        <v>7</v>
      </c>
      <c r="I45" s="37">
        <v>7</v>
      </c>
      <c r="J45" s="37">
        <v>6</v>
      </c>
      <c r="K45" s="37">
        <v>1</v>
      </c>
      <c r="L45" s="52">
        <f t="shared" si="4"/>
        <v>85.714285714285708</v>
      </c>
      <c r="M45" s="52">
        <f t="shared" si="5"/>
        <v>14.285714285714285</v>
      </c>
      <c r="N45" s="37">
        <v>2</v>
      </c>
      <c r="O45" s="37">
        <v>1</v>
      </c>
      <c r="P45" s="37">
        <v>3</v>
      </c>
      <c r="Q45" s="37">
        <v>0</v>
      </c>
      <c r="R45" s="37">
        <v>0</v>
      </c>
      <c r="S45" s="37">
        <v>0</v>
      </c>
      <c r="T45" s="37">
        <v>0</v>
      </c>
      <c r="U45" s="37">
        <v>1</v>
      </c>
      <c r="V45" s="1">
        <f t="shared" si="6"/>
        <v>7</v>
      </c>
    </row>
    <row r="46" spans="1:22" ht="17.399999999999999" customHeight="1" x14ac:dyDescent="0.5">
      <c r="A46" s="11">
        <v>4</v>
      </c>
      <c r="B46" s="4" t="s">
        <v>83</v>
      </c>
      <c r="C46" s="20" t="s">
        <v>84</v>
      </c>
      <c r="D46" s="21">
        <v>6</v>
      </c>
      <c r="E46" s="21" t="s">
        <v>17</v>
      </c>
      <c r="F46" s="20" t="s">
        <v>85</v>
      </c>
      <c r="G46" s="7">
        <v>100</v>
      </c>
      <c r="H46" s="37">
        <v>7</v>
      </c>
      <c r="I46" s="37">
        <v>7</v>
      </c>
      <c r="J46" s="37">
        <v>7</v>
      </c>
      <c r="K46" s="37">
        <v>0</v>
      </c>
      <c r="L46" s="52">
        <f t="shared" si="4"/>
        <v>100</v>
      </c>
      <c r="M46" s="52">
        <f t="shared" si="5"/>
        <v>0</v>
      </c>
      <c r="N46" s="37">
        <v>0</v>
      </c>
      <c r="O46" s="37">
        <v>3</v>
      </c>
      <c r="P46" s="37">
        <v>1</v>
      </c>
      <c r="Q46" s="37">
        <v>2</v>
      </c>
      <c r="R46" s="37">
        <v>1</v>
      </c>
      <c r="S46" s="37">
        <v>0</v>
      </c>
      <c r="T46" s="37">
        <v>0</v>
      </c>
      <c r="U46" s="37">
        <v>0</v>
      </c>
      <c r="V46" s="1">
        <f t="shared" si="6"/>
        <v>7</v>
      </c>
    </row>
    <row r="47" spans="1:22" ht="17.399999999999999" customHeight="1" x14ac:dyDescent="0.5">
      <c r="A47" s="11">
        <v>5</v>
      </c>
      <c r="B47" s="4" t="s">
        <v>86</v>
      </c>
      <c r="C47" s="20" t="s">
        <v>87</v>
      </c>
      <c r="D47" s="21">
        <v>6</v>
      </c>
      <c r="E47" s="21" t="s">
        <v>17</v>
      </c>
      <c r="F47" s="20" t="s">
        <v>88</v>
      </c>
      <c r="G47" s="7">
        <v>100</v>
      </c>
      <c r="H47" s="37">
        <v>8</v>
      </c>
      <c r="I47" s="37">
        <v>7</v>
      </c>
      <c r="J47" s="37">
        <v>7</v>
      </c>
      <c r="K47" s="37">
        <v>0</v>
      </c>
      <c r="L47" s="52">
        <f t="shared" si="4"/>
        <v>100</v>
      </c>
      <c r="M47" s="52">
        <f t="shared" si="5"/>
        <v>0</v>
      </c>
      <c r="N47" s="37">
        <v>3</v>
      </c>
      <c r="O47" s="37">
        <v>4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1">
        <f t="shared" si="6"/>
        <v>7</v>
      </c>
    </row>
    <row r="48" spans="1:22" ht="17.399999999999999" customHeight="1" x14ac:dyDescent="0.5">
      <c r="A48" s="11">
        <v>6</v>
      </c>
      <c r="B48" s="4" t="s">
        <v>127</v>
      </c>
      <c r="C48" s="20" t="s">
        <v>128</v>
      </c>
      <c r="D48" s="21">
        <v>8</v>
      </c>
      <c r="E48" s="21" t="s">
        <v>17</v>
      </c>
      <c r="F48" s="20" t="s">
        <v>139</v>
      </c>
      <c r="G48" s="7">
        <v>100</v>
      </c>
      <c r="H48" s="37">
        <v>7</v>
      </c>
      <c r="I48" s="37">
        <v>7</v>
      </c>
      <c r="J48" s="37">
        <v>5</v>
      </c>
      <c r="K48" s="37">
        <v>2</v>
      </c>
      <c r="L48" s="52">
        <f t="shared" si="4"/>
        <v>71.428571428571431</v>
      </c>
      <c r="M48" s="52">
        <f t="shared" si="5"/>
        <v>28.571428571428569</v>
      </c>
      <c r="N48" s="37">
        <v>0</v>
      </c>
      <c r="O48" s="37">
        <v>0</v>
      </c>
      <c r="P48" s="37">
        <v>3</v>
      </c>
      <c r="Q48" s="37">
        <v>2</v>
      </c>
      <c r="R48" s="37">
        <v>0</v>
      </c>
      <c r="S48" s="37">
        <v>1</v>
      </c>
      <c r="T48" s="37">
        <v>0</v>
      </c>
      <c r="U48" s="37">
        <v>1</v>
      </c>
      <c r="V48" s="1">
        <f t="shared" si="6"/>
        <v>7</v>
      </c>
    </row>
    <row r="49" spans="1:22" ht="17.399999999999999" customHeight="1" x14ac:dyDescent="0.5">
      <c r="A49" s="11">
        <v>7</v>
      </c>
      <c r="B49" s="4" t="s">
        <v>105</v>
      </c>
      <c r="C49" s="20" t="s">
        <v>106</v>
      </c>
      <c r="D49" s="21">
        <v>6</v>
      </c>
      <c r="E49" s="21" t="s">
        <v>17</v>
      </c>
      <c r="F49" s="20" t="s">
        <v>85</v>
      </c>
      <c r="G49" s="7">
        <v>100</v>
      </c>
      <c r="H49" s="37">
        <v>3</v>
      </c>
      <c r="I49" s="37">
        <v>3</v>
      </c>
      <c r="J49" s="37">
        <v>3</v>
      </c>
      <c r="K49" s="37">
        <v>0</v>
      </c>
      <c r="L49" s="52">
        <f t="shared" si="4"/>
        <v>100</v>
      </c>
      <c r="M49" s="52">
        <f t="shared" si="5"/>
        <v>0</v>
      </c>
      <c r="N49" s="37">
        <v>1</v>
      </c>
      <c r="O49" s="37">
        <v>2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1">
        <f t="shared" si="6"/>
        <v>3</v>
      </c>
    </row>
    <row r="50" spans="1:22" ht="17.399999999999999" customHeight="1" x14ac:dyDescent="0.5">
      <c r="A50" s="11">
        <v>8</v>
      </c>
      <c r="B50" s="4" t="s">
        <v>107</v>
      </c>
      <c r="C50" s="20" t="s">
        <v>108</v>
      </c>
      <c r="D50" s="21">
        <v>6</v>
      </c>
      <c r="E50" s="21" t="s">
        <v>17</v>
      </c>
      <c r="F50" s="20" t="s">
        <v>65</v>
      </c>
      <c r="G50" s="7">
        <v>100</v>
      </c>
      <c r="H50" s="37">
        <v>3</v>
      </c>
      <c r="I50" s="37">
        <v>3</v>
      </c>
      <c r="J50" s="37">
        <v>3</v>
      </c>
      <c r="K50" s="37">
        <v>0</v>
      </c>
      <c r="L50" s="52">
        <f t="shared" si="4"/>
        <v>100</v>
      </c>
      <c r="M50" s="52">
        <f t="shared" si="5"/>
        <v>0</v>
      </c>
      <c r="N50" s="37">
        <v>0</v>
      </c>
      <c r="O50" s="37">
        <v>3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1">
        <f t="shared" si="6"/>
        <v>3</v>
      </c>
    </row>
    <row r="51" spans="1:22" ht="17.399999999999999" customHeight="1" x14ac:dyDescent="0.5">
      <c r="A51" s="11">
        <v>9</v>
      </c>
      <c r="B51" s="4" t="s">
        <v>109</v>
      </c>
      <c r="C51" s="20" t="s">
        <v>110</v>
      </c>
      <c r="D51" s="21">
        <v>6</v>
      </c>
      <c r="E51" s="21" t="s">
        <v>17</v>
      </c>
      <c r="F51" s="20" t="s">
        <v>88</v>
      </c>
      <c r="G51" s="7">
        <v>100</v>
      </c>
      <c r="H51" s="37">
        <v>3</v>
      </c>
      <c r="I51" s="37">
        <v>3</v>
      </c>
      <c r="J51" s="37">
        <v>3</v>
      </c>
      <c r="K51" s="37">
        <v>0</v>
      </c>
      <c r="L51" s="52">
        <f t="shared" si="4"/>
        <v>100</v>
      </c>
      <c r="M51" s="52">
        <f t="shared" si="5"/>
        <v>0</v>
      </c>
      <c r="N51" s="37">
        <v>1</v>
      </c>
      <c r="O51" s="37">
        <v>0</v>
      </c>
      <c r="P51" s="37">
        <v>1</v>
      </c>
      <c r="Q51" s="37">
        <v>1</v>
      </c>
      <c r="R51" s="37">
        <v>0</v>
      </c>
      <c r="S51" s="37">
        <v>0</v>
      </c>
      <c r="T51" s="37">
        <v>0</v>
      </c>
      <c r="U51" s="37">
        <v>0</v>
      </c>
      <c r="V51" s="1">
        <f t="shared" si="6"/>
        <v>3</v>
      </c>
    </row>
    <row r="52" spans="1:22" ht="17.399999999999999" customHeight="1" x14ac:dyDescent="0.5">
      <c r="A52" s="11">
        <v>10</v>
      </c>
      <c r="B52" s="20" t="s">
        <v>115</v>
      </c>
      <c r="C52" s="5" t="s">
        <v>116</v>
      </c>
      <c r="D52" s="21">
        <v>6</v>
      </c>
      <c r="E52" s="21" t="s">
        <v>17</v>
      </c>
      <c r="F52" s="4" t="s">
        <v>68</v>
      </c>
      <c r="G52" s="7">
        <v>100</v>
      </c>
      <c r="H52" s="37">
        <v>8</v>
      </c>
      <c r="I52" s="37">
        <v>7</v>
      </c>
      <c r="J52" s="37">
        <v>5</v>
      </c>
      <c r="K52" s="37">
        <v>2</v>
      </c>
      <c r="L52" s="52">
        <f t="shared" si="4"/>
        <v>71.428571428571431</v>
      </c>
      <c r="M52" s="52">
        <f t="shared" si="5"/>
        <v>28.571428571428569</v>
      </c>
      <c r="N52" s="37">
        <v>1</v>
      </c>
      <c r="O52" s="37">
        <v>2</v>
      </c>
      <c r="P52" s="37">
        <v>2</v>
      </c>
      <c r="Q52" s="37">
        <v>0</v>
      </c>
      <c r="R52" s="37">
        <v>0</v>
      </c>
      <c r="S52" s="37">
        <v>1</v>
      </c>
      <c r="T52" s="37">
        <v>0</v>
      </c>
      <c r="U52" s="37">
        <v>1</v>
      </c>
      <c r="V52" s="1">
        <f t="shared" si="6"/>
        <v>7</v>
      </c>
    </row>
    <row r="53" spans="1:22" ht="21.9" customHeight="1" x14ac:dyDescent="0.5">
      <c r="A53" s="7"/>
      <c r="B53" s="7"/>
      <c r="C53" s="67" t="s">
        <v>23</v>
      </c>
      <c r="D53" s="68"/>
      <c r="E53" s="68"/>
      <c r="F53" s="69"/>
      <c r="G53" s="7"/>
      <c r="H53" s="14">
        <f>SUM(H43:H52)</f>
        <v>59</v>
      </c>
      <c r="I53" s="14">
        <f>SUM(I43:I52)</f>
        <v>56</v>
      </c>
      <c r="J53" s="14">
        <f>SUM(J43:J52)</f>
        <v>49</v>
      </c>
      <c r="K53" s="14">
        <f>SUM(K43:K52)</f>
        <v>7</v>
      </c>
      <c r="L53" s="51">
        <f>J53/I53*100</f>
        <v>87.5</v>
      </c>
      <c r="M53" s="51">
        <f>K53/I53*100</f>
        <v>12.5</v>
      </c>
      <c r="N53" s="14">
        <f t="shared" ref="N53:U53" si="7">SUM(N43:N52)</f>
        <v>9</v>
      </c>
      <c r="O53" s="14">
        <f t="shared" si="7"/>
        <v>17</v>
      </c>
      <c r="P53" s="14">
        <f t="shared" si="7"/>
        <v>14</v>
      </c>
      <c r="Q53" s="14">
        <f t="shared" si="7"/>
        <v>7</v>
      </c>
      <c r="R53" s="14">
        <f t="shared" si="7"/>
        <v>2</v>
      </c>
      <c r="S53" s="14">
        <f t="shared" si="7"/>
        <v>4</v>
      </c>
      <c r="T53" s="14">
        <f t="shared" si="7"/>
        <v>0</v>
      </c>
      <c r="U53" s="14">
        <f t="shared" si="7"/>
        <v>3</v>
      </c>
      <c r="V53" s="1">
        <f t="shared" si="6"/>
        <v>56</v>
      </c>
    </row>
    <row r="54" spans="1:22" ht="33" customHeight="1" x14ac:dyDescent="0.5">
      <c r="B54" s="65" t="s">
        <v>28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</row>
    <row r="55" spans="1:22" ht="15" customHeight="1" x14ac:dyDescent="0.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2" ht="15.75" customHeight="1" x14ac:dyDescent="0.5">
      <c r="B56" s="16" t="s">
        <v>35</v>
      </c>
      <c r="C56" s="26"/>
      <c r="D56" s="77">
        <v>56</v>
      </c>
      <c r="E56" s="77"/>
      <c r="F56" s="8"/>
      <c r="G56" s="8"/>
      <c r="H56" s="8"/>
      <c r="I56" s="58" t="s">
        <v>37</v>
      </c>
      <c r="J56" s="58"/>
      <c r="K56" s="58"/>
      <c r="L56" s="58"/>
      <c r="M56" s="58"/>
      <c r="N56" s="77">
        <v>7</v>
      </c>
      <c r="O56" s="77"/>
    </row>
    <row r="57" spans="1:22" ht="15.75" customHeight="1" x14ac:dyDescent="0.5">
      <c r="B57" s="58"/>
      <c r="C57" s="58"/>
      <c r="D57" s="58"/>
      <c r="E57" s="58"/>
      <c r="F57" s="9"/>
      <c r="G57" s="9"/>
      <c r="H57" s="9"/>
      <c r="N57" s="58"/>
      <c r="O57" s="58"/>
    </row>
    <row r="58" spans="1:22" ht="15.75" customHeight="1" x14ac:dyDescent="0.5">
      <c r="B58" s="58" t="s">
        <v>36</v>
      </c>
      <c r="C58" s="58"/>
      <c r="D58" s="77">
        <v>49</v>
      </c>
      <c r="E58" s="77"/>
      <c r="F58" s="9"/>
      <c r="G58" s="9"/>
      <c r="H58" s="9"/>
      <c r="I58" s="58" t="s">
        <v>22</v>
      </c>
      <c r="J58" s="58"/>
      <c r="K58" s="58"/>
      <c r="L58" s="58"/>
      <c r="M58" s="58"/>
      <c r="N58" s="78">
        <v>0.875</v>
      </c>
      <c r="O58" s="78"/>
    </row>
    <row r="59" spans="1:22" ht="15.75" customHeight="1" x14ac:dyDescent="0.5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22" ht="15.75" customHeight="1" x14ac:dyDescent="0.5">
      <c r="A60" s="16" t="s">
        <v>124</v>
      </c>
      <c r="B60" s="1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22" ht="15.75" customHeight="1" x14ac:dyDescent="0.5">
      <c r="C61" s="55"/>
      <c r="D61" s="55"/>
      <c r="E61" s="55"/>
      <c r="F61" s="55"/>
    </row>
    <row r="62" spans="1:22" ht="15.75" customHeight="1" x14ac:dyDescent="0.5">
      <c r="A62" s="1" t="s">
        <v>156</v>
      </c>
      <c r="C62" s="24"/>
      <c r="D62" s="55" t="s">
        <v>157</v>
      </c>
      <c r="E62" s="55"/>
      <c r="F62" s="55"/>
      <c r="K62" s="55" t="s">
        <v>158</v>
      </c>
      <c r="L62" s="55"/>
      <c r="M62" s="55"/>
      <c r="P62" s="1" t="s">
        <v>159</v>
      </c>
    </row>
    <row r="64" spans="1:22" x14ac:dyDescent="0.5">
      <c r="C64" s="24" t="s">
        <v>167</v>
      </c>
      <c r="H64" s="1" t="s">
        <v>160</v>
      </c>
    </row>
    <row r="66" spans="1:22" ht="20.100000000000001" customHeight="1" x14ac:dyDescent="0.55000000000000004">
      <c r="C66" s="81" t="s">
        <v>24</v>
      </c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</row>
    <row r="68" spans="1:22" x14ac:dyDescent="0.5">
      <c r="A68" s="18" t="s">
        <v>43</v>
      </c>
      <c r="C68" s="18"/>
      <c r="D68" s="18"/>
      <c r="E68" s="18"/>
      <c r="F68" s="18"/>
      <c r="G68" s="16"/>
      <c r="H68" s="16"/>
      <c r="I68" s="16"/>
      <c r="J68" s="16"/>
      <c r="L68" s="16" t="s">
        <v>44</v>
      </c>
      <c r="N68" s="16"/>
      <c r="O68" s="16"/>
      <c r="P68" s="16"/>
    </row>
    <row r="69" spans="1:22" ht="15" x14ac:dyDescent="0.5">
      <c r="C69" s="18"/>
      <c r="D69" s="18"/>
      <c r="E69" s="18"/>
      <c r="F69" s="18"/>
      <c r="G69" s="17"/>
      <c r="H69" s="17"/>
      <c r="I69" s="17"/>
      <c r="J69" s="17"/>
      <c r="L69" s="18" t="s">
        <v>42</v>
      </c>
      <c r="N69" s="18"/>
      <c r="O69" s="18"/>
      <c r="P69" s="17"/>
      <c r="Q69" s="17"/>
    </row>
    <row r="70" spans="1:22" ht="15" x14ac:dyDescent="0.5">
      <c r="A70" s="16" t="s">
        <v>34</v>
      </c>
      <c r="G70" s="15"/>
      <c r="H70" s="15"/>
      <c r="I70" s="15"/>
      <c r="J70" s="15"/>
      <c r="L70" s="19" t="s">
        <v>144</v>
      </c>
      <c r="N70" s="15"/>
      <c r="O70" s="15"/>
      <c r="P70" s="15"/>
      <c r="Q70" s="15"/>
    </row>
    <row r="71" spans="1:22" ht="15" x14ac:dyDescent="0.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spans="1:22" ht="17.100000000000001" customHeight="1" x14ac:dyDescent="0.5">
      <c r="C72" s="64" t="s">
        <v>27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</row>
    <row r="73" spans="1:22" ht="24" customHeight="1" x14ac:dyDescent="0.5">
      <c r="A73" s="57" t="s">
        <v>0</v>
      </c>
      <c r="B73" s="57" t="s">
        <v>1</v>
      </c>
      <c r="C73" s="57" t="s">
        <v>2</v>
      </c>
      <c r="D73" s="57" t="s">
        <v>3</v>
      </c>
      <c r="E73" s="57" t="s">
        <v>4</v>
      </c>
      <c r="F73" s="57" t="s">
        <v>5</v>
      </c>
      <c r="G73" s="59" t="s">
        <v>29</v>
      </c>
      <c r="H73" s="61" t="s">
        <v>6</v>
      </c>
      <c r="I73" s="62"/>
      <c r="J73" s="62"/>
      <c r="K73" s="63"/>
      <c r="L73" s="75" t="s">
        <v>7</v>
      </c>
      <c r="M73" s="75" t="s">
        <v>8</v>
      </c>
      <c r="N73" s="61" t="s">
        <v>6</v>
      </c>
      <c r="O73" s="62"/>
      <c r="P73" s="62"/>
      <c r="Q73" s="62"/>
      <c r="R73" s="62"/>
      <c r="S73" s="62"/>
      <c r="T73" s="62"/>
      <c r="U73" s="63"/>
    </row>
    <row r="74" spans="1:22" ht="14.25" customHeight="1" x14ac:dyDescent="0.5">
      <c r="A74" s="57"/>
      <c r="B74" s="57"/>
      <c r="C74" s="57"/>
      <c r="D74" s="57"/>
      <c r="E74" s="57"/>
      <c r="F74" s="57"/>
      <c r="G74" s="60"/>
      <c r="H74" s="6" t="s">
        <v>9</v>
      </c>
      <c r="I74" s="6" t="s">
        <v>10</v>
      </c>
      <c r="J74" s="6" t="s">
        <v>11</v>
      </c>
      <c r="K74" s="6" t="s">
        <v>12</v>
      </c>
      <c r="L74" s="76"/>
      <c r="M74" s="76"/>
      <c r="N74" s="2" t="s">
        <v>13</v>
      </c>
      <c r="O74" s="2" t="s">
        <v>14</v>
      </c>
      <c r="P74" s="2" t="s">
        <v>15</v>
      </c>
      <c r="Q74" s="2" t="s">
        <v>16</v>
      </c>
      <c r="R74" s="2" t="s">
        <v>17</v>
      </c>
      <c r="S74" s="2" t="s">
        <v>18</v>
      </c>
      <c r="T74" s="2" t="s">
        <v>19</v>
      </c>
      <c r="U74" s="2" t="s">
        <v>20</v>
      </c>
    </row>
    <row r="75" spans="1:22" ht="14.25" customHeight="1" x14ac:dyDescent="0.5">
      <c r="A75" s="38">
        <v>1</v>
      </c>
      <c r="B75" s="20" t="s">
        <v>89</v>
      </c>
      <c r="C75" s="20" t="s">
        <v>90</v>
      </c>
      <c r="D75" s="23">
        <v>2</v>
      </c>
      <c r="E75" s="23" t="s">
        <v>17</v>
      </c>
      <c r="F75" s="23" t="s">
        <v>146</v>
      </c>
      <c r="G75" s="33">
        <v>100</v>
      </c>
      <c r="H75" s="3">
        <v>7</v>
      </c>
      <c r="I75" s="3">
        <v>7</v>
      </c>
      <c r="J75" s="3">
        <v>7</v>
      </c>
      <c r="K75" s="3">
        <v>0</v>
      </c>
      <c r="L75" s="54">
        <f t="shared" ref="L75:L82" si="8">J75/I75*100</f>
        <v>100</v>
      </c>
      <c r="M75" s="54">
        <f t="shared" ref="M75" si="9">K75/I75*100</f>
        <v>0</v>
      </c>
      <c r="N75" s="3">
        <v>1</v>
      </c>
      <c r="O75" s="3">
        <v>2</v>
      </c>
      <c r="P75" s="3">
        <v>3</v>
      </c>
      <c r="Q75" s="3">
        <v>1</v>
      </c>
      <c r="R75" s="3">
        <v>0</v>
      </c>
      <c r="S75" s="3">
        <v>0</v>
      </c>
      <c r="T75" s="3">
        <v>0</v>
      </c>
      <c r="U75" s="3">
        <v>0</v>
      </c>
      <c r="V75" s="1">
        <f>SUM(N75:U75)</f>
        <v>7</v>
      </c>
    </row>
    <row r="76" spans="1:22" s="34" customFormat="1" ht="20.100000000000001" customHeight="1" x14ac:dyDescent="0.5">
      <c r="A76" s="13">
        <v>2</v>
      </c>
      <c r="B76" s="20" t="s">
        <v>69</v>
      </c>
      <c r="C76" s="20" t="s">
        <v>114</v>
      </c>
      <c r="D76" s="23">
        <v>6</v>
      </c>
      <c r="E76" s="23" t="s">
        <v>17</v>
      </c>
      <c r="F76" s="23" t="s">
        <v>93</v>
      </c>
      <c r="G76" s="33">
        <v>100</v>
      </c>
      <c r="H76" s="5">
        <v>43</v>
      </c>
      <c r="I76" s="5">
        <v>43</v>
      </c>
      <c r="J76" s="5">
        <v>24</v>
      </c>
      <c r="K76" s="5">
        <v>19</v>
      </c>
      <c r="L76" s="54">
        <f t="shared" si="8"/>
        <v>55.813953488372093</v>
      </c>
      <c r="M76" s="54">
        <f>K76/I76*100</f>
        <v>44.186046511627907</v>
      </c>
      <c r="N76" s="3">
        <v>1</v>
      </c>
      <c r="O76" s="3">
        <v>9</v>
      </c>
      <c r="P76" s="3">
        <v>4</v>
      </c>
      <c r="Q76" s="3">
        <v>4</v>
      </c>
      <c r="R76" s="3">
        <v>6</v>
      </c>
      <c r="S76" s="3">
        <v>6</v>
      </c>
      <c r="T76" s="3">
        <v>4</v>
      </c>
      <c r="U76" s="3">
        <v>9</v>
      </c>
      <c r="V76" s="1">
        <f>SUM(N76:U76)</f>
        <v>43</v>
      </c>
    </row>
    <row r="77" spans="1:22" s="34" customFormat="1" ht="20.100000000000001" customHeight="1" x14ac:dyDescent="0.5">
      <c r="A77" s="38">
        <v>3</v>
      </c>
      <c r="B77" s="20" t="s">
        <v>70</v>
      </c>
      <c r="C77" s="20" t="s">
        <v>71</v>
      </c>
      <c r="D77" s="23">
        <v>4</v>
      </c>
      <c r="E77" s="23" t="s">
        <v>17</v>
      </c>
      <c r="F77" s="23" t="s">
        <v>146</v>
      </c>
      <c r="G77" s="33">
        <v>100</v>
      </c>
      <c r="H77" s="3">
        <v>4</v>
      </c>
      <c r="I77" s="3">
        <v>4</v>
      </c>
      <c r="J77" s="3">
        <v>4</v>
      </c>
      <c r="K77" s="3">
        <v>0</v>
      </c>
      <c r="L77" s="54">
        <f t="shared" si="8"/>
        <v>100</v>
      </c>
      <c r="M77" s="54">
        <f t="shared" ref="M77:M82" si="10">K77/I77*100</f>
        <v>0</v>
      </c>
      <c r="N77" s="3">
        <v>2</v>
      </c>
      <c r="O77" s="3">
        <v>0</v>
      </c>
      <c r="P77" s="3">
        <v>1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1">
        <f t="shared" ref="V77:V83" si="11">SUM(N77:U77)</f>
        <v>4</v>
      </c>
    </row>
    <row r="78" spans="1:22" ht="26.25" customHeight="1" x14ac:dyDescent="0.5">
      <c r="A78" s="13">
        <v>4</v>
      </c>
      <c r="B78" s="20" t="s">
        <v>121</v>
      </c>
      <c r="C78" s="20" t="s">
        <v>120</v>
      </c>
      <c r="D78" s="23">
        <v>2</v>
      </c>
      <c r="E78" s="23" t="s">
        <v>17</v>
      </c>
      <c r="F78" s="23" t="s">
        <v>93</v>
      </c>
      <c r="G78" s="33">
        <v>100</v>
      </c>
      <c r="H78" s="3">
        <v>33</v>
      </c>
      <c r="I78" s="3">
        <v>31</v>
      </c>
      <c r="J78" s="3">
        <v>24</v>
      </c>
      <c r="K78" s="3">
        <v>7</v>
      </c>
      <c r="L78" s="54">
        <f t="shared" si="8"/>
        <v>77.41935483870968</v>
      </c>
      <c r="M78" s="54">
        <f t="shared" si="10"/>
        <v>22.58064516129032</v>
      </c>
      <c r="N78" s="3">
        <v>4</v>
      </c>
      <c r="O78" s="3">
        <v>8</v>
      </c>
      <c r="P78" s="3">
        <v>4</v>
      </c>
      <c r="Q78" s="3">
        <v>4</v>
      </c>
      <c r="R78" s="3">
        <v>4</v>
      </c>
      <c r="S78" s="3">
        <v>1</v>
      </c>
      <c r="T78" s="3">
        <v>2</v>
      </c>
      <c r="U78" s="3">
        <v>4</v>
      </c>
      <c r="V78" s="1">
        <f t="shared" si="11"/>
        <v>31</v>
      </c>
    </row>
    <row r="79" spans="1:22" ht="27.75" customHeight="1" x14ac:dyDescent="0.5">
      <c r="A79" s="13">
        <v>5</v>
      </c>
      <c r="B79" s="20" t="s">
        <v>136</v>
      </c>
      <c r="C79" s="20" t="s">
        <v>137</v>
      </c>
      <c r="D79" s="23">
        <v>6</v>
      </c>
      <c r="E79" s="23" t="s">
        <v>17</v>
      </c>
      <c r="F79" s="23" t="s">
        <v>138</v>
      </c>
      <c r="G79" s="33">
        <v>85</v>
      </c>
      <c r="H79" s="3">
        <v>1</v>
      </c>
      <c r="I79" s="3">
        <v>1</v>
      </c>
      <c r="J79" s="3">
        <v>1</v>
      </c>
      <c r="K79" s="3">
        <v>0</v>
      </c>
      <c r="L79" s="54">
        <f t="shared" si="8"/>
        <v>100</v>
      </c>
      <c r="M79" s="54">
        <f t="shared" si="10"/>
        <v>0</v>
      </c>
      <c r="N79" s="3">
        <v>0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1">
        <f t="shared" si="11"/>
        <v>1</v>
      </c>
    </row>
    <row r="80" spans="1:22" ht="27.75" customHeight="1" x14ac:dyDescent="0.5">
      <c r="A80" s="38">
        <v>6</v>
      </c>
      <c r="B80" s="20" t="s">
        <v>91</v>
      </c>
      <c r="C80" s="20" t="s">
        <v>92</v>
      </c>
      <c r="D80" s="23">
        <v>6</v>
      </c>
      <c r="E80" s="23" t="s">
        <v>17</v>
      </c>
      <c r="F80" s="23" t="s">
        <v>93</v>
      </c>
      <c r="G80" s="33">
        <v>100</v>
      </c>
      <c r="H80" s="3">
        <v>3</v>
      </c>
      <c r="I80" s="3">
        <v>2</v>
      </c>
      <c r="J80" s="3">
        <v>2</v>
      </c>
      <c r="K80" s="3">
        <v>0</v>
      </c>
      <c r="L80" s="54">
        <f t="shared" si="8"/>
        <v>100</v>
      </c>
      <c r="M80" s="54">
        <f t="shared" si="10"/>
        <v>0</v>
      </c>
      <c r="N80" s="3">
        <v>1</v>
      </c>
      <c r="O80" s="3">
        <v>0</v>
      </c>
      <c r="P80" s="3">
        <v>0</v>
      </c>
      <c r="Q80" s="3">
        <v>1</v>
      </c>
      <c r="R80" s="3">
        <v>0</v>
      </c>
      <c r="S80" s="3">
        <v>0</v>
      </c>
      <c r="T80" s="3">
        <v>0</v>
      </c>
      <c r="U80" s="3">
        <v>0</v>
      </c>
      <c r="V80" s="1">
        <f t="shared" si="11"/>
        <v>2</v>
      </c>
    </row>
    <row r="81" spans="1:22" ht="27.75" customHeight="1" x14ac:dyDescent="0.5">
      <c r="A81" s="13">
        <v>7</v>
      </c>
      <c r="B81" s="20" t="s">
        <v>147</v>
      </c>
      <c r="C81" s="20" t="s">
        <v>148</v>
      </c>
      <c r="D81" s="23">
        <v>6</v>
      </c>
      <c r="E81" s="23" t="s">
        <v>17</v>
      </c>
      <c r="F81" s="23" t="s">
        <v>138</v>
      </c>
      <c r="G81" s="33">
        <v>85</v>
      </c>
      <c r="H81" s="3">
        <v>2</v>
      </c>
      <c r="I81" s="3">
        <v>2</v>
      </c>
      <c r="J81" s="3">
        <v>2</v>
      </c>
      <c r="K81" s="3">
        <v>0</v>
      </c>
      <c r="L81" s="54">
        <f t="shared" si="8"/>
        <v>100</v>
      </c>
      <c r="M81" s="54">
        <f t="shared" si="10"/>
        <v>0</v>
      </c>
      <c r="N81" s="3">
        <v>1</v>
      </c>
      <c r="O81" s="3">
        <v>0</v>
      </c>
      <c r="P81" s="3">
        <v>0</v>
      </c>
      <c r="Q81" s="3">
        <v>1</v>
      </c>
      <c r="R81" s="3">
        <v>0</v>
      </c>
      <c r="S81" s="3">
        <v>0</v>
      </c>
      <c r="T81" s="3">
        <v>0</v>
      </c>
      <c r="U81" s="3">
        <v>0</v>
      </c>
      <c r="V81" s="1">
        <f t="shared" si="11"/>
        <v>2</v>
      </c>
    </row>
    <row r="82" spans="1:22" ht="20.100000000000001" customHeight="1" x14ac:dyDescent="0.5">
      <c r="A82" s="38">
        <v>8</v>
      </c>
      <c r="B82" s="20" t="s">
        <v>149</v>
      </c>
      <c r="C82" s="20" t="s">
        <v>150</v>
      </c>
      <c r="D82" s="23">
        <v>6</v>
      </c>
      <c r="E82" s="23" t="s">
        <v>17</v>
      </c>
      <c r="F82" s="23" t="s">
        <v>146</v>
      </c>
      <c r="G82" s="33">
        <v>100</v>
      </c>
      <c r="H82" s="3">
        <v>2</v>
      </c>
      <c r="I82" s="3">
        <v>2</v>
      </c>
      <c r="J82" s="3">
        <v>2</v>
      </c>
      <c r="K82" s="3">
        <v>0</v>
      </c>
      <c r="L82" s="54">
        <f t="shared" si="8"/>
        <v>100</v>
      </c>
      <c r="M82" s="54">
        <f t="shared" si="10"/>
        <v>0</v>
      </c>
      <c r="N82" s="3">
        <v>0</v>
      </c>
      <c r="O82" s="3">
        <v>1</v>
      </c>
      <c r="P82" s="3">
        <v>1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1">
        <f t="shared" si="11"/>
        <v>2</v>
      </c>
    </row>
    <row r="83" spans="1:22" ht="24" customHeight="1" x14ac:dyDescent="0.5">
      <c r="A83" s="7"/>
      <c r="B83" s="7"/>
      <c r="C83" s="70" t="s">
        <v>21</v>
      </c>
      <c r="D83" s="71"/>
      <c r="E83" s="71"/>
      <c r="F83" s="72"/>
      <c r="G83" s="7"/>
      <c r="H83" s="14">
        <f>SUM(H75:H82)</f>
        <v>95</v>
      </c>
      <c r="I83" s="14">
        <f>SUM(I75:I82)</f>
        <v>92</v>
      </c>
      <c r="J83" s="14">
        <f>SUM(J75:J82)</f>
        <v>66</v>
      </c>
      <c r="K83" s="14">
        <f>SUM(K75:K82)</f>
        <v>26</v>
      </c>
      <c r="L83" s="51">
        <f>J83/I83*100</f>
        <v>71.739130434782609</v>
      </c>
      <c r="M83" s="51">
        <f>K83/I83*100</f>
        <v>28.260869565217391</v>
      </c>
      <c r="N83" s="14">
        <f t="shared" ref="N83:U83" si="12">SUM(N75:N82)</f>
        <v>10</v>
      </c>
      <c r="O83" s="14">
        <f t="shared" si="12"/>
        <v>21</v>
      </c>
      <c r="P83" s="14">
        <f t="shared" si="12"/>
        <v>13</v>
      </c>
      <c r="Q83" s="14">
        <f t="shared" si="12"/>
        <v>12</v>
      </c>
      <c r="R83" s="14">
        <f t="shared" si="12"/>
        <v>10</v>
      </c>
      <c r="S83" s="14">
        <f t="shared" si="12"/>
        <v>7</v>
      </c>
      <c r="T83" s="14">
        <f t="shared" si="12"/>
        <v>6</v>
      </c>
      <c r="U83" s="14">
        <f t="shared" si="12"/>
        <v>13</v>
      </c>
      <c r="V83" s="1">
        <f t="shared" si="11"/>
        <v>92</v>
      </c>
    </row>
    <row r="84" spans="1:22" ht="33" customHeight="1" x14ac:dyDescent="0.5">
      <c r="B84" s="65" t="s">
        <v>28</v>
      </c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</row>
    <row r="85" spans="1:22" ht="15" customHeight="1" x14ac:dyDescent="0.5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2" ht="15.75" customHeight="1" x14ac:dyDescent="0.5">
      <c r="B86" s="16" t="s">
        <v>35</v>
      </c>
      <c r="C86" s="26"/>
      <c r="D86" s="77">
        <v>92</v>
      </c>
      <c r="E86" s="77"/>
      <c r="F86" s="8"/>
      <c r="G86" s="8"/>
      <c r="H86" s="8"/>
      <c r="I86" s="58" t="s">
        <v>37</v>
      </c>
      <c r="J86" s="58"/>
      <c r="K86" s="58"/>
      <c r="L86" s="58"/>
      <c r="M86" s="58"/>
      <c r="N86" s="77">
        <v>26</v>
      </c>
      <c r="O86" s="77"/>
    </row>
    <row r="87" spans="1:22" ht="15.75" customHeight="1" x14ac:dyDescent="0.5">
      <c r="B87" s="58"/>
      <c r="C87" s="58"/>
      <c r="D87" s="58"/>
      <c r="E87" s="58"/>
      <c r="F87" s="9"/>
      <c r="G87" s="9"/>
      <c r="H87" s="9"/>
      <c r="N87" s="58"/>
      <c r="O87" s="58"/>
    </row>
    <row r="88" spans="1:22" ht="15.75" customHeight="1" x14ac:dyDescent="0.5">
      <c r="B88" s="58" t="s">
        <v>36</v>
      </c>
      <c r="C88" s="58"/>
      <c r="D88" s="77">
        <v>66</v>
      </c>
      <c r="E88" s="77"/>
      <c r="F88" s="9"/>
      <c r="G88" s="9"/>
      <c r="H88" s="9"/>
      <c r="I88" s="58" t="s">
        <v>22</v>
      </c>
      <c r="J88" s="58"/>
      <c r="K88" s="58"/>
      <c r="L88" s="58"/>
      <c r="M88" s="58"/>
      <c r="N88" s="78">
        <v>0.71740000000000004</v>
      </c>
      <c r="O88" s="78"/>
    </row>
    <row r="89" spans="1:22" ht="15.75" customHeight="1" x14ac:dyDescent="0.5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22" ht="15.75" customHeight="1" x14ac:dyDescent="0.5">
      <c r="A90" s="16" t="s">
        <v>124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22" ht="15.75" customHeight="1" x14ac:dyDescent="0.5">
      <c r="A91" s="16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22" ht="15.75" customHeight="1" x14ac:dyDescent="0.5">
      <c r="A92" s="16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22" ht="15.75" customHeight="1" x14ac:dyDescent="0.5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22" ht="15.75" customHeight="1" x14ac:dyDescent="0.5">
      <c r="C94" s="24" t="s">
        <v>153</v>
      </c>
      <c r="D94" s="24"/>
      <c r="E94" s="55" t="s">
        <v>154</v>
      </c>
      <c r="F94" s="55"/>
      <c r="K94" s="1" t="s">
        <v>155</v>
      </c>
      <c r="L94" s="24"/>
      <c r="M94" s="24"/>
      <c r="N94" s="24"/>
    </row>
    <row r="95" spans="1:22" ht="15.75" customHeight="1" x14ac:dyDescent="0.5">
      <c r="A95" s="24"/>
      <c r="B95" s="24"/>
      <c r="D95" s="24"/>
      <c r="E95" s="24"/>
      <c r="F95" s="24"/>
      <c r="K95" s="24"/>
      <c r="L95" s="24"/>
      <c r="M95" s="24"/>
      <c r="N95" s="24"/>
    </row>
    <row r="96" spans="1:22" ht="15.75" customHeight="1" x14ac:dyDescent="0.5">
      <c r="A96" s="24"/>
      <c r="B96" s="24"/>
      <c r="D96" s="24"/>
      <c r="E96" s="24"/>
      <c r="F96" s="24"/>
      <c r="K96" s="24"/>
      <c r="L96" s="24"/>
      <c r="M96" s="24"/>
      <c r="N96" s="24"/>
    </row>
    <row r="97" spans="1:22" ht="15.75" customHeight="1" x14ac:dyDescent="0.5">
      <c r="C97" s="24"/>
      <c r="D97" s="24"/>
      <c r="E97" s="24"/>
      <c r="F97" s="24"/>
    </row>
    <row r="98" spans="1:22" ht="20.100000000000001" customHeight="1" x14ac:dyDescent="0.55000000000000004">
      <c r="C98" s="81" t="s">
        <v>24</v>
      </c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</row>
    <row r="100" spans="1:22" x14ac:dyDescent="0.5">
      <c r="A100" s="18" t="s">
        <v>45</v>
      </c>
      <c r="C100" s="18"/>
      <c r="D100" s="18"/>
      <c r="E100" s="18"/>
      <c r="F100" s="18"/>
      <c r="G100" s="16"/>
      <c r="H100" s="16"/>
      <c r="I100" s="16"/>
      <c r="J100" s="16"/>
      <c r="L100" s="32" t="s">
        <v>46</v>
      </c>
      <c r="N100" s="16"/>
      <c r="O100" s="16"/>
      <c r="P100" s="16"/>
    </row>
    <row r="101" spans="1:22" ht="15" x14ac:dyDescent="0.5">
      <c r="C101" s="18"/>
      <c r="D101" s="18"/>
      <c r="E101" s="18"/>
      <c r="F101" s="18"/>
      <c r="G101" s="17"/>
      <c r="H101" s="17"/>
      <c r="I101" s="17"/>
      <c r="J101" s="17"/>
      <c r="L101" s="18" t="s">
        <v>42</v>
      </c>
      <c r="N101" s="18"/>
      <c r="O101" s="18"/>
      <c r="P101" s="17"/>
      <c r="Q101" s="17"/>
    </row>
    <row r="102" spans="1:22" ht="15" x14ac:dyDescent="0.5">
      <c r="A102" s="16" t="s">
        <v>34</v>
      </c>
      <c r="G102" s="15"/>
      <c r="H102" s="15"/>
      <c r="I102" s="15"/>
      <c r="J102" s="15"/>
      <c r="L102" s="19" t="s">
        <v>144</v>
      </c>
      <c r="N102" s="15"/>
      <c r="O102" s="15"/>
      <c r="P102" s="15"/>
      <c r="Q102" s="15"/>
    </row>
    <row r="103" spans="1:22" ht="15" x14ac:dyDescent="0.5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</row>
    <row r="104" spans="1:22" ht="17.100000000000001" customHeight="1" x14ac:dyDescent="0.5">
      <c r="C104" s="64" t="s">
        <v>27</v>
      </c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</row>
    <row r="105" spans="1:22" ht="24" customHeight="1" x14ac:dyDescent="0.5">
      <c r="A105" s="57" t="s">
        <v>0</v>
      </c>
      <c r="B105" s="57" t="s">
        <v>1</v>
      </c>
      <c r="C105" s="57" t="s">
        <v>2</v>
      </c>
      <c r="D105" s="57" t="s">
        <v>3</v>
      </c>
      <c r="E105" s="57" t="s">
        <v>4</v>
      </c>
      <c r="F105" s="57" t="s">
        <v>5</v>
      </c>
      <c r="G105" s="59" t="s">
        <v>29</v>
      </c>
      <c r="H105" s="61" t="s">
        <v>6</v>
      </c>
      <c r="I105" s="62"/>
      <c r="J105" s="62"/>
      <c r="K105" s="63"/>
      <c r="L105" s="6" t="s">
        <v>7</v>
      </c>
      <c r="M105" s="6" t="s">
        <v>8</v>
      </c>
      <c r="N105" s="61" t="s">
        <v>6</v>
      </c>
      <c r="O105" s="62"/>
      <c r="P105" s="62"/>
      <c r="Q105" s="62"/>
      <c r="R105" s="62"/>
      <c r="S105" s="62"/>
      <c r="T105" s="62"/>
      <c r="U105" s="63"/>
    </row>
    <row r="106" spans="1:22" ht="24" customHeight="1" x14ac:dyDescent="0.5">
      <c r="A106" s="57"/>
      <c r="B106" s="57"/>
      <c r="C106" s="57"/>
      <c r="D106" s="57"/>
      <c r="E106" s="57"/>
      <c r="F106" s="57"/>
      <c r="G106" s="82"/>
      <c r="H106" s="6" t="s">
        <v>9</v>
      </c>
      <c r="I106" s="6" t="s">
        <v>10</v>
      </c>
      <c r="J106" s="6" t="s">
        <v>11</v>
      </c>
      <c r="K106" s="6" t="s">
        <v>12</v>
      </c>
      <c r="L106" s="6"/>
      <c r="M106" s="6"/>
      <c r="N106" s="2" t="s">
        <v>13</v>
      </c>
      <c r="O106" s="2" t="s">
        <v>14</v>
      </c>
      <c r="P106" s="2" t="s">
        <v>15</v>
      </c>
      <c r="Q106" s="2" t="s">
        <v>16</v>
      </c>
      <c r="R106" s="2" t="s">
        <v>17</v>
      </c>
      <c r="S106" s="2" t="s">
        <v>18</v>
      </c>
      <c r="T106" s="2" t="s">
        <v>19</v>
      </c>
      <c r="U106" s="2" t="s">
        <v>20</v>
      </c>
    </row>
    <row r="107" spans="1:22" s="34" customFormat="1" ht="20.100000000000001" customHeight="1" x14ac:dyDescent="0.5">
      <c r="A107" s="11">
        <v>1</v>
      </c>
      <c r="B107" s="20" t="s">
        <v>72</v>
      </c>
      <c r="C107" s="5" t="s">
        <v>73</v>
      </c>
      <c r="D107" s="21">
        <v>6</v>
      </c>
      <c r="E107" s="21" t="s">
        <v>17</v>
      </c>
      <c r="F107" s="4" t="s">
        <v>111</v>
      </c>
      <c r="G107" s="33">
        <v>100</v>
      </c>
      <c r="H107" s="3">
        <v>4</v>
      </c>
      <c r="I107" s="3">
        <v>3</v>
      </c>
      <c r="J107" s="3">
        <v>1</v>
      </c>
      <c r="K107" s="3">
        <v>2</v>
      </c>
      <c r="L107" s="54">
        <f>J107/I107*100</f>
        <v>33.333333333333329</v>
      </c>
      <c r="M107" s="54">
        <f>K107/I107*100</f>
        <v>66.666666666666657</v>
      </c>
      <c r="N107" s="3">
        <v>0</v>
      </c>
      <c r="O107" s="3">
        <v>0</v>
      </c>
      <c r="P107" s="3">
        <v>1</v>
      </c>
      <c r="Q107" s="3">
        <v>0</v>
      </c>
      <c r="R107" s="3">
        <v>0</v>
      </c>
      <c r="S107" s="3">
        <v>0</v>
      </c>
      <c r="T107" s="3">
        <v>2</v>
      </c>
      <c r="U107" s="3">
        <v>0</v>
      </c>
      <c r="V107" s="1">
        <f>SUM(N107:U107)</f>
        <v>3</v>
      </c>
    </row>
    <row r="108" spans="1:22" ht="20.100000000000001" customHeight="1" x14ac:dyDescent="0.5">
      <c r="A108" s="11">
        <v>2</v>
      </c>
      <c r="B108" s="20" t="s">
        <v>74</v>
      </c>
      <c r="C108" s="5" t="s">
        <v>75</v>
      </c>
      <c r="D108" s="21">
        <v>6</v>
      </c>
      <c r="E108" s="21" t="s">
        <v>17</v>
      </c>
      <c r="F108" s="4" t="s">
        <v>169</v>
      </c>
      <c r="G108" s="7">
        <v>100</v>
      </c>
      <c r="H108" s="3">
        <v>4</v>
      </c>
      <c r="I108" s="3">
        <v>4</v>
      </c>
      <c r="J108" s="3">
        <v>3</v>
      </c>
      <c r="K108" s="3">
        <v>1</v>
      </c>
      <c r="L108" s="54">
        <f t="shared" ref="L108:L113" si="13">J108/I108*100</f>
        <v>75</v>
      </c>
      <c r="M108" s="54">
        <f t="shared" ref="M108:M113" si="14">K108/I108*100</f>
        <v>25</v>
      </c>
      <c r="N108" s="3">
        <v>0</v>
      </c>
      <c r="O108" s="3">
        <v>1</v>
      </c>
      <c r="P108" s="3">
        <v>1</v>
      </c>
      <c r="Q108" s="3">
        <v>0</v>
      </c>
      <c r="R108" s="3">
        <v>1</v>
      </c>
      <c r="S108" s="3">
        <v>0</v>
      </c>
      <c r="T108" s="3">
        <v>1</v>
      </c>
      <c r="U108" s="3">
        <v>0</v>
      </c>
      <c r="V108" s="1">
        <f t="shared" ref="V108:V115" si="15">SUM(N108:U108)</f>
        <v>4</v>
      </c>
    </row>
    <row r="109" spans="1:22" ht="20.100000000000001" customHeight="1" x14ac:dyDescent="0.5">
      <c r="A109" s="11">
        <v>3</v>
      </c>
      <c r="B109" s="20" t="s">
        <v>76</v>
      </c>
      <c r="C109" s="5" t="s">
        <v>77</v>
      </c>
      <c r="D109" s="21">
        <v>4</v>
      </c>
      <c r="E109" s="21" t="s">
        <v>17</v>
      </c>
      <c r="F109" s="4" t="s">
        <v>170</v>
      </c>
      <c r="G109" s="7">
        <v>100</v>
      </c>
      <c r="H109" s="3">
        <v>8</v>
      </c>
      <c r="I109" s="3">
        <v>7</v>
      </c>
      <c r="J109" s="3">
        <v>3</v>
      </c>
      <c r="K109" s="3">
        <v>4</v>
      </c>
      <c r="L109" s="54">
        <f t="shared" si="13"/>
        <v>42.857142857142854</v>
      </c>
      <c r="M109" s="54">
        <f t="shared" si="14"/>
        <v>57.142857142857139</v>
      </c>
      <c r="N109" s="3">
        <v>1</v>
      </c>
      <c r="O109" s="3">
        <v>1</v>
      </c>
      <c r="P109" s="3">
        <v>0</v>
      </c>
      <c r="Q109" s="3">
        <v>1</v>
      </c>
      <c r="R109" s="3">
        <v>0</v>
      </c>
      <c r="S109" s="3">
        <v>0</v>
      </c>
      <c r="T109" s="3">
        <v>1</v>
      </c>
      <c r="U109" s="3">
        <v>3</v>
      </c>
      <c r="V109" s="1">
        <f t="shared" si="15"/>
        <v>7</v>
      </c>
    </row>
    <row r="110" spans="1:22" ht="20.100000000000001" customHeight="1" x14ac:dyDescent="0.5">
      <c r="A110" s="11">
        <v>4</v>
      </c>
      <c r="B110" s="20" t="s">
        <v>140</v>
      </c>
      <c r="C110" s="5" t="s">
        <v>141</v>
      </c>
      <c r="D110" s="21">
        <v>3</v>
      </c>
      <c r="E110" s="21" t="s">
        <v>17</v>
      </c>
      <c r="F110" s="4" t="s">
        <v>170</v>
      </c>
      <c r="G110" s="7">
        <v>100</v>
      </c>
      <c r="H110" s="3">
        <v>34</v>
      </c>
      <c r="I110" s="3">
        <v>31</v>
      </c>
      <c r="J110" s="3">
        <v>28</v>
      </c>
      <c r="K110" s="3">
        <v>3</v>
      </c>
      <c r="L110" s="54">
        <f t="shared" si="13"/>
        <v>90.322580645161281</v>
      </c>
      <c r="M110" s="54">
        <f t="shared" si="14"/>
        <v>9.67741935483871</v>
      </c>
      <c r="N110" s="3">
        <v>10</v>
      </c>
      <c r="O110" s="3">
        <v>5</v>
      </c>
      <c r="P110" s="3">
        <v>9</v>
      </c>
      <c r="Q110" s="3">
        <v>3</v>
      </c>
      <c r="R110" s="3">
        <v>1</v>
      </c>
      <c r="S110" s="3">
        <v>1</v>
      </c>
      <c r="T110" s="3">
        <v>1</v>
      </c>
      <c r="U110" s="3">
        <v>1</v>
      </c>
      <c r="V110" s="1">
        <f t="shared" si="15"/>
        <v>31</v>
      </c>
    </row>
    <row r="111" spans="1:22" ht="20.100000000000001" customHeight="1" x14ac:dyDescent="0.5">
      <c r="A111" s="11">
        <v>5</v>
      </c>
      <c r="B111" s="20" t="s">
        <v>151</v>
      </c>
      <c r="C111" s="5" t="s">
        <v>152</v>
      </c>
      <c r="D111" s="21">
        <v>6</v>
      </c>
      <c r="E111" s="21" t="s">
        <v>17</v>
      </c>
      <c r="F111" s="4" t="s">
        <v>111</v>
      </c>
      <c r="G111" s="7">
        <v>100</v>
      </c>
      <c r="H111" s="3">
        <v>3</v>
      </c>
      <c r="I111" s="3">
        <v>3</v>
      </c>
      <c r="J111" s="3">
        <v>3</v>
      </c>
      <c r="K111" s="3">
        <v>0</v>
      </c>
      <c r="L111" s="54">
        <f t="shared" si="13"/>
        <v>100</v>
      </c>
      <c r="M111" s="54">
        <f t="shared" si="14"/>
        <v>0</v>
      </c>
      <c r="N111" s="3">
        <v>0</v>
      </c>
      <c r="O111" s="3">
        <v>1</v>
      </c>
      <c r="P111" s="3">
        <v>1</v>
      </c>
      <c r="Q111" s="3">
        <v>1</v>
      </c>
      <c r="R111" s="3">
        <v>0</v>
      </c>
      <c r="S111" s="3">
        <v>0</v>
      </c>
      <c r="T111" s="3">
        <v>0</v>
      </c>
      <c r="U111" s="3">
        <v>0</v>
      </c>
      <c r="V111" s="1">
        <f t="shared" si="15"/>
        <v>3</v>
      </c>
    </row>
    <row r="112" spans="1:22" ht="20.100000000000001" customHeight="1" x14ac:dyDescent="0.5">
      <c r="A112" s="11">
        <v>6</v>
      </c>
      <c r="B112" s="20" t="s">
        <v>94</v>
      </c>
      <c r="C112" s="5" t="s">
        <v>95</v>
      </c>
      <c r="D112" s="21">
        <v>6</v>
      </c>
      <c r="E112" s="21" t="s">
        <v>17</v>
      </c>
      <c r="F112" s="4" t="s">
        <v>169</v>
      </c>
      <c r="G112" s="7">
        <v>100</v>
      </c>
      <c r="H112" s="3">
        <v>4</v>
      </c>
      <c r="I112" s="3">
        <v>2</v>
      </c>
      <c r="J112" s="3">
        <v>2</v>
      </c>
      <c r="K112" s="3">
        <v>0</v>
      </c>
      <c r="L112" s="54">
        <f t="shared" si="13"/>
        <v>100</v>
      </c>
      <c r="M112" s="54">
        <f t="shared" si="14"/>
        <v>0</v>
      </c>
      <c r="N112" s="3">
        <v>1</v>
      </c>
      <c r="O112" s="3">
        <v>0</v>
      </c>
      <c r="P112" s="3">
        <v>1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1">
        <f t="shared" si="15"/>
        <v>2</v>
      </c>
    </row>
    <row r="113" spans="1:22" ht="20.100000000000001" customHeight="1" x14ac:dyDescent="0.5">
      <c r="A113" s="11">
        <v>7</v>
      </c>
      <c r="B113" s="20" t="s">
        <v>96</v>
      </c>
      <c r="C113" s="5" t="s">
        <v>97</v>
      </c>
      <c r="D113" s="21">
        <v>6</v>
      </c>
      <c r="E113" s="21" t="s">
        <v>17</v>
      </c>
      <c r="F113" s="4" t="s">
        <v>170</v>
      </c>
      <c r="G113" s="7">
        <v>100</v>
      </c>
      <c r="H113" s="3">
        <v>2</v>
      </c>
      <c r="I113" s="3">
        <v>1</v>
      </c>
      <c r="J113" s="3">
        <v>1</v>
      </c>
      <c r="K113" s="3">
        <v>0</v>
      </c>
      <c r="L113" s="54">
        <f t="shared" si="13"/>
        <v>100</v>
      </c>
      <c r="M113" s="54">
        <f t="shared" si="14"/>
        <v>0</v>
      </c>
      <c r="N113" s="3">
        <v>0</v>
      </c>
      <c r="O113" s="3">
        <v>1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1">
        <f t="shared" si="15"/>
        <v>1</v>
      </c>
    </row>
    <row r="114" spans="1:22" ht="20.100000000000001" customHeight="1" x14ac:dyDescent="0.5">
      <c r="A114" s="11"/>
      <c r="B114" s="20"/>
      <c r="C114" s="5"/>
      <c r="D114" s="21"/>
      <c r="E114" s="21"/>
      <c r="F114" s="4"/>
      <c r="G114" s="7"/>
      <c r="H114" s="3"/>
      <c r="I114" s="3"/>
      <c r="J114" s="3"/>
      <c r="K114" s="3"/>
      <c r="L114" s="3"/>
      <c r="M114" s="54"/>
      <c r="N114" s="3"/>
      <c r="O114" s="3"/>
      <c r="P114" s="3"/>
      <c r="Q114" s="3"/>
      <c r="R114" s="3"/>
      <c r="S114" s="3"/>
      <c r="T114" s="3"/>
      <c r="U114" s="3"/>
      <c r="V114" s="1">
        <f t="shared" si="15"/>
        <v>0</v>
      </c>
    </row>
    <row r="115" spans="1:22" ht="24" customHeight="1" x14ac:dyDescent="0.5">
      <c r="A115" s="7"/>
      <c r="B115" s="7"/>
      <c r="C115" s="70" t="s">
        <v>21</v>
      </c>
      <c r="D115" s="71"/>
      <c r="E115" s="71"/>
      <c r="F115" s="72"/>
      <c r="H115" s="14">
        <f>SUM(H107:H114)</f>
        <v>59</v>
      </c>
      <c r="I115" s="14">
        <f>SUM(I107:I114)</f>
        <v>51</v>
      </c>
      <c r="J115" s="14">
        <f>SUM(J107:J114)</f>
        <v>41</v>
      </c>
      <c r="K115" s="14">
        <f>SUM(K107:K114)</f>
        <v>10</v>
      </c>
      <c r="L115" s="51">
        <f>J115/I115*100</f>
        <v>80.392156862745097</v>
      </c>
      <c r="M115" s="51">
        <f>K115/I115*100</f>
        <v>19.607843137254903</v>
      </c>
      <c r="N115" s="14">
        <f t="shared" ref="N115:U115" si="16">SUM(N107:N114)</f>
        <v>12</v>
      </c>
      <c r="O115" s="14">
        <f t="shared" si="16"/>
        <v>9</v>
      </c>
      <c r="P115" s="14">
        <f t="shared" si="16"/>
        <v>13</v>
      </c>
      <c r="Q115" s="14">
        <f t="shared" si="16"/>
        <v>5</v>
      </c>
      <c r="R115" s="14">
        <f t="shared" si="16"/>
        <v>2</v>
      </c>
      <c r="S115" s="14">
        <f t="shared" si="16"/>
        <v>1</v>
      </c>
      <c r="T115" s="14">
        <f t="shared" si="16"/>
        <v>5</v>
      </c>
      <c r="U115" s="14">
        <f t="shared" si="16"/>
        <v>4</v>
      </c>
      <c r="V115" s="1">
        <f t="shared" si="15"/>
        <v>51</v>
      </c>
    </row>
    <row r="116" spans="1:22" ht="33" customHeight="1" x14ac:dyDescent="0.5">
      <c r="B116" s="65" t="s">
        <v>28</v>
      </c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</row>
    <row r="117" spans="1:22" ht="15" customHeight="1" x14ac:dyDescent="0.5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2" ht="15.75" customHeight="1" x14ac:dyDescent="0.5">
      <c r="B118" s="16" t="s">
        <v>35</v>
      </c>
      <c r="C118" s="26"/>
      <c r="D118" s="77">
        <v>51</v>
      </c>
      <c r="E118" s="77"/>
      <c r="F118" s="8"/>
      <c r="G118" s="8"/>
      <c r="H118" s="8"/>
      <c r="I118" s="58" t="s">
        <v>37</v>
      </c>
      <c r="J118" s="58"/>
      <c r="K118" s="58"/>
      <c r="L118" s="58"/>
      <c r="M118" s="58"/>
      <c r="N118" s="77">
        <v>10</v>
      </c>
      <c r="O118" s="77"/>
    </row>
    <row r="119" spans="1:22" ht="15.75" customHeight="1" x14ac:dyDescent="0.5">
      <c r="B119" s="58" t="s">
        <v>36</v>
      </c>
      <c r="C119" s="58"/>
      <c r="D119" s="79">
        <v>41</v>
      </c>
      <c r="E119" s="79"/>
      <c r="F119" s="9"/>
      <c r="G119" s="9"/>
      <c r="H119" s="9"/>
      <c r="I119" s="58" t="s">
        <v>22</v>
      </c>
      <c r="J119" s="58"/>
      <c r="K119" s="58"/>
      <c r="L119" s="58"/>
      <c r="M119" s="58"/>
      <c r="N119" s="78">
        <v>0.80389999999999995</v>
      </c>
      <c r="O119" s="78"/>
    </row>
    <row r="120" spans="1:22" ht="15.75" customHeight="1" x14ac:dyDescent="0.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22" ht="15.75" customHeight="1" x14ac:dyDescent="0.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spans="1:22" ht="15.75" customHeight="1" x14ac:dyDescent="0.5">
      <c r="A122" s="16" t="s">
        <v>124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spans="1:22" ht="15.75" customHeight="1" x14ac:dyDescent="0.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spans="1:22" ht="15.75" customHeight="1" x14ac:dyDescent="0.5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22" ht="15.75" customHeight="1" x14ac:dyDescent="0.5">
      <c r="C125" s="55" t="s">
        <v>122</v>
      </c>
      <c r="D125" s="55"/>
      <c r="F125" s="1" t="s">
        <v>171</v>
      </c>
      <c r="N125" s="1" t="s">
        <v>123</v>
      </c>
    </row>
    <row r="126" spans="1:22" ht="15.75" customHeight="1" x14ac:dyDescent="0.5">
      <c r="C126" s="24"/>
      <c r="D126" s="24"/>
    </row>
    <row r="127" spans="1:22" ht="15.75" customHeight="1" x14ac:dyDescent="0.5">
      <c r="C127" s="24"/>
      <c r="D127" s="24"/>
    </row>
    <row r="128" spans="1:22" ht="15.75" customHeight="1" x14ac:dyDescent="0.5">
      <c r="C128" s="24"/>
      <c r="D128" s="24"/>
    </row>
    <row r="129" spans="1:6" ht="15.75" customHeight="1" x14ac:dyDescent="0.5">
      <c r="C129" s="24"/>
      <c r="D129" s="24"/>
    </row>
    <row r="130" spans="1:6" ht="15.75" customHeight="1" x14ac:dyDescent="0.5">
      <c r="C130" s="24"/>
      <c r="D130" s="24"/>
    </row>
    <row r="131" spans="1:6" ht="15.75" customHeight="1" x14ac:dyDescent="0.5">
      <c r="A131" s="24"/>
      <c r="B131" s="24"/>
    </row>
    <row r="132" spans="1:6" ht="15.75" customHeight="1" x14ac:dyDescent="0.5">
      <c r="A132" s="24"/>
      <c r="B132" s="24"/>
    </row>
    <row r="133" spans="1:6" ht="15.75" customHeight="1" x14ac:dyDescent="0.5">
      <c r="A133" s="24"/>
      <c r="B133" s="24"/>
    </row>
    <row r="134" spans="1:6" ht="15.75" customHeight="1" x14ac:dyDescent="0.5">
      <c r="C134" s="24"/>
      <c r="D134" s="24"/>
      <c r="E134" s="24"/>
      <c r="F134" s="24"/>
    </row>
  </sheetData>
  <sortState xmlns:xlrd2="http://schemas.microsoft.com/office/spreadsheetml/2017/richdata2" ref="A42:V52">
    <sortCondition ref="B42:B52"/>
  </sortState>
  <mergeCells count="104">
    <mergeCell ref="I119:M119"/>
    <mergeCell ref="N119:O119"/>
    <mergeCell ref="B119:C119"/>
    <mergeCell ref="D119:E119"/>
    <mergeCell ref="B87:C87"/>
    <mergeCell ref="D87:E87"/>
    <mergeCell ref="L73:L74"/>
    <mergeCell ref="M73:M74"/>
    <mergeCell ref="C1:Q1"/>
    <mergeCell ref="C34:P34"/>
    <mergeCell ref="C66:P66"/>
    <mergeCell ref="C98:Q98"/>
    <mergeCell ref="B84:U84"/>
    <mergeCell ref="G105:G106"/>
    <mergeCell ref="C104:P104"/>
    <mergeCell ref="K62:M62"/>
    <mergeCell ref="D58:E58"/>
    <mergeCell ref="I58:M58"/>
    <mergeCell ref="N58:O58"/>
    <mergeCell ref="D62:F62"/>
    <mergeCell ref="B105:B106"/>
    <mergeCell ref="C105:C106"/>
    <mergeCell ref="D105:D106"/>
    <mergeCell ref="E105:E106"/>
    <mergeCell ref="I118:M118"/>
    <mergeCell ref="D21:E21"/>
    <mergeCell ref="N21:O21"/>
    <mergeCell ref="D56:E56"/>
    <mergeCell ref="N56:O56"/>
    <mergeCell ref="D86:E86"/>
    <mergeCell ref="N86:O86"/>
    <mergeCell ref="D118:E118"/>
    <mergeCell ref="N118:O118"/>
    <mergeCell ref="C53:F53"/>
    <mergeCell ref="N23:O23"/>
    <mergeCell ref="I23:M23"/>
    <mergeCell ref="N87:O87"/>
    <mergeCell ref="B88:C88"/>
    <mergeCell ref="D88:E88"/>
    <mergeCell ref="I88:M88"/>
    <mergeCell ref="N88:O88"/>
    <mergeCell ref="I21:M21"/>
    <mergeCell ref="N22:O22"/>
    <mergeCell ref="D23:E23"/>
    <mergeCell ref="F41:F42"/>
    <mergeCell ref="H105:K105"/>
    <mergeCell ref="B73:B74"/>
    <mergeCell ref="C73:C74"/>
    <mergeCell ref="I56:M56"/>
    <mergeCell ref="I86:M86"/>
    <mergeCell ref="C7:P7"/>
    <mergeCell ref="G8:G9"/>
    <mergeCell ref="B19:T19"/>
    <mergeCell ref="C40:P40"/>
    <mergeCell ref="L41:L42"/>
    <mergeCell ref="M41:M42"/>
    <mergeCell ref="M8:M9"/>
    <mergeCell ref="G41:G42"/>
    <mergeCell ref="H41:K41"/>
    <mergeCell ref="N41:U41"/>
    <mergeCell ref="L8:L9"/>
    <mergeCell ref="B8:B9"/>
    <mergeCell ref="C8:C9"/>
    <mergeCell ref="D8:D9"/>
    <mergeCell ref="E8:E9"/>
    <mergeCell ref="F8:F9"/>
    <mergeCell ref="N8:U8"/>
    <mergeCell ref="H8:K8"/>
    <mergeCell ref="B41:B42"/>
    <mergeCell ref="C41:C42"/>
    <mergeCell ref="D41:D42"/>
    <mergeCell ref="N105:U105"/>
    <mergeCell ref="D73:D74"/>
    <mergeCell ref="E73:E74"/>
    <mergeCell ref="F73:F74"/>
    <mergeCell ref="C83:F83"/>
    <mergeCell ref="E94:F94"/>
    <mergeCell ref="B116:T116"/>
    <mergeCell ref="C115:F115"/>
    <mergeCell ref="A105:A106"/>
    <mergeCell ref="C125:D125"/>
    <mergeCell ref="A8:A9"/>
    <mergeCell ref="A41:A42"/>
    <mergeCell ref="B23:C23"/>
    <mergeCell ref="D22:E22"/>
    <mergeCell ref="D28:F28"/>
    <mergeCell ref="P28:T28"/>
    <mergeCell ref="B57:C57"/>
    <mergeCell ref="D57:E57"/>
    <mergeCell ref="G73:G74"/>
    <mergeCell ref="H73:K73"/>
    <mergeCell ref="N73:U73"/>
    <mergeCell ref="C61:F61"/>
    <mergeCell ref="C72:P72"/>
    <mergeCell ref="N57:O57"/>
    <mergeCell ref="B58:C58"/>
    <mergeCell ref="B54:T54"/>
    <mergeCell ref="B22:C22"/>
    <mergeCell ref="I28:L28"/>
    <mergeCell ref="F105:F106"/>
    <mergeCell ref="A73:A74"/>
    <mergeCell ref="C27:F27"/>
    <mergeCell ref="E41:E42"/>
    <mergeCell ref="C18:F18"/>
  </mergeCells>
  <pageMargins left="0.64" right="0.35" top="0.28000000000000003" bottom="0.27" header="0.19" footer="0.19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A4" workbookViewId="0">
      <selection activeCell="J16" sqref="J16"/>
    </sheetView>
  </sheetViews>
  <sheetFormatPr defaultRowHeight="14.4" x14ac:dyDescent="0.55000000000000004"/>
  <cols>
    <col min="1" max="1" width="4.68359375" customWidth="1"/>
    <col min="2" max="2" width="23.5234375" customWidth="1"/>
    <col min="3" max="3" width="21.3125" customWidth="1"/>
    <col min="4" max="4" width="17.68359375" customWidth="1"/>
    <col min="7" max="7" width="8.5234375" customWidth="1"/>
  </cols>
  <sheetData>
    <row r="1" spans="1:8" ht="15.3" x14ac:dyDescent="0.55000000000000004">
      <c r="A1" s="17" t="s">
        <v>24</v>
      </c>
      <c r="B1" s="17"/>
      <c r="C1" s="18"/>
      <c r="D1" s="18"/>
      <c r="E1" s="18"/>
      <c r="F1" s="1"/>
      <c r="G1" s="1"/>
      <c r="H1" s="1"/>
    </row>
    <row r="2" spans="1:8" ht="15.3" x14ac:dyDescent="0.55000000000000004">
      <c r="A2" s="17" t="s">
        <v>57</v>
      </c>
      <c r="B2" s="17"/>
      <c r="C2" s="18"/>
      <c r="D2" s="18"/>
      <c r="E2" s="18"/>
      <c r="F2" s="1"/>
      <c r="G2" s="1"/>
      <c r="H2" s="1"/>
    </row>
    <row r="3" spans="1:8" ht="15.3" x14ac:dyDescent="0.55000000000000004">
      <c r="A3" s="17" t="s">
        <v>26</v>
      </c>
      <c r="B3" s="31"/>
      <c r="C3" s="1"/>
      <c r="D3" s="1"/>
      <c r="E3" s="1"/>
      <c r="F3" s="1"/>
      <c r="G3" s="1"/>
      <c r="H3" s="1"/>
    </row>
    <row r="4" spans="1:8" ht="15.3" x14ac:dyDescent="0.55000000000000004">
      <c r="A4" s="17" t="s">
        <v>143</v>
      </c>
      <c r="B4" s="31"/>
      <c r="C4" s="1"/>
      <c r="D4" s="1"/>
      <c r="E4" s="1"/>
      <c r="F4" s="1"/>
      <c r="G4" s="1"/>
      <c r="H4" s="1"/>
    </row>
    <row r="5" spans="1:8" ht="15.3" x14ac:dyDescent="0.55000000000000004">
      <c r="A5" s="17"/>
      <c r="B5" s="31"/>
      <c r="C5" s="1"/>
      <c r="D5" s="1"/>
      <c r="E5" s="1"/>
      <c r="F5" s="1"/>
      <c r="G5" s="1"/>
      <c r="H5" s="1"/>
    </row>
    <row r="6" spans="1:8" ht="15.3" x14ac:dyDescent="0.55000000000000004">
      <c r="A6" s="17"/>
      <c r="B6" s="31"/>
      <c r="C6" s="1"/>
      <c r="D6" s="1"/>
      <c r="E6" s="1"/>
      <c r="F6" s="1"/>
      <c r="G6" s="1"/>
      <c r="H6" s="1"/>
    </row>
    <row r="7" spans="1:8" ht="30.3" x14ac:dyDescent="0.55000000000000004">
      <c r="A7" s="45" t="s">
        <v>133</v>
      </c>
      <c r="B7" s="45" t="s">
        <v>30</v>
      </c>
      <c r="C7" s="46" t="s">
        <v>31</v>
      </c>
      <c r="D7" s="46" t="s">
        <v>132</v>
      </c>
      <c r="E7" s="45" t="s">
        <v>129</v>
      </c>
      <c r="F7" s="45" t="s">
        <v>33</v>
      </c>
      <c r="G7" s="45" t="s">
        <v>130</v>
      </c>
      <c r="H7" s="45" t="s">
        <v>131</v>
      </c>
    </row>
    <row r="8" spans="1:8" ht="20.100000000000001" customHeight="1" x14ac:dyDescent="0.55000000000000004">
      <c r="A8" s="27">
        <v>1</v>
      </c>
      <c r="B8" s="28" t="s">
        <v>142</v>
      </c>
      <c r="C8" s="35">
        <v>8</v>
      </c>
      <c r="D8" s="29">
        <v>72</v>
      </c>
      <c r="E8" s="29">
        <v>57</v>
      </c>
      <c r="F8" s="29">
        <v>15</v>
      </c>
      <c r="G8" s="49">
        <f>E8/D8*100</f>
        <v>79.166666666666657</v>
      </c>
      <c r="H8" s="49">
        <f>F8/D8*100</f>
        <v>20.833333333333336</v>
      </c>
    </row>
    <row r="9" spans="1:8" ht="20.100000000000001" customHeight="1" x14ac:dyDescent="0.55000000000000004">
      <c r="A9" s="27">
        <v>2</v>
      </c>
      <c r="B9" s="28" t="s">
        <v>125</v>
      </c>
      <c r="C9" s="35">
        <v>8</v>
      </c>
      <c r="D9" s="29">
        <v>92</v>
      </c>
      <c r="E9" s="29">
        <v>66</v>
      </c>
      <c r="F9" s="29">
        <v>26</v>
      </c>
      <c r="G9" s="49">
        <f t="shared" ref="G9:G11" si="0">E9/D9*100</f>
        <v>71.739130434782609</v>
      </c>
      <c r="H9" s="49">
        <f t="shared" ref="H9:H11" si="1">F9/D9*100</f>
        <v>28.260869565217391</v>
      </c>
    </row>
    <row r="10" spans="1:8" ht="20.100000000000001" customHeight="1" x14ac:dyDescent="0.55000000000000004">
      <c r="A10" s="27">
        <v>3</v>
      </c>
      <c r="B10" s="28" t="s">
        <v>55</v>
      </c>
      <c r="C10" s="35">
        <v>7</v>
      </c>
      <c r="D10" s="29">
        <v>51</v>
      </c>
      <c r="E10" s="29">
        <v>41</v>
      </c>
      <c r="F10" s="29">
        <v>10</v>
      </c>
      <c r="G10" s="49">
        <f t="shared" si="0"/>
        <v>80.392156862745097</v>
      </c>
      <c r="H10" s="49">
        <f t="shared" si="1"/>
        <v>19.607843137254903</v>
      </c>
    </row>
    <row r="11" spans="1:8" ht="20.100000000000001" customHeight="1" x14ac:dyDescent="0.55000000000000004">
      <c r="A11" s="27">
        <v>4</v>
      </c>
      <c r="B11" s="28" t="s">
        <v>56</v>
      </c>
      <c r="C11" s="35">
        <v>10</v>
      </c>
      <c r="D11" s="29">
        <v>56</v>
      </c>
      <c r="E11" s="29">
        <v>49</v>
      </c>
      <c r="F11" s="29">
        <v>7</v>
      </c>
      <c r="G11" s="49">
        <f t="shared" si="0"/>
        <v>87.5</v>
      </c>
      <c r="H11" s="49">
        <f t="shared" si="1"/>
        <v>12.5</v>
      </c>
    </row>
    <row r="12" spans="1:8" ht="20.100000000000001" customHeight="1" x14ac:dyDescent="0.55000000000000004">
      <c r="A12" s="84" t="s">
        <v>32</v>
      </c>
      <c r="B12" s="85"/>
      <c r="C12" s="39">
        <f>SUM(C8:C11)</f>
        <v>33</v>
      </c>
      <c r="D12" s="39">
        <f>SUM(D8:D11)</f>
        <v>271</v>
      </c>
      <c r="E12" s="39">
        <f>SUM(E8:E11)</f>
        <v>213</v>
      </c>
      <c r="F12" s="39">
        <f>SUM(F8:F11)</f>
        <v>58</v>
      </c>
      <c r="G12" s="50">
        <f>E12/D12*100</f>
        <v>78.597785977859786</v>
      </c>
      <c r="H12" s="50">
        <f>F12/D12*100</f>
        <v>21.402214022140221</v>
      </c>
    </row>
    <row r="13" spans="1:8" ht="15.3" x14ac:dyDescent="0.55000000000000004">
      <c r="A13" s="43"/>
      <c r="B13" s="43"/>
      <c r="C13" s="43"/>
      <c r="D13" s="43"/>
      <c r="E13" s="43"/>
      <c r="F13" s="43"/>
      <c r="G13" s="44"/>
      <c r="H13" s="44"/>
    </row>
    <row r="14" spans="1:8" ht="15.3" x14ac:dyDescent="0.55000000000000004">
      <c r="A14" s="43"/>
      <c r="B14" s="43"/>
      <c r="C14" s="43"/>
      <c r="D14" s="43"/>
      <c r="E14" s="43"/>
      <c r="F14" s="43"/>
      <c r="G14" s="44"/>
      <c r="H14" s="44"/>
    </row>
    <row r="15" spans="1:8" ht="15.3" x14ac:dyDescent="0.55000000000000004">
      <c r="A15" s="30"/>
      <c r="B15" s="30"/>
      <c r="C15" s="30"/>
      <c r="D15" s="30"/>
      <c r="E15" s="30"/>
      <c r="F15" s="30"/>
      <c r="G15" s="30"/>
      <c r="H15" s="30"/>
    </row>
    <row r="16" spans="1:8" x14ac:dyDescent="0.55000000000000004">
      <c r="A16" s="1"/>
      <c r="B16" s="1"/>
      <c r="C16" s="1"/>
      <c r="D16" s="1"/>
      <c r="E16" s="1"/>
      <c r="F16" s="1"/>
      <c r="G16" s="1"/>
      <c r="H16" s="1"/>
    </row>
    <row r="17" spans="1:8" x14ac:dyDescent="0.55000000000000004">
      <c r="A17" s="55" t="s">
        <v>166</v>
      </c>
      <c r="B17" s="55"/>
      <c r="C17" s="1"/>
      <c r="D17" s="24" t="s">
        <v>50</v>
      </c>
      <c r="E17" s="1"/>
      <c r="F17" s="1"/>
      <c r="G17" s="24" t="s">
        <v>47</v>
      </c>
      <c r="H17" s="24"/>
    </row>
    <row r="18" spans="1:8" x14ac:dyDescent="0.55000000000000004">
      <c r="A18" s="55" t="s">
        <v>49</v>
      </c>
      <c r="B18" s="55"/>
      <c r="C18" s="1"/>
      <c r="D18" s="1" t="s">
        <v>51</v>
      </c>
      <c r="E18" s="1"/>
      <c r="F18" s="1"/>
      <c r="G18" s="24" t="s">
        <v>48</v>
      </c>
      <c r="H18" s="24"/>
    </row>
    <row r="19" spans="1:8" x14ac:dyDescent="0.55000000000000004">
      <c r="A19" s="24"/>
      <c r="B19" s="24"/>
      <c r="C19" s="1"/>
      <c r="D19" s="1"/>
      <c r="E19" s="1"/>
      <c r="F19" s="1"/>
      <c r="G19" s="24"/>
      <c r="H19" s="24"/>
    </row>
    <row r="20" spans="1:8" x14ac:dyDescent="0.55000000000000004">
      <c r="A20" s="24"/>
      <c r="B20" s="24"/>
      <c r="C20" s="1"/>
      <c r="D20" s="1"/>
      <c r="E20" s="1"/>
      <c r="F20" s="1"/>
      <c r="G20" s="24"/>
      <c r="H20" s="24"/>
    </row>
    <row r="21" spans="1:8" x14ac:dyDescent="0.55000000000000004">
      <c r="A21" s="1"/>
      <c r="B21" s="1"/>
      <c r="C21" s="1"/>
      <c r="D21" s="1"/>
      <c r="E21" s="1"/>
      <c r="F21" s="1"/>
      <c r="G21" s="1"/>
      <c r="H21" s="1"/>
    </row>
    <row r="22" spans="1:8" x14ac:dyDescent="0.55000000000000004">
      <c r="A22" s="1"/>
      <c r="B22" s="1"/>
      <c r="C22" s="1"/>
      <c r="D22" s="1"/>
      <c r="E22" s="1"/>
      <c r="F22" s="1"/>
      <c r="G22" s="1"/>
      <c r="H22" s="1"/>
    </row>
    <row r="23" spans="1:8" x14ac:dyDescent="0.55000000000000004">
      <c r="A23" s="55" t="s">
        <v>52</v>
      </c>
      <c r="B23" s="55"/>
      <c r="C23" s="1"/>
      <c r="D23" s="1"/>
      <c r="E23" s="1"/>
      <c r="F23" s="1"/>
      <c r="G23" s="55"/>
      <c r="H23" s="55"/>
    </row>
    <row r="24" spans="1:8" ht="16.2" x14ac:dyDescent="0.55000000000000004">
      <c r="A24" s="55" t="s">
        <v>53</v>
      </c>
      <c r="B24" s="55"/>
      <c r="C24" s="1"/>
      <c r="D24" s="83" t="s">
        <v>168</v>
      </c>
      <c r="E24" s="83"/>
      <c r="F24" s="1"/>
      <c r="G24" s="55"/>
      <c r="H24" s="55"/>
    </row>
    <row r="25" spans="1:8" ht="16.2" x14ac:dyDescent="0.55000000000000004">
      <c r="A25" s="1"/>
      <c r="B25" s="1"/>
      <c r="C25" s="1"/>
      <c r="D25" s="83" t="s">
        <v>54</v>
      </c>
      <c r="E25" s="83"/>
      <c r="F25" s="1"/>
      <c r="G25" s="1"/>
      <c r="H25" s="1"/>
    </row>
  </sheetData>
  <mergeCells count="9">
    <mergeCell ref="A24:B24"/>
    <mergeCell ref="D24:E24"/>
    <mergeCell ref="G24:H24"/>
    <mergeCell ref="D25:E25"/>
    <mergeCell ref="A12:B12"/>
    <mergeCell ref="A17:B17"/>
    <mergeCell ref="A18:B18"/>
    <mergeCell ref="A23:B23"/>
    <mergeCell ref="G23:H2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</vt:lpstr>
      <vt:lpstr>Faculty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Atangabua Obed-Destine</cp:lastModifiedBy>
  <cp:lastPrinted>2018-03-12T10:23:44Z</cp:lastPrinted>
  <dcterms:created xsi:type="dcterms:W3CDTF">2014-07-23T13:48:02Z</dcterms:created>
  <dcterms:modified xsi:type="dcterms:W3CDTF">2025-12-18T04:36:12Z</dcterms:modified>
</cp:coreProperties>
</file>